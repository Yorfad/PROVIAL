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DIMIENTOS EN RUTA" sheetId="1" r:id="rId4"/>
    <sheet state="visible" name="ACTUALIZACION DE UNIDADES" sheetId="2" r:id="rId5"/>
    <sheet state="visible" name="DENUNCIAS" sheetId="3" r:id="rId6"/>
    <sheet state="hidden" name="DESPLEGABLES1" sheetId="4" r:id="rId7"/>
    <sheet state="hidden" name="Hoja 17" sheetId="5" r:id="rId8"/>
    <sheet state="hidden" name="CATALOGO" sheetId="6" r:id="rId9"/>
    <sheet state="hidden" name="intervalo despegable" sheetId="7" r:id="rId10"/>
    <sheet state="hidden" name="NIVEL PROCEDIMIENTO" sheetId="8" r:id="rId11"/>
    <sheet state="hidden" name="Hoja 10" sheetId="9" r:id="rId12"/>
  </sheets>
  <definedNames>
    <definedName name="DATOPRO">DESPLEGABLES1!$B$2:$C$994</definedName>
    <definedName name="dataa">DESPLEGABLES1!$B$2:$C$994</definedName>
    <definedName name="datos">DESPLEGABLES1!$B$2:$C$994</definedName>
    <definedName hidden="1" localSheetId="0" name="Z_3CF1983F_2B70_452A_B90A_C93BDEA62297_.wvu.FilterData">'PROCEDIMIENTOS EN RUTA'!$A$2:$AB$2</definedName>
    <definedName hidden="1" localSheetId="0" name="Z_91CD068A_4F63_4B62_85C4_88AC20B42A23_.wvu.FilterData">'PROCEDIMIENTOS EN RUTA'!$A$2:$AB$2</definedName>
    <definedName hidden="1" localSheetId="0" name="Z_9DD314B2_07E2_41D3_A645_D5B10096FCA6_.wvu.FilterData">'PROCEDIMIENTOS EN RUTA'!$A$2:$AB$2</definedName>
    <definedName hidden="1" localSheetId="0" name="Z_D07B3525_32E3_4969_AB4B_BD308DBD9AA4_.wvu.FilterData">'PROCEDIMIENTOS EN RUTA'!$A$2:$AB$2</definedName>
    <definedName hidden="1" localSheetId="0" name="Z_6BDD6B1A_DC38_4251_9E0C_02577F167F18_.wvu.FilterData">'PROCEDIMIENTOS EN RUTA'!$A$2:$AB$2</definedName>
    <definedName hidden="1" localSheetId="0" name="Z_5726D316_D8E0_47F4_93E3_706899A62D06_.wvu.FilterData">'PROCEDIMIENTOS EN RUTA'!$A$2:$AB$2</definedName>
    <definedName hidden="1" localSheetId="0" name="Z_37279F93_D7A7_486E_BF8E_1282E3EEFA22_.wvu.FilterData">'PROCEDIMIENTOS EN RUTA'!$A$2:$AB$2</definedName>
  </definedNames>
  <calcPr/>
  <customWorkbookViews>
    <customWorkbookView activeSheetId="0" maximized="1" windowHeight="0" windowWidth="0" guid="{6BDD6B1A-DC38-4251-9E0C-02577F167F18}" name="Filtro 4"/>
    <customWorkbookView activeSheetId="0" maximized="1" windowHeight="0" windowWidth="0" guid="{3CF1983F-2B70-452A-B90A-C93BDEA62297}" name="Filtro 5"/>
    <customWorkbookView activeSheetId="0" maximized="1" windowHeight="0" windowWidth="0" guid="{5726D316-D8E0-47F4-93E3-706899A62D06}" name="Filtro 6"/>
    <customWorkbookView activeSheetId="0" maximized="1" windowHeight="0" windowWidth="0" guid="{D07B3525-32E3-4969-AB4B-BD308DBD9AA4}" name="Filtro 7"/>
    <customWorkbookView activeSheetId="0" maximized="1" windowHeight="0" windowWidth="0" guid="{91CD068A-4F63-4B62-85C4-88AC20B42A23}" name="Filtro 1"/>
    <customWorkbookView activeSheetId="0" maximized="1" windowHeight="0" windowWidth="0" guid="{37279F93-D7A7-486E-BF8E-1282E3EEFA22}" name="Filtro 2"/>
    <customWorkbookView activeSheetId="0" maximized="1" windowHeight="0" windowWidth="0" guid="{9DD314B2-07E2-41D3-A645-D5B10096FCA6}" name="Filtro 3"/>
  </customWorkbookViews>
</workbook>
</file>

<file path=xl/sharedStrings.xml><?xml version="1.0" encoding="utf-8"?>
<sst xmlns="http://schemas.openxmlformats.org/spreadsheetml/2006/main" count="8207" uniqueCount="1046">
  <si>
    <t>PROCEDIMIENTOS NOVIEMBRE 2025</t>
  </si>
  <si>
    <t>NOMBRE DE LA EMPRESA</t>
  </si>
  <si>
    <t>#ILESO</t>
  </si>
  <si>
    <t>#HERIDO</t>
  </si>
  <si>
    <t>#FALLECIDO</t>
  </si>
  <si>
    <t>#TRASLADADO</t>
  </si>
  <si>
    <t>#ASISTIDAS</t>
  </si>
  <si>
    <t>#FUGADO</t>
  </si>
  <si>
    <t>#CONSIGNADO</t>
  </si>
  <si>
    <t>#1ROS. AUXILIOS</t>
  </si>
  <si>
    <t>NOMBRE DEL PILOTO</t>
  </si>
  <si>
    <t>Tipo/Licencia</t>
  </si>
  <si>
    <t>No de Licencia o DPI</t>
  </si>
  <si>
    <t>Genero ( F ó M )</t>
  </si>
  <si>
    <t>EDAD</t>
  </si>
  <si>
    <t>No.</t>
  </si>
  <si>
    <t>FECHA</t>
  </si>
  <si>
    <t>SEDE</t>
  </si>
  <si>
    <t>CAN VEHICULOS</t>
  </si>
  <si>
    <t>HORA INICIO</t>
  </si>
  <si>
    <t>HORA FIN</t>
  </si>
  <si>
    <t>KM</t>
  </si>
  <si>
    <t>UNIDAD</t>
  </si>
  <si>
    <t>RUTA</t>
  </si>
  <si>
    <t>DIRECCION</t>
  </si>
  <si>
    <t>VEHICULO</t>
  </si>
  <si>
    <t>TIPO DE ASISTENCIA</t>
  </si>
  <si>
    <t>MOTIVO</t>
  </si>
  <si>
    <t>DES / HECHO DE TRANSITO</t>
  </si>
  <si>
    <t>CABEZAL</t>
  </si>
  <si>
    <t>NO HAY DATOS</t>
  </si>
  <si>
    <t xml:space="preserve">José  Roberto Gonzáles  garcia </t>
  </si>
  <si>
    <t>A</t>
  </si>
  <si>
    <t>MASCULINO</t>
  </si>
  <si>
    <t>PALIN</t>
  </si>
  <si>
    <t>O16</t>
  </si>
  <si>
    <t>CA-2 OCCIDENTE</t>
  </si>
  <si>
    <t>ORIENTE - OCCIDENTE</t>
  </si>
  <si>
    <t>HECHO DE TRANSITO</t>
  </si>
  <si>
    <t>COLISIÓN</t>
  </si>
  <si>
    <t>CARRIL DERECHO 100%</t>
  </si>
  <si>
    <t xml:space="preserve"> samuel david  fuentes reyes</t>
  </si>
  <si>
    <t>PICK UP</t>
  </si>
  <si>
    <t xml:space="preserve">SE DESCONOCE </t>
  </si>
  <si>
    <t>N/D</t>
  </si>
  <si>
    <t>ND</t>
  </si>
  <si>
    <t>CENTRAL</t>
  </si>
  <si>
    <t>O12</t>
  </si>
  <si>
    <t>CA-9 NORTE</t>
  </si>
  <si>
    <t>SUR - NORTE</t>
  </si>
  <si>
    <t>VEH/V</t>
  </si>
  <si>
    <t>O19</t>
  </si>
  <si>
    <t>CA-1 OCCIDENTE</t>
  </si>
  <si>
    <t>OCCIDENTE - ORIENTE</t>
  </si>
  <si>
    <t>ASISTENCIA VIAL</t>
  </si>
  <si>
    <t>OPERATIVO DGT</t>
  </si>
  <si>
    <t>AMBOS CARRILES</t>
  </si>
  <si>
    <t>DGT</t>
  </si>
  <si>
    <t>O14</t>
  </si>
  <si>
    <t>CA-1 ORIENTE</t>
  </si>
  <si>
    <t>DESPRENDIMIENTO DE NEUMATICO</t>
  </si>
  <si>
    <t>C</t>
  </si>
  <si>
    <t>OO9</t>
  </si>
  <si>
    <t>SEDAN</t>
  </si>
  <si>
    <t>DESPERFECTOS MECÁNICOS</t>
  </si>
  <si>
    <t>Daniel Santiago Ajcot avila</t>
  </si>
  <si>
    <t>O29</t>
  </si>
  <si>
    <t>CALENTAMIENTO</t>
  </si>
  <si>
    <t>CARRIL DERECHO 30%</t>
  </si>
  <si>
    <t>ESTIVEN EFRAIN REMIREZ CRUZ</t>
  </si>
  <si>
    <t>2998 06731 0101</t>
  </si>
  <si>
    <t>QUETZALTENANGO</t>
  </si>
  <si>
    <t>O23</t>
  </si>
  <si>
    <t>CITO-180</t>
  </si>
  <si>
    <t>BIDIRECCIONAL</t>
  </si>
  <si>
    <t>UNIDAD DE PROVIAL</t>
  </si>
  <si>
    <t>TRABAJOS DE CARRETERA</t>
  </si>
  <si>
    <t xml:space="preserve">NO HAY DATOS </t>
  </si>
  <si>
    <t>PETÉN</t>
  </si>
  <si>
    <t>OO8</t>
  </si>
  <si>
    <t>CA-13</t>
  </si>
  <si>
    <t>CAMION</t>
  </si>
  <si>
    <t>SALIDA DE PISTA</t>
  </si>
  <si>
    <t>FUERA DE LA VIA</t>
  </si>
  <si>
    <t>LISBIN ESTUARDO LIRA MORALES</t>
  </si>
  <si>
    <t>B</t>
  </si>
  <si>
    <t>3017 81761 0101</t>
  </si>
  <si>
    <t>NORTE - SUR</t>
  </si>
  <si>
    <t>CA-9 SUR</t>
  </si>
  <si>
    <t>MOTOCICLETA</t>
  </si>
  <si>
    <t>PERSONA ATROPELLADA</t>
  </si>
  <si>
    <t>BUS EXTRAURBANO</t>
  </si>
  <si>
    <t>TRANSPORTE TROPICANA</t>
  </si>
  <si>
    <t>MARCO ANTONIO ALVARADO</t>
  </si>
  <si>
    <t>O24</t>
  </si>
  <si>
    <t>APOYO A CICLISMO</t>
  </si>
  <si>
    <t>O25</t>
  </si>
  <si>
    <t>O26</t>
  </si>
  <si>
    <t>O27</t>
  </si>
  <si>
    <t>O28</t>
  </si>
  <si>
    <t>CAMIONETA AGRICOLA</t>
  </si>
  <si>
    <t>Yesica carolina borga Vásquez</t>
  </si>
  <si>
    <t>LLAMADA DE ATENCIÓN</t>
  </si>
  <si>
    <t>CARRIL DERECHO</t>
  </si>
  <si>
    <t>90.5</t>
  </si>
  <si>
    <t>M002</t>
  </si>
  <si>
    <t>RN-14</t>
  </si>
  <si>
    <t>JAVIER ESTUARDO GUZMAN</t>
  </si>
  <si>
    <t>VUELCO</t>
  </si>
  <si>
    <t>MICROBUS</t>
  </si>
  <si>
    <t>MARISEL GARCIA</t>
  </si>
  <si>
    <t>ALEX DANILO ALFARO GARCIA</t>
  </si>
  <si>
    <t>2211 83310 0513</t>
  </si>
  <si>
    <t>DERRAPE</t>
  </si>
  <si>
    <t>BRAYAN CESAR AGUSTO HERNANDEZ RAMOS</t>
  </si>
  <si>
    <t>DPI</t>
  </si>
  <si>
    <t>CARLOS ENRIQUE CABALLEROS VADILLA</t>
  </si>
  <si>
    <t>CARRIL DERECHO 10%</t>
  </si>
  <si>
    <t>cáterin Mishel garcia diaz</t>
  </si>
  <si>
    <t>56.1</t>
  </si>
  <si>
    <t>CARRIL AL ORENTE 50%</t>
  </si>
  <si>
    <t>Brandon Esteven Murales Mazate</t>
  </si>
  <si>
    <t>82.5</t>
  </si>
  <si>
    <t>M004</t>
  </si>
  <si>
    <t>EDGAR ROEL</t>
  </si>
  <si>
    <t>MAZATENANGO</t>
  </si>
  <si>
    <t>O10</t>
  </si>
  <si>
    <t>FEMENINO</t>
  </si>
  <si>
    <t>SAN CRISTOBAL</t>
  </si>
  <si>
    <t>O17</t>
  </si>
  <si>
    <t>Derian Adelson Martinez Perez</t>
  </si>
  <si>
    <t>PINCHAZO</t>
  </si>
  <si>
    <t>CRISTIAN RAUL ALEGON</t>
  </si>
  <si>
    <t xml:space="preserve">FUERA DE  LA VIA </t>
  </si>
  <si>
    <t>18.00</t>
  </si>
  <si>
    <t>CARRIL IZQUIERDO</t>
  </si>
  <si>
    <t>HUGO RENE ALDANA CASTILLO</t>
  </si>
  <si>
    <t>: Rolando Antonio Bonifasi Estrada</t>
  </si>
  <si>
    <t>59.5</t>
  </si>
  <si>
    <t>OO6</t>
  </si>
  <si>
    <t>CHOQUE</t>
  </si>
  <si>
    <t>CARRIL CENTRAL 100% CARRIL IZQUIERDO 50%</t>
  </si>
  <si>
    <t>Anibal Menelio Perez Canel</t>
  </si>
  <si>
    <t>CIUDAD</t>
  </si>
  <si>
    <t xml:space="preserve">CIUDAD </t>
  </si>
  <si>
    <t>MARIA ARACELY VETANCOUR BARILLAS</t>
  </si>
  <si>
    <t>42.2</t>
  </si>
  <si>
    <t>O30</t>
  </si>
  <si>
    <t xml:space="preserve">CARRIL DERECHO </t>
  </si>
  <si>
    <t>VICTOR LEONARDO MONTERROSO GUDIEL</t>
  </si>
  <si>
    <t>O22</t>
  </si>
  <si>
    <t>ZULY ESMERALDA VASQUEZ MEDINA</t>
  </si>
  <si>
    <t>LEONEL VICENTE MEJIA</t>
  </si>
  <si>
    <t>JUDITH DEL ROSARIO ARRAGON IBARRA</t>
  </si>
  <si>
    <t>HENRY LEOPOLDO OROZCO LOPEZ</t>
  </si>
  <si>
    <t>WALTER JOSE AJVIX GOMEZ</t>
  </si>
  <si>
    <t>FALTA DE COMBUSTIBLE</t>
  </si>
  <si>
    <t>DAVIDOS EMANUEL HERNANDEZ</t>
  </si>
  <si>
    <t xml:space="preserve">MAURICIO PUTOMAS </t>
  </si>
  <si>
    <t xml:space="preserve">FUERA DE LA VIA </t>
  </si>
  <si>
    <t>FLORES ORTIZ JOSUE DAVID</t>
  </si>
  <si>
    <t xml:space="preserve">CARRIL HACIA EL SUR </t>
  </si>
  <si>
    <t>LUSWIN OSBALDP SAMA PERZ</t>
  </si>
  <si>
    <t>FLORES ROSALES DEL CID MARIA FERNANDA</t>
  </si>
  <si>
    <t>Jose Eduardo Bran Siam</t>
  </si>
  <si>
    <t>CARRIL IZQUIERDO 50%</t>
  </si>
  <si>
    <t>YEFRI ELEITER GOMEZ CORADO</t>
  </si>
  <si>
    <t>O13</t>
  </si>
  <si>
    <t>Ulfino Ricardo, Arreaga Morales</t>
  </si>
  <si>
    <t>CARRIL DERECHO 50%</t>
  </si>
  <si>
    <t>BRAYAN AGUSTIN SIPAQUE RAMIREZ</t>
  </si>
  <si>
    <t>MARVIN LODBERTO CASTRO VALDEZ</t>
  </si>
  <si>
    <t>Kevin Orlando Batzin Salvador</t>
  </si>
  <si>
    <t>O18</t>
  </si>
  <si>
    <t>APOYO A DIGEF</t>
  </si>
  <si>
    <t>MINISTERIO DE EDUCACION</t>
  </si>
  <si>
    <t>Heber Estuardo Valdez Arriaga</t>
  </si>
  <si>
    <t xml:space="preserve"> RODERICO FRANSISCO QUEVDEO ARRIAGA</t>
  </si>
  <si>
    <t>51.8</t>
  </si>
  <si>
    <t>AUSENTE</t>
  </si>
  <si>
    <t>PERSONA FALLECIDA</t>
  </si>
  <si>
    <t>OO5</t>
  </si>
  <si>
    <t>CARRIL DERECHO 100% Y CARRIL IZQUIERDO 50%</t>
  </si>
  <si>
    <t>FREDDY FLORES</t>
  </si>
  <si>
    <t>DENIS ANSELMO RIVAS MERIDA</t>
  </si>
  <si>
    <t xml:space="preserve">victor manuel xiloj ollon </t>
  </si>
  <si>
    <t>CARRIL ORIENTE</t>
  </si>
  <si>
    <t>INDIVIDUAL</t>
  </si>
  <si>
    <t>ERNAN CASARES TOBAR</t>
  </si>
  <si>
    <t>1709 99491 0304</t>
  </si>
  <si>
    <t>CARLOS MARROQUIN LEMUS</t>
  </si>
  <si>
    <t>2603 77724 0506</t>
  </si>
  <si>
    <t>DANIEL ESAU ZALASAR ALVAREZ</t>
  </si>
  <si>
    <t>42.8</t>
  </si>
  <si>
    <t>JOSE ALBERTO ALVAREZ QUEVEDO</t>
  </si>
  <si>
    <t>ALBELARDO OSWALDO GUZMAN FERNANDEZ</t>
  </si>
  <si>
    <t>CAÍDA DE CARGA</t>
  </si>
  <si>
    <t>ELMER GEOVANY PALACIOS SAPON</t>
  </si>
  <si>
    <t>Oliva Cuevas Geovanny Stuardo</t>
  </si>
  <si>
    <t>JOSE MARIO SALGUERO LOPEZ</t>
  </si>
  <si>
    <t>2533 45723 2205</t>
  </si>
  <si>
    <t>CARRIL CENTRAL</t>
  </si>
  <si>
    <t>MARVIN RENE MOLINA CHALI</t>
  </si>
  <si>
    <t>2512 70092 0502</t>
  </si>
  <si>
    <t>Jose Alfredo Carrillo Chutan</t>
  </si>
  <si>
    <t>EBER HEBERTO VALLE CAL</t>
  </si>
  <si>
    <t>Noé Darío Reyes Calderón</t>
  </si>
  <si>
    <t>Yobani Alvarado Pérez</t>
  </si>
  <si>
    <t>ENRIQUE SURUY PET</t>
  </si>
  <si>
    <t>CARRIL CENTRAL 100%</t>
  </si>
  <si>
    <t>QUINILLA AJUCHAN EDWIN ESTURADO</t>
  </si>
  <si>
    <t>TRANSPORTES TERRETRES Y MARITIMOS S.A</t>
  </si>
  <si>
    <t>MARIO ANTONIO GARCIA BAUTISTA</t>
  </si>
  <si>
    <t>72.9</t>
  </si>
  <si>
    <t>MARCOS ANTONIO ALBARADO CALEDONIO</t>
  </si>
  <si>
    <t>NELSON EDUARDO GUERRA ORILLANA</t>
  </si>
  <si>
    <t>CA-9 SUR A</t>
  </si>
  <si>
    <t>Perfecto Garcia Sarceño</t>
  </si>
  <si>
    <t>OSCAR CORNELIO MAZARIEGOS CABON</t>
  </si>
  <si>
    <t xml:space="preserve">CARRIL DERECHO AL NORTE AL 100 Y CARRIL IZQUIERDO UN 75% </t>
  </si>
  <si>
    <t xml:space="preserve">Eddy Arnaldo Hernández Palma </t>
  </si>
  <si>
    <t>OBSTRUYE 100% PASO DESNIVEL</t>
  </si>
  <si>
    <t>Jose Luiz Gravez</t>
  </si>
  <si>
    <t>07;05</t>
  </si>
  <si>
    <t>RN-10</t>
  </si>
  <si>
    <t xml:space="preserve">AMBOS CARRILES AL SUR </t>
  </si>
  <si>
    <t xml:space="preserve">marlon erber solis garcia </t>
  </si>
  <si>
    <t>ANDY EDUARDO CARDOA  RIOS</t>
  </si>
  <si>
    <t>RN-01</t>
  </si>
  <si>
    <t xml:space="preserve">APOYO A DIGEF </t>
  </si>
  <si>
    <t xml:space="preserve">carril derecho 50% </t>
  </si>
  <si>
    <t>santos Cecilio xot xuya</t>
  </si>
  <si>
    <t>LEOPOLDO FRANCICO LEAL DE LA CRUZ</t>
  </si>
  <si>
    <t>RN-19</t>
  </si>
  <si>
    <t>fuera de la via</t>
  </si>
  <si>
    <t>SANCIÓN</t>
  </si>
  <si>
    <t>AMBOS CARRILES DE LA VIA</t>
  </si>
  <si>
    <t>CESAR AUGUSTO GUZMAN MORALES</t>
  </si>
  <si>
    <t>JOSE ERNESTO MONTERROSO MORALES</t>
  </si>
  <si>
    <t>PANEL</t>
  </si>
  <si>
    <t>AMBOS SENTIDOS</t>
  </si>
  <si>
    <t xml:space="preserve">irma esperanza rosales </t>
  </si>
  <si>
    <t>por estacionarse lugar señalizado</t>
  </si>
  <si>
    <t>MORALES</t>
  </si>
  <si>
    <t>OO7</t>
  </si>
  <si>
    <t>CARRIL DERECHO AL 100%</t>
  </si>
  <si>
    <t xml:space="preserve">EDWING ANIBAL MEDINA NAVAS </t>
  </si>
  <si>
    <t>por estacionarse en lugar prohibido</t>
  </si>
  <si>
    <t>Salvador Ramirez Ramirez</t>
  </si>
  <si>
    <t>O11</t>
  </si>
  <si>
    <t>FUGADO</t>
  </si>
  <si>
    <t>CARRIL AL SUR 100%</t>
  </si>
  <si>
    <t>OO3</t>
  </si>
  <si>
    <t>NICOMEDEZ ESCOBAR MARRROQUIN</t>
  </si>
  <si>
    <t>CARRIL IZQUIERDO AL 100%</t>
  </si>
  <si>
    <t>HUGO HERLINDO CARIAS RAMIREZ</t>
  </si>
  <si>
    <t>OO2</t>
  </si>
  <si>
    <t xml:space="preserve">AMIRCAS RENE BARRIOS RODAS </t>
  </si>
  <si>
    <t xml:space="preserve">NERY ESTURO DIEYES MACHICHES </t>
  </si>
  <si>
    <t>M</t>
  </si>
  <si>
    <t>CARLOS ENRIQUE CHOCO TIUL</t>
  </si>
  <si>
    <t>EMILIANO AGUILAR CAMPOS</t>
  </si>
  <si>
    <t>COATEPEQUE</t>
  </si>
  <si>
    <t>OO4</t>
  </si>
  <si>
    <t>Abilio cruz oxlaj itzep</t>
  </si>
  <si>
    <t>OBSTRUYE CARRIL DERECHO 100%</t>
  </si>
  <si>
    <t xml:space="preserve">Luis Humberto batzin de leon </t>
  </si>
  <si>
    <t>MAQUINARIA</t>
  </si>
  <si>
    <t>SERGIO ADAMAYTIS  CORO SAMAYOA</t>
  </si>
  <si>
    <t>CARLOS MEJIA GOMEZ</t>
  </si>
  <si>
    <t xml:space="preserve">fuera de la via </t>
  </si>
  <si>
    <t>WILLIAM ARNOLDO TENAS</t>
  </si>
  <si>
    <t xml:space="preserve"> kuinillo cac Catarina </t>
  </si>
  <si>
    <t>Jorge Antonio Rivas de leon</t>
  </si>
  <si>
    <t>CARRIL DERECHO 100% Y 20% DEL IZQUIERDO</t>
  </si>
  <si>
    <t>NELSON ESTUARDO MORATAYA CATALAN</t>
  </si>
  <si>
    <t xml:space="preserve">apoyo a covial </t>
  </si>
  <si>
    <t xml:space="preserve">obstruye carril derecho </t>
  </si>
  <si>
    <t>Selvin Antonio azun aceituno</t>
  </si>
  <si>
    <t>joselin tatiana vispache garcia</t>
  </si>
  <si>
    <t xml:space="preserve">50% de carril derecho </t>
  </si>
  <si>
    <t>walter estuardo andrade rabanales</t>
  </si>
  <si>
    <t xml:space="preserve">mario umberto jimenez andres </t>
  </si>
  <si>
    <t>carril derecho 100%</t>
  </si>
  <si>
    <t>FELIPE SOSO MENDOZA</t>
  </si>
  <si>
    <t>GUY ESTUART ANDREW MARLEY</t>
  </si>
  <si>
    <t>Diego armando Cordón y Cordón</t>
  </si>
  <si>
    <t>Soza Vargas Jorge Ovidio</t>
  </si>
  <si>
    <t>COLISIÓN MÚLTIPLE</t>
  </si>
  <si>
    <t>Cesar Augusto Suchite Blanco</t>
  </si>
  <si>
    <t>Fernano Antonio Quiej Ajtun</t>
  </si>
  <si>
    <t>hernesto ramon marquez</t>
  </si>
  <si>
    <t>carril izquierdo 100%</t>
  </si>
  <si>
    <t>mosies anibal herarte juarez</t>
  </si>
  <si>
    <t>PROBLEMAS DE SALUD</t>
  </si>
  <si>
    <t xml:space="preserve">fuera de  la via </t>
  </si>
  <si>
    <t>obed Conrado Felipe Hernández</t>
  </si>
  <si>
    <t xml:space="preserve">Por no respetar las sañeles de tránsito. </t>
  </si>
  <si>
    <t>LUCAS IXCAL</t>
  </si>
  <si>
    <t>CA-14</t>
  </si>
  <si>
    <t xml:space="preserve">OBSTRUYE 2 CARRILES </t>
  </si>
  <si>
    <t>FREDDY ESTUARDO GABRIEL RODRIGUEZ</t>
  </si>
  <si>
    <t>GENARO ARCILIO NORIEGA HERNANDEZ</t>
  </si>
  <si>
    <t>WILFREDO MARROQUIN</t>
  </si>
  <si>
    <t>JORGE SAMUEL CAAL</t>
  </si>
  <si>
    <t>Elvis leonardo pinto gonzales</t>
  </si>
  <si>
    <t>DERECHO 100%</t>
  </si>
  <si>
    <t>ROLANDO HERNANDEZ AZURDIA</t>
  </si>
  <si>
    <t>luis miguel chajon chajon</t>
  </si>
  <si>
    <t>Nery geobany marroquin</t>
  </si>
  <si>
    <t>MELANIA EUNICE LATIN MAZARIEGOS</t>
  </si>
  <si>
    <t>ANGELA ERMINIA QUIACAIN AJPACASA</t>
  </si>
  <si>
    <t>Edy Wilder herrarte morales</t>
  </si>
  <si>
    <t>LIMPIEZA DE CUNETAS</t>
  </si>
  <si>
    <t xml:space="preserve"> se encuentran realizando trabajos de recapeo en la incorporación hacia la ruta CITO-180 aproximadamente 350 metros lineales.</t>
  </si>
  <si>
    <t xml:space="preserve">fuera de LA VIA </t>
  </si>
  <si>
    <t xml:space="preserve">leonel alfreo linares mancilla </t>
  </si>
  <si>
    <t>alvarez enrique erick Estuardo</t>
  </si>
  <si>
    <t xml:space="preserve">MARIA ISABEL FAJARDO SOSA DE GARCIA </t>
  </si>
  <si>
    <t>carril izquerdo 100%</t>
  </si>
  <si>
    <t>TOJIN CHIBALAN JUAN</t>
  </si>
  <si>
    <t>CRRIL NORTE 100%</t>
  </si>
  <si>
    <t>fabio anibal rodas</t>
  </si>
  <si>
    <t>SITUACION DE CARRETERA</t>
  </si>
  <si>
    <t>CAÍDA DE ÁRBOL</t>
  </si>
  <si>
    <t xml:space="preserve">AMBOS CARRILES </t>
  </si>
  <si>
    <t xml:space="preserve">CHIQUITO RUCAL  EDWING RODOLFO </t>
  </si>
  <si>
    <t>RUBEN DAVID AGUILAR DIAZ</t>
  </si>
  <si>
    <t>YONY JEOVANI LOPEZ GRANADO</t>
  </si>
  <si>
    <t>AMBOS CARRIL DERECHO Y CENTRAL</t>
  </si>
  <si>
    <t>ACRLOS GEOVANI BLACO</t>
  </si>
  <si>
    <t>Carlos Emanuel Guerra</t>
  </si>
  <si>
    <t>Direccion Sur 100%</t>
  </si>
  <si>
    <t>ERWIN JORDANY MARROQUIN CHINTUN</t>
  </si>
  <si>
    <t xml:space="preserve">CARRIL DERECHO AL 100% AL ORIENTE </t>
  </si>
  <si>
    <t>RODRIGO TEZEN PIRIR</t>
  </si>
  <si>
    <t>04.43</t>
  </si>
  <si>
    <t>OBSTRUYE CARRIL DERECHO</t>
  </si>
  <si>
    <t>SHIRLY FERNANDA GRAMAJO ZAMORA</t>
  </si>
  <si>
    <t xml:space="preserve">Rufino martinez guerra </t>
  </si>
  <si>
    <t>CARRIL DERECHO100%</t>
  </si>
  <si>
    <t>JONATAN SAMULE US PEREZ</t>
  </si>
  <si>
    <t>52.5</t>
  </si>
  <si>
    <t>CARRIL DERACHO 25%</t>
  </si>
  <si>
    <t>DIEGO ALFONZO MORAN GIMENEZ</t>
  </si>
  <si>
    <t>CARRIL IZQUIERDO 100%</t>
  </si>
  <si>
    <t>FRANCISCO ARNULFO ARIAS ROSALES</t>
  </si>
  <si>
    <t>POR ESTACIONAR EN LUGARES CON PROIVICION</t>
  </si>
  <si>
    <t xml:space="preserve">CARRIL DERECHO AL 85% </t>
  </si>
  <si>
    <t xml:space="preserve">SIGFRIDO HONELIO BAY ROCHE </t>
  </si>
  <si>
    <t>EMPRESA DE POLLO REY</t>
  </si>
  <si>
    <t xml:space="preserve">EDY GUADALUPE REYES MEJIA </t>
  </si>
  <si>
    <t>ANDREA GABRIELA VONILLA MONTERROSA</t>
  </si>
  <si>
    <t>ALBA LUIS MAZARIEGO  MORALES</t>
  </si>
  <si>
    <t>MARVIN ISASC SUCHIPEQU CANTE</t>
  </si>
  <si>
    <t>oscar gudiel elias siquinajay</t>
  </si>
  <si>
    <t>WILFREDO ANTONIO RAMIREZ M,ARTINEZ</t>
  </si>
  <si>
    <t>POR ESTACIONARSE EN LUGAR PROHIBIDO</t>
  </si>
  <si>
    <t>Dilson Duván Torres Baten</t>
  </si>
  <si>
    <t>WISMAN CRUZ LINARES</t>
  </si>
  <si>
    <t>Fuera de la vía</t>
  </si>
  <si>
    <t>JERBER VACILIO BOR CANEL</t>
  </si>
  <si>
    <t>Enrique Ottoniel Lopez Ramirez</t>
  </si>
  <si>
    <t>MIRIAN NOEMY MORALES FRANCO</t>
  </si>
  <si>
    <t>CESAR AGUSTO FRANCO SOLIZ</t>
  </si>
  <si>
    <t>CA-10</t>
  </si>
  <si>
    <t>juan fracisco alemán romero</t>
  </si>
  <si>
    <t>JOSE DE JESUS CITALAN JOJ</t>
  </si>
  <si>
    <t>MARIA CONCHITA ESTRADA CORDONDE FERRO</t>
  </si>
  <si>
    <t>BYRON ALBERTO ECHEVERRIA LEIVA</t>
  </si>
  <si>
    <t>JORGE MARIO ACEVEDO SILIEZAR</t>
  </si>
  <si>
    <t>ELSA CAROLINA ROSELL ALDANA</t>
  </si>
  <si>
    <t>DANIEL ANDRES GODOY RAMAZZINI</t>
  </si>
  <si>
    <t xml:space="preserve">LINDA GABRIELA PAZ LINARES </t>
  </si>
  <si>
    <t>MOTOBICICLETA</t>
  </si>
  <si>
    <t xml:space="preserve">CESAR AUGUSTO GOMEZ ALVARADO </t>
  </si>
  <si>
    <t>CARLOS ALBERTO QUINO TUY</t>
  </si>
  <si>
    <t>OBSTRUYE CARRIL DERECHO Y CENTRAL 100%</t>
  </si>
  <si>
    <t xml:space="preserve">HEVER NOEL RIVAS CARRETO </t>
  </si>
  <si>
    <t>VALENTIN NATANAEL CHAVEZ OVALLE</t>
  </si>
  <si>
    <t>60.5</t>
  </si>
  <si>
    <t>DERRAME</t>
  </si>
  <si>
    <t xml:space="preserve">OBSTRUYE CARRIL DERECHO 100% </t>
  </si>
  <si>
    <t>DENIS MOISES MUÑOZ ZULETA</t>
  </si>
  <si>
    <t xml:space="preserve">RUBEN PEREZ </t>
  </si>
  <si>
    <t>APOYO ATLETISMO</t>
  </si>
  <si>
    <t>jose alfredo jimenez barrientos</t>
  </si>
  <si>
    <t>OPERATIVO PNC TRANSITO</t>
  </si>
  <si>
    <t>OPERATIVO CON PNC</t>
  </si>
  <si>
    <t>50% DERECHO</t>
  </si>
  <si>
    <t>JOSE RAFAEL SOLORZANO ARANGO</t>
  </si>
  <si>
    <t>Guillermo Manuel monzon ovalle</t>
  </si>
  <si>
    <t>ESCOLTANDO</t>
  </si>
  <si>
    <t xml:space="preserve"> traslado de embarcaciones</t>
  </si>
  <si>
    <t>ENCARGADO MARCO ANTONIO CORADO</t>
  </si>
  <si>
    <t>N0 TEL: 42201577</t>
  </si>
  <si>
    <t xml:space="preserve">100% DE CARRIL DERECHO </t>
  </si>
  <si>
    <t>wilian damacio perez castillo</t>
  </si>
  <si>
    <t>yonathan Isabel gonzalez melgar</t>
  </si>
  <si>
    <t>BARRIOS EMILIO ESTUARDO DE LEON</t>
  </si>
  <si>
    <t>JOSE ANDRES ALVARADO</t>
  </si>
  <si>
    <t>ESCOLTANDO CARGA ANCHA</t>
  </si>
  <si>
    <t xml:space="preserve"> GIRARDO ESTRADA MENDEZ</t>
  </si>
  <si>
    <t>MOTORIZADA PROVIAL M004</t>
  </si>
  <si>
    <t>VICTOR RUBI AMESQUITA RODAS</t>
  </si>
  <si>
    <t>JOSE AMILTON SANTOS</t>
  </si>
  <si>
    <t>maria estefana morales varillas yax</t>
  </si>
  <si>
    <t>RIO DULCE</t>
  </si>
  <si>
    <t>O15</t>
  </si>
  <si>
    <t>JORGE MARO MARRIQUIN LOPEZ</t>
  </si>
  <si>
    <t>JOSE MARTINES JOHELTRIGEROS ASEBEDO</t>
  </si>
  <si>
    <t>YONATAN JOSUE LEMUS RUANO</t>
  </si>
  <si>
    <t>CARRIL DERECHO Y CENTRAL 100%</t>
  </si>
  <si>
    <t>NICOLAS XON</t>
  </si>
  <si>
    <t>denis marcial ñurinda lopez</t>
  </si>
  <si>
    <t>EXTRANJERA</t>
  </si>
  <si>
    <t>Ocho Morales Byron Estuardo</t>
  </si>
  <si>
    <t>VEHÍCULO INCENDIADO</t>
  </si>
  <si>
    <t>ambos carriles al occidente</t>
  </si>
  <si>
    <t>Geraldo Jeremías López Muñoz</t>
  </si>
  <si>
    <t>HENRRY LEONARDO SEQUEN ALVIZURES</t>
  </si>
  <si>
    <t>DERECHO</t>
  </si>
  <si>
    <t>kevin mateo poz Orozco no</t>
  </si>
  <si>
    <t>diego josue vazquez sanches</t>
  </si>
  <si>
    <t>Henrry Adolfo Gusman</t>
  </si>
  <si>
    <t>migue angel latin rios</t>
  </si>
  <si>
    <t>JOSE FRANSISCO TOCON CABRERA</t>
  </si>
  <si>
    <t>VICTOR MANUEL VASQUEZ MORALES</t>
  </si>
  <si>
    <t>SX</t>
  </si>
  <si>
    <t>GARBIEL ELIZANDO PINTO NAJERA</t>
  </si>
  <si>
    <t>HIBRIDE GUISELA MEDINA RAMOS</t>
  </si>
  <si>
    <t>CASTELLANO MARQUEZ ARNULFO</t>
  </si>
  <si>
    <t>YURGEN ADOLFO PAREDES MADRID</t>
  </si>
  <si>
    <t>RD-10</t>
  </si>
  <si>
    <t>Jorge Arturo cardena</t>
  </si>
  <si>
    <t xml:space="preserve">DAVID ARCILA RAMIREZ </t>
  </si>
  <si>
    <t xml:space="preserve">Yunior Castillo Rebolorio </t>
  </si>
  <si>
    <t>CRUZ ANTONIO GERONIMO RAMOZ</t>
  </si>
  <si>
    <t>CANDY NELSON CHAMALE</t>
  </si>
  <si>
    <t>100% CARRIL IZQUIERDO</t>
  </si>
  <si>
    <t>TRABAJOS DE BACHEO</t>
  </si>
  <si>
    <t>CARRILDERECHO 30%</t>
  </si>
  <si>
    <t>100% DE CARRIL DERECHO</t>
  </si>
  <si>
    <t>RD-16</t>
  </si>
  <si>
    <t>TRABAJOS DE PERFILADO</t>
  </si>
  <si>
    <t>DANI ALEXNDER SANTYS HERNANDES</t>
  </si>
  <si>
    <t>AMBOS CARRILES 100%</t>
  </si>
  <si>
    <t xml:space="preserve">EDGAR RUMALDO PERALTA DIAZ </t>
  </si>
  <si>
    <t>AMBOS CARRILES AL NORTE</t>
  </si>
  <si>
    <t>LUISA MARIA GUIETERREZ</t>
  </si>
  <si>
    <t>CARRIL DERECHO 80%</t>
  </si>
  <si>
    <t>CARRILL DERECHO 100%</t>
  </si>
  <si>
    <t>RUDY ADAN CHACON</t>
  </si>
  <si>
    <t>EDYN JABIER SHACAJ GOMEZ</t>
  </si>
  <si>
    <t>ALBA ROCIO CHINCHILLA CHUBA DE CHULUC</t>
  </si>
  <si>
    <t>JULIO RENE</t>
  </si>
  <si>
    <t>SE ALTERNA EL PASO</t>
  </si>
  <si>
    <t>GERMAN ALEJANDRO BARRIENTOS GARCIA</t>
  </si>
  <si>
    <t>alex Ricardo ramos lorenzo</t>
  </si>
  <si>
    <t>CARRIL AL ORIENTE 50%</t>
  </si>
  <si>
    <t>JUAN JOSE DUARTE CANO</t>
  </si>
  <si>
    <t>MARCO TULIO PINTO Y PINTO</t>
  </si>
  <si>
    <t>ELDER GUALDEMAR PEREZ TRADA</t>
  </si>
  <si>
    <t>CARRIL AL SUR 70%</t>
  </si>
  <si>
    <t>MAINOR OSWALDO LOPEZ SUQUE</t>
  </si>
  <si>
    <t>176.5</t>
  </si>
  <si>
    <t>Neri Fernando Méndez Ávila</t>
  </si>
  <si>
    <t>CARGA SOBREDIMENSIONADA</t>
  </si>
  <si>
    <t xml:space="preserve">Transporte de Maquinaria Castañeda S.A:
</t>
  </si>
  <si>
    <t xml:space="preserve"> Cesar Hermelindo Cruz Vargas</t>
  </si>
  <si>
    <t xml:space="preserve"> 2235 70087 0101</t>
  </si>
  <si>
    <t>LERVIN MANUEL AMALIO AGUSTIN</t>
  </si>
  <si>
    <t>1681 33505 0101</t>
  </si>
  <si>
    <t>172.8</t>
  </si>
  <si>
    <t>CARRIL IZQUIERDO 25%</t>
  </si>
  <si>
    <t>HECTOR ROBERTO CASTRO MATEO</t>
  </si>
  <si>
    <t>NOMBRE ALEX JOEL SUCHITE</t>
  </si>
  <si>
    <t>CRISTIAN EDUARDO LIP ROSARIO</t>
  </si>
  <si>
    <t>FERNANDO ANTONIO GIRON</t>
  </si>
  <si>
    <t>CARRIL HACIA ORIENTE</t>
  </si>
  <si>
    <t xml:space="preserve">MAZARIEGOS PEÑA ESTANISLAO </t>
  </si>
  <si>
    <t>E</t>
  </si>
  <si>
    <t xml:space="preserve"> 00927563-6</t>
  </si>
  <si>
    <t xml:space="preserve">Jorge Yovanny Alvarado Enrique </t>
  </si>
  <si>
    <t xml:space="preserve">JAVIER ALEXANDER GARCIA </t>
  </si>
  <si>
    <t>RN-16</t>
  </si>
  <si>
    <t>CERRADO AMBOS SENTIDOS</t>
  </si>
  <si>
    <t>NO AY DATOS</t>
  </si>
  <si>
    <t>80.6</t>
  </si>
  <si>
    <t>COVIAL</t>
  </si>
  <si>
    <t>EVER NOE CALDERON VILLATORO</t>
  </si>
  <si>
    <t>1663 63839 1101</t>
  </si>
  <si>
    <t>CARRIL OCCDENTE</t>
  </si>
  <si>
    <t>CARRIL AL SUR</t>
  </si>
  <si>
    <t>MOVECO</t>
  </si>
  <si>
    <t>55.5</t>
  </si>
  <si>
    <t>MARIO TIMOTEO ORTIZ LOPEZ</t>
  </si>
  <si>
    <t>CARRIL HACIA OCCIDENTE</t>
  </si>
  <si>
    <t>Jose Antonio Soto Argueta</t>
  </si>
  <si>
    <t xml:space="preserve"> RODOLFO RODRIGO MAQUIN CAAL</t>
  </si>
  <si>
    <t>Melvin Noel Gonzáles Xitumul</t>
  </si>
  <si>
    <t>HECTOR OMAR CIFUENTES</t>
  </si>
  <si>
    <t>174.8</t>
  </si>
  <si>
    <t>JUAN MANUEL HERRERA</t>
  </si>
  <si>
    <t>MARIO ALEJANDRO CAMPOS</t>
  </si>
  <si>
    <t>GRÚA</t>
  </si>
  <si>
    <t>MARIO ALEJANDRO</t>
  </si>
  <si>
    <t>175.5</t>
  </si>
  <si>
    <t>William Aroldo Velásquez Monzón</t>
  </si>
  <si>
    <t>JOSE ANTONIO ARRIETE</t>
  </si>
  <si>
    <t>ATAQUE ARMADO</t>
  </si>
  <si>
    <t>AMBOS SENTIDOS 100%</t>
  </si>
  <si>
    <t>ETEL FRANXCISCO GARCIA GRANADOS</t>
  </si>
  <si>
    <t>carril izquierdo a oriente 100%, Carril izquierdo occidente 10%</t>
  </si>
  <si>
    <t>INDUSTRIAS ALIMENTICIAS KERNS</t>
  </si>
  <si>
    <t>EDVIN ESTUARDO LOPEZ</t>
  </si>
  <si>
    <t>1702 02461 1805</t>
  </si>
  <si>
    <t>Fredy neemias ovando crub</t>
  </si>
  <si>
    <t>ROBERTO ESTUARDO IXCOY CAHUEX</t>
  </si>
  <si>
    <t>210.3</t>
  </si>
  <si>
    <t>BYRON GIREL MELENDEZ ESTRADA</t>
  </si>
  <si>
    <t>Milton Gadiel Caracun Ajanel</t>
  </si>
  <si>
    <t>2386 3791 01015</t>
  </si>
  <si>
    <t>CUNETAS</t>
  </si>
  <si>
    <t>NO HAY  DATOS</t>
  </si>
  <si>
    <t>ERIK FERNANDO PALACIOS</t>
  </si>
  <si>
    <t>VEHÍCULO ABANDONADO</t>
  </si>
  <si>
    <t>DESPRENDIMIENTO DE EJE</t>
  </si>
  <si>
    <t>CARRIL DERECHO OCCIDENTE 100%</t>
  </si>
  <si>
    <t>JUAN JOSE GONZALEZ</t>
  </si>
  <si>
    <t>EDI AUGUSTO MIZA POYON</t>
  </si>
  <si>
    <t>CARRIL AL NORTE</t>
  </si>
  <si>
    <t>JUAN JOSE VASQUEZ</t>
  </si>
  <si>
    <t>2032406730001B</t>
  </si>
  <si>
    <t>OSCAR DE JESUS</t>
  </si>
  <si>
    <t>CARLOS ABRAHAN AJTUN USUS</t>
  </si>
  <si>
    <t>CARRIL HACIA EL NORTE</t>
  </si>
  <si>
    <t>JORGE MARIO ENRIQUEZ</t>
  </si>
  <si>
    <t>2605 73663 2007</t>
  </si>
  <si>
    <t>DERECHO  7%</t>
  </si>
  <si>
    <t>ERICK ANTONIO DE PAZ LOPEZ</t>
  </si>
  <si>
    <t>EDERSON JOSUE MAYORGA MAYORGA</t>
  </si>
  <si>
    <t>Jackson wilneth</t>
  </si>
  <si>
    <t xml:space="preserve">FRANCISCO JAVIER LOPEZ </t>
  </si>
  <si>
    <t>CARRIL  HACIA  AL SUR</t>
  </si>
  <si>
    <t>EDGAR GEOBANI GONZALEZ HERNANDEZ</t>
  </si>
  <si>
    <t>EMPRESA EDIFICA</t>
  </si>
  <si>
    <t>JUAN JOSE MONTERROSO ARCHILA</t>
  </si>
  <si>
    <t>43.2</t>
  </si>
  <si>
    <t>HO HAY DATOS</t>
  </si>
  <si>
    <t xml:space="preserve"> JOSE ANTONIO MANCIA SOSA</t>
  </si>
  <si>
    <t>VICTOR MANUEL ORELLANA ESTRADA</t>
  </si>
  <si>
    <t>VILLA NUEVA POSADAS MAGNOL JILVERTO</t>
  </si>
  <si>
    <t>1406-1996-00040</t>
  </si>
  <si>
    <t>COMERCIALIZADORA DE TRASNPORTES</t>
  </si>
  <si>
    <t>EDGAR EDUARDO LOPEZ SANTIAGO</t>
  </si>
  <si>
    <t>PROSEGUA</t>
  </si>
  <si>
    <t>GUADALUPE HERNANDEZ LASARO</t>
  </si>
  <si>
    <t>ESAU MORATAYA GONZALES</t>
  </si>
  <si>
    <t>O</t>
  </si>
  <si>
    <t>Roni Eduardo Guandanini Ruiz</t>
  </si>
  <si>
    <t>ROBET DANIEL LOPEZ INTERINO</t>
  </si>
  <si>
    <t>CARRL CENTRAL</t>
  </si>
  <si>
    <t>JOSE MANUEL GUTIERRES</t>
  </si>
  <si>
    <t>RICARDO SALAZAR LARIOS</t>
  </si>
  <si>
    <t>elcides Audiel mendez ramirez</t>
  </si>
  <si>
    <t>VICTOR MAUEL TORRES PERES</t>
  </si>
  <si>
    <t>MAURO ANTONIO COBON</t>
  </si>
  <si>
    <t>14;07</t>
  </si>
  <si>
    <t>OSCAR RANDULFO SAMORA HERNANDEZ</t>
  </si>
  <si>
    <t>JOSUE ISRAEL MEJIA PIVARAL</t>
  </si>
  <si>
    <t>ENRIQUE ANTONIO FLORES BARRIENTOS</t>
  </si>
  <si>
    <t>CARLOS GABINO ESTRADA MUÑOZ</t>
  </si>
  <si>
    <t>MIGUEL ANGEL DIVAS DEL SID</t>
  </si>
  <si>
    <t>BYRON ADOLFO PISQUIY ORDOÑEZ</t>
  </si>
  <si>
    <t>MAYCOL MICHAEL CASTRO GUTIEREZ</t>
  </si>
  <si>
    <t>WILLIAM DANIEL UPUN TZAY</t>
  </si>
  <si>
    <t>3110 45170 0407</t>
  </si>
  <si>
    <t>JOSE ISAIAS GARCIA ORTIZ</t>
  </si>
  <si>
    <t>1838 07626 0202</t>
  </si>
  <si>
    <t>OCTAVIO PINEDA LEMUS</t>
  </si>
  <si>
    <t>morales Polanco Gerson Emanuel</t>
  </si>
  <si>
    <t>43.4</t>
  </si>
  <si>
    <t>JOSE ISRAEL CALDERON</t>
  </si>
  <si>
    <t>CRUZ JIMENES VICTOR HUGO</t>
  </si>
  <si>
    <t>VEHICULO FUGADO</t>
  </si>
  <si>
    <t>189.9</t>
  </si>
  <si>
    <t>FRANCISCO MIGUEL ALEJANDRO XUN SAPON</t>
  </si>
  <si>
    <t xml:space="preserve">NO HAY DTAOS </t>
  </si>
  <si>
    <t>AMBOS CAARRILES</t>
  </si>
  <si>
    <t>RECINOS LOPEZ ELMER OTONIEL</t>
  </si>
  <si>
    <t>42.5</t>
  </si>
  <si>
    <t>AMBOS CARRILES AL NORTE 100%</t>
  </si>
  <si>
    <t>Miguel Angel Lopez</t>
  </si>
  <si>
    <t>Juan Gabriel Lopez Lopez</t>
  </si>
  <si>
    <t>CARRIL AL NORTE 100%</t>
  </si>
  <si>
    <t>NALIO BARILLAS SAZO</t>
  </si>
  <si>
    <t>SERGIO ESTUARDO GONZALES PALOMO</t>
  </si>
  <si>
    <t>PABLO MENDOZA GARCIA</t>
  </si>
  <si>
    <t>RAUL GUIT SICAJAU</t>
  </si>
  <si>
    <t>NO  HAY DATOS</t>
  </si>
  <si>
    <t>48.8</t>
  </si>
  <si>
    <t>Abner José charro de ocute</t>
  </si>
  <si>
    <t>Josué eugenio cardona Aguirre</t>
  </si>
  <si>
    <t>CARLA MARIA CALDERON</t>
  </si>
  <si>
    <t>Estuardo Antonio Carcamo Díaz</t>
  </si>
  <si>
    <t>JUAN JOSE MISAEL GERONIMO CORTEZ</t>
  </si>
  <si>
    <t>Erwin Francisco Matul Perez</t>
  </si>
  <si>
    <t>Mario Giancarlo Garcia Alvarez</t>
  </si>
  <si>
    <t>BORIS RICARDO ZACARIAS</t>
  </si>
  <si>
    <t>SERGIO ESTUARDO GONZALEZ</t>
  </si>
  <si>
    <t>Marlos Abel Salazar Santos</t>
  </si>
  <si>
    <t>OSCAR PEÑA</t>
  </si>
  <si>
    <t>Sony de Jesús espinosa</t>
  </si>
  <si>
    <t>BRAYAN ALEXANDER OCHOA TORRES</t>
  </si>
  <si>
    <t>SALVADOR DE JEDUD</t>
  </si>
  <si>
    <t>PABLO JOSUE LORENZO</t>
  </si>
  <si>
    <t>CESAR AGUSTO PAREDES</t>
  </si>
  <si>
    <t>TRABAJOS</t>
  </si>
  <si>
    <t>LESVIA MARISON MAROTA GONZALES</t>
  </si>
  <si>
    <t xml:space="preserve">Carlos Manuel Rodrigues Pérez </t>
  </si>
  <si>
    <t xml:space="preserve">José Omar Funes Morales </t>
  </si>
  <si>
    <t>CARRIL DERECHO UN 30%</t>
  </si>
  <si>
    <t xml:space="preserve">Cristopher Michael Abelino  Godoy Cumay </t>
  </si>
  <si>
    <t>YUMMIES</t>
  </si>
  <si>
    <t>OSBIN ALEXIS MARCOS JAVIER</t>
  </si>
  <si>
    <t>Jose Antonio Coronado Verganza</t>
  </si>
  <si>
    <t>RUDY ULISES ETRDA BARRIOS</t>
  </si>
  <si>
    <t xml:space="preserve">MOVECO </t>
  </si>
  <si>
    <t xml:space="preserve">100% DEL CARRIL AL SUR </t>
  </si>
  <si>
    <t>32.6</t>
  </si>
  <si>
    <t xml:space="preserve">80% DE CARRIL DERECHO </t>
  </si>
  <si>
    <t>RODRIGUES GARCIA</t>
  </si>
  <si>
    <t>55+100</t>
  </si>
  <si>
    <t>EDGUIN AROLDO TOCAY ESQUIT</t>
  </si>
  <si>
    <t xml:space="preserve">DGT </t>
  </si>
  <si>
    <t>29+800</t>
  </si>
  <si>
    <t>ITZAMNA CESAR JOSE</t>
  </si>
  <si>
    <t xml:space="preserve">15% CARRIL AUXILIAR </t>
  </si>
  <si>
    <t>PEDRO ANTONIO CALDERON MEDIZABAL</t>
  </si>
  <si>
    <t>TRANSPORTES TERRESTRES Y AEROES DE CENTRO AMERICA S.A.</t>
  </si>
  <si>
    <t>JOSE MISES SALAZAR CORADO</t>
  </si>
  <si>
    <t xml:space="preserve">DENTRO DE LA CONIFICACION DEL LUGAR </t>
  </si>
  <si>
    <t xml:space="preserve"> LICINIO DE JESUS MENDEZ</t>
  </si>
  <si>
    <t>12;54</t>
  </si>
  <si>
    <t>BYRON EMANUEL SERECH TOJ</t>
  </si>
  <si>
    <t>MARIO DE JESUS LOPEZ</t>
  </si>
  <si>
    <t>MOTOTAXI</t>
  </si>
  <si>
    <t>DERECHO AL OCCIDENTE 40%</t>
  </si>
  <si>
    <t>FUERA  DE LA VIA</t>
  </si>
  <si>
    <t xml:space="preserve">OSCAR ALBERTO GOMEZ MORALES </t>
  </si>
  <si>
    <t>70% carril derecho</t>
  </si>
  <si>
    <t>WILSON RAMIRO RAMIREZ PEREZ</t>
  </si>
  <si>
    <t>17.26</t>
  </si>
  <si>
    <t>LUDWIN ALDO MADRIL GUTIEREZ</t>
  </si>
  <si>
    <t>JOSE MORELL VALDEZ DE LEON</t>
  </si>
  <si>
    <t xml:space="preserve">DERECHO AL 100% </t>
  </si>
  <si>
    <t xml:space="preserve">ALFREDO URIA ESPINOZA </t>
  </si>
  <si>
    <t>268.5</t>
  </si>
  <si>
    <t>William Arnoldo Pérez estrada</t>
  </si>
  <si>
    <t>marlon francisco gutierrez morales</t>
  </si>
  <si>
    <t>FRANKLIN RUDY ROBERTO CONTRERAS AYALA</t>
  </si>
  <si>
    <t>sergio ramiro ixcoy camilo</t>
  </si>
  <si>
    <t xml:space="preserve">PON PON </t>
  </si>
  <si>
    <t>Luis Oswaldo Osorio Ochoa</t>
  </si>
  <si>
    <t xml:space="preserve">JOSE ESTUARDO FUENTES  SALAZAR </t>
  </si>
  <si>
    <t>HENRRY ALEXANDER CORDON CUBON</t>
  </si>
  <si>
    <t>TOBIAS LEON ELVIS ABIGAIL</t>
  </si>
  <si>
    <t>47.3</t>
  </si>
  <si>
    <t xml:space="preserve">DE BACHEO </t>
  </si>
  <si>
    <t>NERY OSWALDO NEGROS LOPEZ</t>
  </si>
  <si>
    <t xml:space="preserve">50% CARRIL DERECHO </t>
  </si>
  <si>
    <t>JULIO ALFREDO DE LEON</t>
  </si>
  <si>
    <t>EDIO EDUARDO LOBOS BIBAR</t>
  </si>
  <si>
    <t>GALGOS</t>
  </si>
  <si>
    <t>Eduardo Antonio garcia yoc</t>
  </si>
  <si>
    <t xml:space="preserve"> IRMA LETICIA ROSALES CABRERA</t>
  </si>
  <si>
    <t>MORFI MATIAS FELICIANO</t>
  </si>
  <si>
    <t>CAMIONETILLA</t>
  </si>
  <si>
    <t>SERGIO YUVINI SANCHEZ PALENCIA</t>
  </si>
  <si>
    <t>CARIIL IZQUIERDO AL 100%</t>
  </si>
  <si>
    <t>WALTER MARCELINO JUAREZ XOC</t>
  </si>
  <si>
    <t>Ludi Aroldo Sentay Poz</t>
  </si>
  <si>
    <t xml:space="preserve">Carlos Ernesto Melgar Hernández </t>
  </si>
  <si>
    <t>CARLOS ENRIQUE GALVEZ GRAMAJO</t>
  </si>
  <si>
    <t>FRANCISCO JAVIER GONZALES SICAL</t>
  </si>
  <si>
    <t>SE ESTARA CERRANDO CARRIL IZQUIERDO</t>
  </si>
  <si>
    <t xml:space="preserve"> CARLOS GEOVANNY CHINCHILLA FUENTES </t>
  </si>
  <si>
    <t xml:space="preserve"> Everardo Noé Pérez del cid </t>
  </si>
  <si>
    <t>DERRUMBE</t>
  </si>
  <si>
    <t>CRISTIAN ALBERTO MIJANGOS RUIZ</t>
  </si>
  <si>
    <t>RN-05</t>
  </si>
  <si>
    <t xml:space="preserve">EN RECAPEO SOBRE EL CARRIL DERECHO SE ALTERNA EL PASO </t>
  </si>
  <si>
    <t xml:space="preserve">POR REALIZAR MAENOBRAS INDEVIDAS </t>
  </si>
  <si>
    <t>Harold Estuardo Tomson Rodriguez</t>
  </si>
  <si>
    <t xml:space="preserve">UN CARRIL AL SUR </t>
  </si>
  <si>
    <t>Roberto Gonzales Juarez</t>
  </si>
  <si>
    <t>Alexandra Maria Ospina Sanchez de Lainsiesta</t>
  </si>
  <si>
    <t>Bryan Alexander Palacion Morales</t>
  </si>
  <si>
    <t>AMBOS CARRILES CERRADOS 100%</t>
  </si>
  <si>
    <t>AUTO TANQUES SOCIEDAD ANONIMA</t>
  </si>
  <si>
    <t>MIGUEL HUMBERTO ORELLA MEXICANO</t>
  </si>
  <si>
    <t>CATARINO POYON OTZOY</t>
  </si>
  <si>
    <t>josue eduardo gonzales</t>
  </si>
  <si>
    <t>ALDO JOSE GONZALES GONZALES</t>
  </si>
  <si>
    <t>CARRIL SENTIDO AL NORTE 100%</t>
  </si>
  <si>
    <t>edagar adolfo rodrigez lopez</t>
  </si>
  <si>
    <t>HUGO YUVINNY</t>
  </si>
  <si>
    <t>IZQUIERDO 100% Y DERECHO 20%</t>
  </si>
  <si>
    <t>JUAN JOSE ANTONIO ROSALES ESPAÑA</t>
  </si>
  <si>
    <t>FRANCIS MALVERTO CALMO</t>
  </si>
  <si>
    <t>Sergio Ivan de Lion</t>
  </si>
  <si>
    <t>MARCO ANTONIO BUITS MARROQUIN</t>
  </si>
  <si>
    <t>100% derecho</t>
  </si>
  <si>
    <t>FELIX ROMERO MEJAI RUIZ</t>
  </si>
  <si>
    <t>100% CARRIL DERECHO</t>
  </si>
  <si>
    <t>CARREN DARLENE VALENSUELA ADELDANIO</t>
  </si>
  <si>
    <t>LUIS IVAN ALEJANDRO REYES MORA</t>
  </si>
  <si>
    <t>francisco Ariel ambros Sifuentes</t>
  </si>
  <si>
    <t>ALVA LUCAS ALVARADO</t>
  </si>
  <si>
    <t>Roberto estevan samal arias</t>
  </si>
  <si>
    <t>Yobani alexander lopez</t>
  </si>
  <si>
    <t>NO</t>
  </si>
  <si>
    <t>ELIAS DE LA ROSA SOTO</t>
  </si>
  <si>
    <t>,</t>
  </si>
  <si>
    <t>DERECHO 50%</t>
  </si>
  <si>
    <t>derecho 50%</t>
  </si>
  <si>
    <t>moises natanahel mejia cardonda</t>
  </si>
  <si>
    <t>CARRIL DERECHO 25%</t>
  </si>
  <si>
    <t>JOSE YOBANI REBOLORIO</t>
  </si>
  <si>
    <t>11.25</t>
  </si>
  <si>
    <t>LOPEZ FIGEROA JOSUE</t>
  </si>
  <si>
    <t xml:space="preserve"> FRANCISCO JOSE RODRIGUEZ NAVAS</t>
  </si>
  <si>
    <t>21+400</t>
  </si>
  <si>
    <t>Derecho 100%</t>
  </si>
  <si>
    <t xml:space="preserve"> Ramirez Lorenzo Israel</t>
  </si>
  <si>
    <t>WILSON OMAR VELASQUES SOC</t>
  </si>
  <si>
    <t>CARRLIL DERECHO 100%</t>
  </si>
  <si>
    <t>KEVIN EPIFANIO MENDEZ VALDEZ</t>
  </si>
  <si>
    <t>YONIB ROLANDO SAXO CRUZ</t>
  </si>
  <si>
    <t>DENIS OTONIEL ORELLANA</t>
  </si>
  <si>
    <t xml:space="preserve"> Carlos Alfredo Flores Alonzo</t>
  </si>
  <si>
    <t xml:space="preserve">50% de ambos carriles </t>
  </si>
  <si>
    <t>LEONEL ESTUARDO JEREZ ARGUETA</t>
  </si>
  <si>
    <t>jose Alfredo Jiménez remires</t>
  </si>
  <si>
    <t xml:space="preserve">100% CARRIL IZQUIERDO </t>
  </si>
  <si>
    <t>francisco irael lopez castillo</t>
  </si>
  <si>
    <t>CARRIL DERRECHO 50%</t>
  </si>
  <si>
    <t>YEISON VIDIULFO MELENDRES MOLINA</t>
  </si>
  <si>
    <t>FUERA DA LA VIA</t>
  </si>
  <si>
    <t>Rony Humberto Zelada Cruz</t>
  </si>
  <si>
    <t>EDY GONZALO MARIN ROSAS</t>
  </si>
  <si>
    <t>2687 80714 0101</t>
  </si>
  <si>
    <t>CARRIL IXQUIERDO 100%</t>
  </si>
  <si>
    <t>JUAN LEONARDO PORIX ARGUETA</t>
  </si>
  <si>
    <t>MANUEL LIZARDY ADRIANO MARIN</t>
  </si>
  <si>
    <t>: 2557 95343 0101</t>
  </si>
  <si>
    <t>274+300</t>
  </si>
  <si>
    <t>CARRIL DERECHO 50 %</t>
  </si>
  <si>
    <t>CRISANTOS CUP CHOP</t>
  </si>
  <si>
    <t xml:space="preserve">2091 28054 1613 </t>
  </si>
  <si>
    <t>HERRERA COLINDRES FABIOLA ELENA</t>
  </si>
  <si>
    <t>2155 59290 0116</t>
  </si>
  <si>
    <t>OSCAR UNBERTO CASTRO</t>
  </si>
  <si>
    <t>CARLOS HUMBERTO BARIAS TRUJILLO</t>
  </si>
  <si>
    <t>AMADOR CARDONA BRYAN JOSE</t>
  </si>
  <si>
    <t xml:space="preserve">EMPRESA TRANSPORTE RUIZ </t>
  </si>
  <si>
    <t>Erick Fernando Caal Perez</t>
  </si>
  <si>
    <t>Julio Cesar Sarceño</t>
  </si>
  <si>
    <t>SHIRLI MARISABEL PORTILLO OVANDO</t>
  </si>
  <si>
    <t>PNC DT</t>
  </si>
  <si>
    <t>POR ESTACIONAR DOBLE LINEA ROJA</t>
  </si>
  <si>
    <t>alvaro Luis calderon gusman</t>
  </si>
  <si>
    <t>carril derecho 80%</t>
  </si>
  <si>
    <t>Herbert Waldemar lopez</t>
  </si>
  <si>
    <t>MIGUEL TZEP Y TZEP</t>
  </si>
  <si>
    <t xml:space="preserve">carril derecho </t>
  </si>
  <si>
    <t>/N/D</t>
  </si>
  <si>
    <t>CARLOS ENRIQUE CUQUE GAYTAN</t>
  </si>
  <si>
    <t>LUIS OVED OSEAS SHICAY NIMACACHI</t>
  </si>
  <si>
    <t xml:space="preserve">100% de carril derecho </t>
  </si>
  <si>
    <t>Edvin Abel Meléndrez Catalán</t>
  </si>
  <si>
    <t xml:space="preserve">AEROPUERTO </t>
  </si>
  <si>
    <t>Silvia Esperanza Díaz Felipe de contreras</t>
  </si>
  <si>
    <t>Fernado Yol Cay</t>
  </si>
  <si>
    <t xml:space="preserve">SE ALTERNA EL PASO </t>
  </si>
  <si>
    <t>LUIS ANGEL CHACON RUANO</t>
  </si>
  <si>
    <t>Vicente Panjoj Coc</t>
  </si>
  <si>
    <t>PEDRO LUIS POLANCO SANCHEZ</t>
  </si>
  <si>
    <t>Enrique Adonai Lima Divas</t>
  </si>
  <si>
    <t>EDUARDO ELIAS HOIL</t>
  </si>
  <si>
    <t>CARLOS BRITO BRITO</t>
  </si>
  <si>
    <t>Juan Carlo Camey Garcia</t>
  </si>
  <si>
    <t xml:space="preserve"> JUANNFER JOSE REYES PEREZ</t>
  </si>
  <si>
    <t xml:space="preserve">FRONTAL OBSTRUYE AMBOS CARRILES AL 100% </t>
  </si>
  <si>
    <t>COPORACION DE SRVICIOS SOCIEDAD ANONIMA</t>
  </si>
  <si>
    <t>KEVIN IBRAIN LOPEZ LOPEZ</t>
  </si>
  <si>
    <t xml:space="preserve">Eric Fabian Chuta Canel </t>
  </si>
  <si>
    <t>SANTOS WALTER DE LEON REYES</t>
  </si>
  <si>
    <t>HUGO GONZALO VIATORO ECHEVERRIA</t>
  </si>
  <si>
    <t>MORALES BALDEZ EDYY SAMUEL</t>
  </si>
  <si>
    <t>BUS URBANO</t>
  </si>
  <si>
    <t>venancio Santiago hernmandez gomez</t>
  </si>
  <si>
    <t>Pablo Joaquín navas mendez</t>
  </si>
  <si>
    <t>Wilmar Estuardo Marroquin Jerez</t>
  </si>
  <si>
    <t>CARLOS ERNESTO DE JUAN CHOCOJ</t>
  </si>
  <si>
    <t xml:space="preserve">Pedro Alejandro Chats Mendez </t>
  </si>
  <si>
    <t>LUISVIN ARNORLDO LIMA MARTINEZ</t>
  </si>
  <si>
    <t>Lusbin Arnoldo Lima Martinez</t>
  </si>
  <si>
    <t>100% CARRIL IZQUIERDO 50% CARRIL DERECHO</t>
  </si>
  <si>
    <t>RIGOBERTO ALONSO LOPEZ</t>
  </si>
  <si>
    <t>N*D</t>
  </si>
  <si>
    <t xml:space="preserve">Rolando Antonio Frans Rivera </t>
  </si>
  <si>
    <t>M005</t>
  </si>
  <si>
    <t xml:space="preserve"> </t>
  </si>
  <si>
    <t>JAIME ROLANDO CHAY CACAHUITO</t>
  </si>
  <si>
    <t>GERSON NARCISO VICENTE ANZUETO</t>
  </si>
  <si>
    <t xml:space="preserve">ANGERY MAROLA ZACARIAS DAVILA </t>
  </si>
  <si>
    <t>josue abraan lopez argueta</t>
  </si>
  <si>
    <t>: 2487941911804</t>
  </si>
  <si>
    <t>100 % AL SUR 25 % AL NORTE</t>
  </si>
  <si>
    <t>JORGE MIGUEL KIJANDRIA MUÑOS</t>
  </si>
  <si>
    <t xml:space="preserve">JOSE ANGEL GRANADO COLOMO </t>
  </si>
  <si>
    <t>LESTER MANUEL MONTERROSO MIRON</t>
  </si>
  <si>
    <t>ALEXANDER EULALIO LOPEZ ARGUETA</t>
  </si>
  <si>
    <t xml:space="preserve">CARRIO DERECHO </t>
  </si>
  <si>
    <t>ERICK ENRRIQUE CASTILLO MARTINEZ</t>
  </si>
  <si>
    <t>Jose Vinicio Mármol</t>
  </si>
  <si>
    <t>38.4</t>
  </si>
  <si>
    <t>RENÉ MENDEZ</t>
  </si>
  <si>
    <t>1963 99025 0611</t>
  </si>
  <si>
    <t>Jonathan Ricardo Guzman Cermeño</t>
  </si>
  <si>
    <t>Marvin Otoniel Botzoc Tzib</t>
  </si>
  <si>
    <t>Mauricio Alejandro Galindo Ramos</t>
  </si>
  <si>
    <t>Oscar Daniel Peralta Escobar</t>
  </si>
  <si>
    <t>CARRUL IZQUIERDO</t>
  </si>
  <si>
    <t>Angel jeremias Flores Bran</t>
  </si>
  <si>
    <t>Nicolás sontay ramos</t>
  </si>
  <si>
    <t>43.8</t>
  </si>
  <si>
    <t>AIDA SUCELI XEP PECHER</t>
  </si>
  <si>
    <t>Carlos Enrique Aguirre del Cid</t>
  </si>
  <si>
    <t>LUDWIN ROLANDO MIRANDA MUHUM</t>
  </si>
  <si>
    <t xml:space="preserve"> JUAN HERNESTO ESCOBAR SOLARES </t>
  </si>
  <si>
    <t>JOSE ALFREDO JUYUX JUAREZ</t>
  </si>
  <si>
    <t>310.5</t>
  </si>
  <si>
    <t>PULLMAN</t>
  </si>
  <si>
    <t>MAYA DE ORO</t>
  </si>
  <si>
    <t>WILLIAM NOE MONTERRO GONZALEZ</t>
  </si>
  <si>
    <t>CARRIL AL ORIENTE</t>
  </si>
  <si>
    <t>40.2</t>
  </si>
  <si>
    <t xml:space="preserve"> CESAR IBAN SOVERNIS GODINEZ</t>
  </si>
  <si>
    <t>tr</t>
  </si>
  <si>
    <t>HORA / ACTUALIZACION</t>
  </si>
  <si>
    <t>SENTIDO</t>
  </si>
  <si>
    <t>NOVEDAD</t>
  </si>
  <si>
    <t>AEROPUERTO</t>
  </si>
  <si>
    <t>REGULACION DE TRANSITO</t>
  </si>
  <si>
    <t xml:space="preserve">CA-1 OCCIDENTE </t>
  </si>
  <si>
    <t>PATRULLAJE DE RUTA</t>
  </si>
  <si>
    <t>ALMUERZO</t>
  </si>
  <si>
    <t>ACCIDENTE VIAL</t>
  </si>
  <si>
    <t>CONTEO VEHICULAR</t>
  </si>
  <si>
    <t>PARADA ESTRATEGICA</t>
  </si>
  <si>
    <t>76.2</t>
  </si>
  <si>
    <t xml:space="preserve">CA-1 ORIENTE </t>
  </si>
  <si>
    <t>CA-09 NORTE</t>
  </si>
  <si>
    <t>CA-09 SUR</t>
  </si>
  <si>
    <t xml:space="preserve">PATRULLAJE DE RUTA </t>
  </si>
  <si>
    <t>CA-02 OCCIDENTE</t>
  </si>
  <si>
    <t>O1O</t>
  </si>
  <si>
    <t>O21</t>
  </si>
  <si>
    <t>REPORTE DENUNCIAS AL 1520 DE USUARIOS, AÑO 2025</t>
  </si>
  <si>
    <t>TIPO DE VEHÍCULO</t>
  </si>
  <si>
    <t>NOMBRE DEL TRANSPORTE</t>
  </si>
  <si>
    <t>PLACAS</t>
  </si>
  <si>
    <t>COLOR</t>
  </si>
  <si>
    <t>TELEFONO</t>
  </si>
  <si>
    <t>NOMBRE</t>
  </si>
  <si>
    <t>DETALLE DE MOTIVO</t>
  </si>
  <si>
    <t>FORTALEZA</t>
  </si>
  <si>
    <t>C-852VNQ</t>
  </si>
  <si>
    <t>ROJ/BLANCO</t>
  </si>
  <si>
    <t>MANIOBRAS INDEBIDAS</t>
  </si>
  <si>
    <t>Anonimo</t>
  </si>
  <si>
    <t>Va manejando como loco, rebasando en curva</t>
  </si>
  <si>
    <t>DESCONOCIDO</t>
  </si>
  <si>
    <t>C-536BNG</t>
  </si>
  <si>
    <t>INCREMENTO DE PASAJE</t>
  </si>
  <si>
    <t xml:space="preserve">EXCESO DE PASAJE </t>
  </si>
  <si>
    <t>PERLA DE ORIENTE</t>
  </si>
  <si>
    <t>C-013BQF</t>
  </si>
  <si>
    <t>AZUL</t>
  </si>
  <si>
    <t>YONATAN PEREZ</t>
  </si>
  <si>
    <t>REALIZANDO MANIOBRAS INDEVIDA</t>
  </si>
  <si>
    <t>tipo</t>
  </si>
  <si>
    <t>descripcion</t>
  </si>
  <si>
    <t>CONSIGNACIÓN</t>
  </si>
  <si>
    <t>OPERATIVOS</t>
  </si>
  <si>
    <t>SISTEMA ELECTRICO</t>
  </si>
  <si>
    <t>ASISTENCIA AL USUARIO</t>
  </si>
  <si>
    <t>DOBLE REMOLQUE</t>
  </si>
  <si>
    <t>SINAPRESE</t>
  </si>
  <si>
    <t>DESCARGA DE BATERÍA</t>
  </si>
  <si>
    <t>OLVIDO LA LLAVE</t>
  </si>
  <si>
    <t>DESBALANCE DE CARGA</t>
  </si>
  <si>
    <t>DESPRENDIMIENTO</t>
  </si>
  <si>
    <t>CAÍDA DE POSTE</t>
  </si>
  <si>
    <t>CAÍDA DE RAMA</t>
  </si>
  <si>
    <t>OPERATIVO PMT</t>
  </si>
  <si>
    <t xml:space="preserve">SOBRECARGA </t>
  </si>
  <si>
    <t>OPERATIVO EN CONJUNTO</t>
  </si>
  <si>
    <t>PUESTO DE ATENCION AL USUARIO</t>
  </si>
  <si>
    <t>DESPRENDIMIENTO DE CONTENEDOR</t>
  </si>
  <si>
    <t>INCENDIO EN RUTA</t>
  </si>
  <si>
    <t>ACUMULACIÓN DE AGUA</t>
  </si>
  <si>
    <t xml:space="preserve">REGULACION DE TRANSITO </t>
  </si>
  <si>
    <t>DESBORDAMIENTO DE RÍO</t>
  </si>
  <si>
    <t>DESPRENDIMIENTO DE ROCAS</t>
  </si>
  <si>
    <t>SOCAVAMIENTO</t>
  </si>
  <si>
    <t>CAÍDA DE VALLA PUBLICITARÍA</t>
  </si>
  <si>
    <t>CARRETERA DAÑADA</t>
  </si>
  <si>
    <t>HUNDIMIENTO</t>
  </si>
  <si>
    <t>CAÍDA DE PUENTE</t>
  </si>
  <si>
    <t>INCENDIO FORESTAL</t>
  </si>
  <si>
    <t>DESLAVE</t>
  </si>
  <si>
    <t xml:space="preserve">LIMPIEZA DE CUNETAS </t>
  </si>
  <si>
    <t xml:space="preserve">SEMOVIENTE </t>
  </si>
  <si>
    <t xml:space="preserve">APOYO ANTORCHA </t>
  </si>
  <si>
    <t>HABILITADO</t>
  </si>
  <si>
    <t>RUTAS</t>
  </si>
  <si>
    <t>ASISTENCIAS</t>
  </si>
  <si>
    <t>GENERO</t>
  </si>
  <si>
    <t>VEHICULOS</t>
  </si>
  <si>
    <t>CONGESTIONAMIENTO</t>
  </si>
  <si>
    <t>ETNIA</t>
  </si>
  <si>
    <t>JAULA CAÑERA</t>
  </si>
  <si>
    <t>1 CARRIL FUNCIONANDO HACIA EL NORTE</t>
  </si>
  <si>
    <t>M001</t>
  </si>
  <si>
    <t>LADINO</t>
  </si>
  <si>
    <t>RASTRA</t>
  </si>
  <si>
    <t>1 CARRIL FUNCIONANDO HACIA EL SUR</t>
  </si>
  <si>
    <t>MAYA</t>
  </si>
  <si>
    <t>EXCESO DE VELOCIDAD</t>
  </si>
  <si>
    <t>SITUACIÓN NO CUBIERTA</t>
  </si>
  <si>
    <t>BICICLETA</t>
  </si>
  <si>
    <t>1 CARRIL FUNCIONANDO HACIA EL ORIENTE</t>
  </si>
  <si>
    <t>GARÍFUNA</t>
  </si>
  <si>
    <t>JEEP</t>
  </si>
  <si>
    <t>1 CARRIL FUNCIONANDO HACIA EL OCCIDENTE</t>
  </si>
  <si>
    <t>XINCA</t>
  </si>
  <si>
    <t>SOBRECARGA DE PERSONAS</t>
  </si>
  <si>
    <t>RD-PET-03</t>
  </si>
  <si>
    <t>BUS ESCOLAR</t>
  </si>
  <si>
    <t>2 CARRILES FUNCIONANDO HACIA EL NORTE</t>
  </si>
  <si>
    <t>M006</t>
  </si>
  <si>
    <t>PILOTO EN ESTADO DE EBRIEDAD</t>
  </si>
  <si>
    <t>2 CARRILES FUNCIONANDO HACIA EL SUR</t>
  </si>
  <si>
    <t>POR ESTAR PELEANDO PASAJE</t>
  </si>
  <si>
    <t>BUS TURISMO</t>
  </si>
  <si>
    <t>2 CARRILES FUNCIONANDO HACIA EL ORIENTE</t>
  </si>
  <si>
    <t>POR IR HABLANDO POR TELEFONO</t>
  </si>
  <si>
    <t>CA-2 ORIENTE</t>
  </si>
  <si>
    <t>TRACTOR</t>
  </si>
  <si>
    <t>2 CARRILES FUNCIONANDO HACIA EL OCCIDENTE</t>
  </si>
  <si>
    <t>POR IR CON MUSICA ALTA</t>
  </si>
  <si>
    <t>CA-8 ORIENTE</t>
  </si>
  <si>
    <t>AMBULANCIA</t>
  </si>
  <si>
    <t>3 CARRILES FUNCIONANDO HACIA EL NORTE</t>
  </si>
  <si>
    <t>OBSTRUIR LA VIA</t>
  </si>
  <si>
    <t>3 CARRILES FUNCIONANDO HACIA EL SUR</t>
  </si>
  <si>
    <t>COLOCACIÓN DE SEÑALIZACIÓN</t>
  </si>
  <si>
    <t>3 CARRILES FUNCIONANDO HACIA EL ORIENTE</t>
  </si>
  <si>
    <t>CIRCULAR EN CONTRA DE LA VÍA</t>
  </si>
  <si>
    <t>AUTOPATRULLA PNC</t>
  </si>
  <si>
    <t>3 CARRILES FUNCIONANDO HACIA EL OCCIDENTE</t>
  </si>
  <si>
    <t>EMBISTIÓ A AGENTES ANTIMOTINES DE LA PNC</t>
  </si>
  <si>
    <t>CHM-11</t>
  </si>
  <si>
    <t>CARRIL REVERSIBLE</t>
  </si>
  <si>
    <t>PIEDRAS COLOCADAS EN EL ARCEN DE LA RUTA</t>
  </si>
  <si>
    <t>QUEJA A BRIGADAS</t>
  </si>
  <si>
    <t>BLOQUEADO</t>
  </si>
  <si>
    <t>DENUNCIA DE CAOS VEHICULAR</t>
  </si>
  <si>
    <t>FTN</t>
  </si>
  <si>
    <t xml:space="preserve">YERSYS DESALINEADOS </t>
  </si>
  <si>
    <t>PRO-1</t>
  </si>
  <si>
    <t>HABILITADO/LAPSOS DE TIEMPO</t>
  </si>
  <si>
    <t>RD-1</t>
  </si>
  <si>
    <t xml:space="preserve">AGLOMERACION DE PERSONAS </t>
  </si>
  <si>
    <t>CISTERNA</t>
  </si>
  <si>
    <t>1 CARRILES FUNCIONANDO (OCCIDENTE/ORIENTE)</t>
  </si>
  <si>
    <t>FURGON</t>
  </si>
  <si>
    <t>2 CARRILES DE CAMINATA DE PERSONAS HACIA EL SUR</t>
  </si>
  <si>
    <t>RD-3</t>
  </si>
  <si>
    <t>RD-9 NORTE</t>
  </si>
  <si>
    <t>DESBORDAMIENTO DE RIO</t>
  </si>
  <si>
    <t>RD-AV-09</t>
  </si>
  <si>
    <t>RD-CHI-01</t>
  </si>
  <si>
    <t>CAIDA DE ROCAS</t>
  </si>
  <si>
    <t>RD-GUA-04-06</t>
  </si>
  <si>
    <t>PLATAFORMA</t>
  </si>
  <si>
    <t>RD-PET-01</t>
  </si>
  <si>
    <t>OBSTACULIZADO</t>
  </si>
  <si>
    <t>RD-PET-11</t>
  </si>
  <si>
    <t>RD-PET-13</t>
  </si>
  <si>
    <t>PEATON</t>
  </si>
  <si>
    <t>RD-SCH-14</t>
  </si>
  <si>
    <t>RD-SRO-03</t>
  </si>
  <si>
    <t>RD-ZA-05</t>
  </si>
  <si>
    <t>RN-07 E</t>
  </si>
  <si>
    <t>VEHICULOS VARIOS</t>
  </si>
  <si>
    <t>RN-11</t>
  </si>
  <si>
    <t>BUS INSTITUCIONAL</t>
  </si>
  <si>
    <t>CUATRIMOTO</t>
  </si>
  <si>
    <t>RN-15</t>
  </si>
  <si>
    <t>FALLECIDO</t>
  </si>
  <si>
    <t>RN-18</t>
  </si>
  <si>
    <t>NO ESPECIFICA</t>
  </si>
  <si>
    <t>RUTA VAS SUR</t>
  </si>
  <si>
    <t>TESLA</t>
  </si>
  <si>
    <t>RUTA VAS OCC</t>
  </si>
  <si>
    <t>VEH / V</t>
  </si>
  <si>
    <t>RUTA VAS OR</t>
  </si>
  <si>
    <t>QUE-03</t>
  </si>
  <si>
    <t>CA-11</t>
  </si>
  <si>
    <t>RD-GUA-01</t>
  </si>
  <si>
    <t>RD-GUA-16</t>
  </si>
  <si>
    <t>PEATONAL</t>
  </si>
  <si>
    <t>RD-JUT-03</t>
  </si>
  <si>
    <t>RN-15-03</t>
  </si>
  <si>
    <t>RN-17</t>
  </si>
  <si>
    <t>RN-9S</t>
  </si>
  <si>
    <t>RD GUA-16</t>
  </si>
  <si>
    <t>RD-SM-01</t>
  </si>
  <si>
    <t xml:space="preserve">RD-SAC-11 </t>
  </si>
  <si>
    <t>RD--PET-03</t>
  </si>
  <si>
    <t>RD-GUA-10</t>
  </si>
  <si>
    <t>RD-SAC-08</t>
  </si>
  <si>
    <t>RD-SOL03</t>
  </si>
  <si>
    <t>RD-STR-003</t>
  </si>
  <si>
    <t>RD-ESC-01</t>
  </si>
  <si>
    <t>RN-02</t>
  </si>
  <si>
    <t>O20</t>
  </si>
  <si>
    <t>M007</t>
  </si>
  <si>
    <t>PROCEDIMIENTOS</t>
  </si>
  <si>
    <t>data</t>
  </si>
  <si>
    <t>tipos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</si>
</sst>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M/yyyy"/>
    <numFmt numFmtId="165" formatCode="H:mm:ss"/>
    <numFmt numFmtId="166" formatCode="dd/mm/yyyy"/>
    <numFmt numFmtId="167" formatCode="d.m"/>
    <numFmt numFmtId="168" formatCode="d/m/yyyy"/>
    <numFmt numFmtId="169" formatCode="yyyy-mm-dd"/>
    <numFmt numFmtId="170" formatCode="h:mm:ss am/pm"/>
  </numFmts>
  <fonts count="53">
    <font>
      <sz val="10.0"/>
      <color rgb="FF000000"/>
      <name val="Arial"/>
      <scheme val="minor"/>
    </font>
    <font>
      <b/>
      <sz val="50.0"/>
      <color rgb="FFFFFF00"/>
      <name val="Comic Sans MS"/>
    </font>
    <font>
      <b/>
      <sz val="11.0"/>
      <color theme="1"/>
      <name val="Arial"/>
    </font>
    <font>
      <b/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sz val="13.0"/>
      <color theme="1"/>
      <name val="Arial"/>
    </font>
    <font>
      <sz val="9.0"/>
      <color theme="1"/>
      <name val="Arial"/>
    </font>
    <font>
      <sz val="11.0"/>
      <color rgb="FF000000"/>
      <name val="Inter"/>
    </font>
    <font>
      <sz val="11.0"/>
      <color theme="1"/>
      <name val="Calibri"/>
    </font>
    <font>
      <sz val="11.0"/>
      <color theme="1"/>
      <name val="Nunito"/>
    </font>
    <font>
      <sz val="12.0"/>
      <color rgb="FF000000"/>
      <name val="Inter"/>
    </font>
    <font>
      <sz val="14.0"/>
      <color theme="1"/>
      <name val="Calibri"/>
    </font>
    <font>
      <sz val="12.0"/>
      <color rgb="FF4B5675"/>
      <name val="Inter"/>
    </font>
    <font>
      <sz val="11.0"/>
      <color rgb="FF252F4A"/>
      <name val="Inter"/>
    </font>
    <font>
      <sz val="9.0"/>
      <color theme="1"/>
      <name val="Franklin Gothic Book"/>
    </font>
    <font>
      <sz val="14.0"/>
      <color rgb="FF000000"/>
      <name val="Calibri"/>
    </font>
    <font>
      <sz val="11.0"/>
      <color rgb="FF000000"/>
      <name val="Arial"/>
    </font>
    <font>
      <b/>
      <sz val="9.0"/>
      <color theme="1"/>
      <name val="Franklin Gothic Book"/>
    </font>
    <font>
      <b/>
      <sz val="10.0"/>
      <color rgb="FFFFFF00"/>
      <name val="Arial"/>
    </font>
    <font>
      <color rgb="FFF3F3F3"/>
      <name val="Arial"/>
      <scheme val="minor"/>
    </font>
    <font>
      <sz val="14.0"/>
      <color theme="1"/>
      <name val="Franklin Gothic Book"/>
    </font>
    <font>
      <sz val="11.0"/>
      <color theme="1"/>
      <name val="&quot;Calibri&quot;"/>
    </font>
    <font>
      <b/>
      <sz val="11.0"/>
      <color theme="1"/>
      <name val="&quot;Calibri&quot;"/>
    </font>
    <font>
      <sz val="12.0"/>
      <color rgb="FF000000"/>
      <name val="Goudy Old Style"/>
    </font>
    <font>
      <color rgb="FF000000"/>
      <name val="Arial"/>
      <scheme val="minor"/>
    </font>
    <font>
      <color rgb="FF434343"/>
      <name val="Arial"/>
      <scheme val="minor"/>
    </font>
    <font>
      <sz val="12.0"/>
      <color theme="1"/>
      <name val="Inter"/>
    </font>
    <font>
      <sz val="10.0"/>
      <color rgb="FF000000"/>
      <name val="Arial"/>
    </font>
    <font>
      <sz val="15.0"/>
      <color rgb="FF000000"/>
      <name val="Arial"/>
      <scheme val="minor"/>
    </font>
    <font>
      <sz val="12.0"/>
      <color theme="1"/>
      <name val="Franklin Gothic Book"/>
    </font>
    <font>
      <color rgb="FFFFFF00"/>
      <name val="Arial"/>
      <scheme val="minor"/>
    </font>
    <font>
      <color rgb="FF000000"/>
      <name val="Roboto"/>
    </font>
    <font>
      <b/>
      <sz val="12.0"/>
      <color rgb="FF0000FF"/>
      <name val="Arial"/>
    </font>
    <font>
      <b/>
      <sz val="12.0"/>
      <color rgb="FFFFFFFF"/>
      <name val="Arial"/>
    </font>
    <font>
      <color theme="1"/>
      <name val="Arial"/>
    </font>
    <font>
      <b/>
      <sz val="13.0"/>
      <color rgb="FFFFFFFF"/>
      <name val="Arial"/>
    </font>
    <font>
      <b/>
      <sz val="15.0"/>
      <color rgb="FFFFFFFF"/>
      <name val="Calibri"/>
    </font>
    <font>
      <b/>
      <sz val="14.0"/>
      <color theme="1"/>
      <name val="Calibri"/>
    </font>
    <font>
      <b/>
      <sz val="14.0"/>
      <color theme="1"/>
      <name val="Arial"/>
    </font>
    <font>
      <b/>
      <sz val="67.0"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  <font>
      <b/>
      <sz val="9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2.0"/>
      <color theme="1"/>
      <name val="Arial"/>
    </font>
    <font>
      <b/>
      <sz val="12.0"/>
      <color theme="1"/>
      <name val="Calibri"/>
    </font>
    <font>
      <sz val="15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00FF00"/>
        <bgColor rgb="FF00FF00"/>
      </patternFill>
    </fill>
    <fill>
      <patternFill patternType="solid">
        <fgColor rgb="FFF9F9F9"/>
        <bgColor rgb="FFF9F9F9"/>
      </patternFill>
    </fill>
    <fill>
      <patternFill patternType="solid">
        <fgColor rgb="FFF9FAFB"/>
        <bgColor rgb="FFF9FAFB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  <fill>
      <patternFill patternType="solid">
        <fgColor rgb="FF005D18"/>
        <bgColor rgb="FF005D18"/>
      </patternFill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3" fontId="3" numFmtId="0" xfId="0" applyAlignment="1" applyFont="1">
      <alignment horizontal="center" shrinkToFit="0" textRotation="90" vertical="bottom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3" fontId="2" numFmtId="3" xfId="0" applyAlignment="1" applyFont="1" applyNumberFormat="1">
      <alignment horizontal="center" shrinkToFit="0" vertical="bottom" wrapText="1"/>
    </xf>
    <xf borderId="0" fillId="3" fontId="3" numFmtId="0" xfId="0" applyAlignment="1" applyFont="1">
      <alignment horizontal="center" shrinkToFit="0" vertical="bottom" wrapText="1"/>
    </xf>
    <xf borderId="0" fillId="3" fontId="3" numFmtId="164" xfId="0" applyAlignment="1" applyFont="1" applyNumberFormat="1">
      <alignment horizontal="center" shrinkToFit="0" vertical="bottom" wrapText="1"/>
    </xf>
    <xf borderId="0" fillId="3" fontId="3" numFmtId="49" xfId="0" applyAlignment="1" applyFont="1" applyNumberFormat="1">
      <alignment horizontal="center" shrinkToFit="0" vertical="bottom" wrapText="1"/>
    </xf>
    <xf borderId="0" fillId="3" fontId="3" numFmtId="3" xfId="0" applyAlignment="1" applyFont="1" applyNumberFormat="1">
      <alignment horizontal="center" shrinkToFit="0" vertical="bottom" wrapText="1"/>
    </xf>
    <xf borderId="0" fillId="3" fontId="3" numFmtId="165" xfId="0" applyAlignment="1" applyFont="1" applyNumberFormat="1">
      <alignment horizontal="center" shrinkToFit="0" vertical="bottom" wrapText="1"/>
    </xf>
    <xf borderId="0" fillId="3" fontId="4" numFmtId="0" xfId="0" applyAlignment="1" applyFont="1">
      <alignment horizontal="center" shrinkToFit="0" vertical="bottom" wrapText="1"/>
    </xf>
    <xf borderId="0" fillId="3" fontId="3" numFmtId="0" xfId="0" applyAlignment="1" applyFont="1">
      <alignment horizontal="center" readingOrder="0" shrinkToFit="0" vertical="bottom" wrapText="1"/>
    </xf>
    <xf borderId="0" fillId="4" fontId="5" numFmtId="0" xfId="0" applyAlignment="1" applyFill="1" applyFont="1">
      <alignment horizontal="center" readingOrder="0" vertical="bottom"/>
    </xf>
    <xf borderId="0" fillId="4" fontId="6" numFmtId="166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5" fontId="2" numFmtId="3" xfId="0" applyAlignment="1" applyFill="1" applyFont="1" applyNumberFormat="1">
      <alignment horizontal="center" readingOrder="0" vertical="bottom"/>
    </xf>
    <xf borderId="0" fillId="6" fontId="2" numFmtId="20" xfId="0" applyAlignment="1" applyFill="1" applyFont="1" applyNumberFormat="1">
      <alignment horizontal="center" readingOrder="0" vertical="bottom"/>
    </xf>
    <xf borderId="0" fillId="0" fontId="8" numFmtId="0" xfId="0" applyAlignment="1" applyFont="1">
      <alignment horizontal="center"/>
    </xf>
    <xf borderId="0" fillId="0" fontId="8" numFmtId="167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 vertical="bottom"/>
    </xf>
    <xf borderId="0" fillId="4" fontId="9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4" fontId="10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4" fontId="11" numFmtId="0" xfId="0" applyAlignment="1" applyFont="1">
      <alignment readingOrder="0"/>
    </xf>
    <xf borderId="0" fillId="4" fontId="12" numFmtId="0" xfId="0" applyAlignment="1" applyFont="1">
      <alignment horizontal="center" readingOrder="0" vertical="bottom"/>
    </xf>
    <xf borderId="0" fillId="4" fontId="13" numFmtId="0" xfId="0" applyAlignment="1" applyFont="1">
      <alignment horizontal="center" readingOrder="0" vertical="bottom"/>
    </xf>
    <xf borderId="0" fillId="4" fontId="14" numFmtId="0" xfId="0" applyAlignment="1" applyFont="1">
      <alignment readingOrder="0"/>
    </xf>
    <xf borderId="0" fillId="4" fontId="15" numFmtId="0" xfId="0" applyAlignment="1" applyFont="1">
      <alignment horizontal="center" readingOrder="0" vertical="bottom"/>
    </xf>
    <xf borderId="0" fillId="4" fontId="11" numFmtId="0" xfId="0" applyAlignment="1" applyFont="1">
      <alignment horizontal="center" readingOrder="0"/>
    </xf>
    <xf borderId="0" fillId="4" fontId="5" numFmtId="0" xfId="0" applyAlignment="1" applyFont="1">
      <alignment readingOrder="0" vertical="bottom"/>
    </xf>
    <xf borderId="0" fillId="0" fontId="8" numFmtId="0" xfId="0" applyAlignment="1" applyFont="1">
      <alignment horizontal="center" readingOrder="0"/>
    </xf>
    <xf borderId="0" fillId="0" fontId="8" numFmtId="20" xfId="0" applyAlignment="1" applyFont="1" applyNumberFormat="1">
      <alignment horizontal="center" readingOrder="0"/>
    </xf>
    <xf borderId="0" fillId="4" fontId="16" numFmtId="0" xfId="0" applyAlignment="1" applyFont="1">
      <alignment readingOrder="0"/>
    </xf>
    <xf borderId="0" fillId="4" fontId="16" numFmtId="0" xfId="0" applyAlignment="1" applyFont="1">
      <alignment horizontal="center" readingOrder="0"/>
    </xf>
    <xf borderId="0" fillId="4" fontId="17" numFmtId="0" xfId="0" applyAlignment="1" applyFont="1">
      <alignment horizontal="left" readingOrder="0"/>
    </xf>
    <xf borderId="0" fillId="7" fontId="17" numFmtId="0" xfId="0" applyAlignment="1" applyFill="1" applyFont="1">
      <alignment horizontal="left" readingOrder="0"/>
    </xf>
    <xf borderId="0" fillId="6" fontId="2" numFmtId="0" xfId="0" applyAlignment="1" applyFont="1">
      <alignment horizontal="center" readingOrder="0" vertical="bottom"/>
    </xf>
    <xf borderId="0" fillId="0" fontId="18" numFmtId="0" xfId="0" applyAlignment="1" applyFont="1">
      <alignment readingOrder="0"/>
    </xf>
    <xf borderId="0" fillId="4" fontId="19" numFmtId="0" xfId="0" applyAlignment="1" applyFont="1">
      <alignment horizontal="center" readingOrder="0" vertical="bottom"/>
    </xf>
    <xf borderId="0" fillId="4" fontId="20" numFmtId="0" xfId="0" applyAlignment="1" applyFont="1">
      <alignment readingOrder="0" vertical="bottom"/>
    </xf>
    <xf borderId="0" fillId="0" fontId="21" numFmtId="0" xfId="0" applyAlignment="1" applyFont="1">
      <alignment readingOrder="0"/>
    </xf>
    <xf borderId="0" fillId="6" fontId="22" numFmtId="20" xfId="0" applyAlignment="1" applyFont="1" applyNumberFormat="1">
      <alignment horizontal="center" readingOrder="0" vertical="bottom"/>
    </xf>
    <xf borderId="0" fillId="0" fontId="8" numFmtId="3" xfId="0" applyAlignment="1" applyFont="1" applyNumberFormat="1">
      <alignment horizontal="center" readingOrder="0"/>
    </xf>
    <xf borderId="0" fillId="8" fontId="11" numFmtId="0" xfId="0" applyAlignment="1" applyFill="1" applyFont="1">
      <alignment readingOrder="0"/>
    </xf>
    <xf borderId="0" fillId="9" fontId="14" numFmtId="0" xfId="0" applyAlignment="1" applyFill="1" applyFont="1">
      <alignment readingOrder="0"/>
    </xf>
    <xf borderId="0" fillId="0" fontId="23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4" fontId="6" numFmtId="168" xfId="0" applyAlignment="1" applyFont="1" applyNumberFormat="1">
      <alignment horizontal="center" readingOrder="0" vertical="bottom"/>
    </xf>
    <xf borderId="0" fillId="4" fontId="16" numFmtId="169" xfId="0" applyAlignment="1" applyFont="1" applyNumberForma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4" fontId="30" numFmtId="0" xfId="0" applyAlignment="1" applyFont="1">
      <alignment readingOrder="0"/>
    </xf>
    <xf borderId="0" fillId="4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20" xfId="0" applyAlignment="1" applyFont="1" applyNumberFormat="1">
      <alignment readingOrder="0"/>
    </xf>
    <xf borderId="0" fillId="4" fontId="35" numFmtId="0" xfId="0" applyAlignment="1" applyFont="1">
      <alignment readingOrder="0"/>
    </xf>
    <xf borderId="0" fillId="0" fontId="8" numFmtId="0" xfId="0" applyFont="1"/>
    <xf borderId="0" fillId="0" fontId="8" numFmtId="20" xfId="0" applyAlignment="1" applyFont="1" applyNumberFormat="1">
      <alignment readingOrder="0"/>
    </xf>
    <xf borderId="0" fillId="0" fontId="36" numFmtId="0" xfId="0" applyAlignment="1" applyFont="1">
      <alignment horizontal="center" readingOrder="0" vertical="bottom"/>
    </xf>
    <xf borderId="0" fillId="10" fontId="37" numFmtId="165" xfId="0" applyAlignment="1" applyFill="1" applyFont="1" applyNumberFormat="1">
      <alignment horizontal="center" vertical="bottom"/>
    </xf>
    <xf borderId="0" fillId="10" fontId="38" numFmtId="0" xfId="0" applyAlignment="1" applyFont="1">
      <alignment vertical="bottom"/>
    </xf>
    <xf borderId="0" fillId="10" fontId="39" numFmtId="0" xfId="0" applyAlignment="1" applyFont="1">
      <alignment horizontal="center" vertical="bottom"/>
    </xf>
    <xf borderId="0" fillId="10" fontId="37" numFmtId="166" xfId="0" applyAlignment="1" applyFont="1" applyNumberFormat="1">
      <alignment horizontal="center" vertical="bottom"/>
    </xf>
    <xf borderId="0" fillId="10" fontId="37" numFmtId="0" xfId="0" applyAlignment="1" applyFont="1">
      <alignment horizontal="center" readingOrder="0" shrinkToFit="0" vertical="bottom" wrapText="1"/>
    </xf>
    <xf borderId="0" fillId="11" fontId="40" numFmtId="0" xfId="0" applyAlignment="1" applyFill="1" applyFont="1">
      <alignment horizontal="center" readingOrder="0" vertical="bottom"/>
    </xf>
    <xf borderId="0" fillId="4" fontId="41" numFmtId="0" xfId="0" applyAlignment="1" applyFont="1">
      <alignment horizontal="center" readingOrder="0" vertical="bottom"/>
    </xf>
    <xf borderId="0" fillId="4" fontId="41" numFmtId="3" xfId="0" applyAlignment="1" applyFont="1" applyNumberFormat="1">
      <alignment horizontal="center" readingOrder="0" vertical="bottom"/>
    </xf>
    <xf borderId="0" fillId="4" fontId="42" numFmtId="0" xfId="0" applyAlignment="1" applyFont="1">
      <alignment horizontal="center" readingOrder="0" vertical="bottom"/>
    </xf>
    <xf borderId="0" fillId="0" fontId="36" numFmtId="170" xfId="0" applyAlignment="1" applyFont="1" applyNumberFormat="1">
      <alignment horizontal="center" vertical="bottom"/>
    </xf>
    <xf borderId="0" fillId="0" fontId="38" numFmtId="170" xfId="0" applyAlignment="1" applyFont="1" applyNumberFormat="1">
      <alignment vertical="bottom"/>
    </xf>
    <xf borderId="0" fillId="4" fontId="41" numFmtId="0" xfId="0" applyAlignment="1" applyFont="1">
      <alignment horizontal="center" vertical="bottom"/>
    </xf>
    <xf borderId="0" fillId="12" fontId="43" numFmtId="0" xfId="0" applyAlignment="1" applyFill="1" applyFont="1">
      <alignment horizontal="center" vertical="bottom"/>
    </xf>
    <xf borderId="0" fillId="0" fontId="38" numFmtId="0" xfId="0" applyAlignment="1" applyFont="1">
      <alignment vertical="bottom"/>
    </xf>
    <xf borderId="0" fillId="12" fontId="42" numFmtId="0" xfId="0" applyAlignment="1" applyFont="1">
      <alignment horizontal="center" shrinkToFit="0" vertical="bottom" wrapText="1"/>
    </xf>
    <xf borderId="0" fillId="12" fontId="42" numFmtId="164" xfId="0" applyAlignment="1" applyFont="1" applyNumberFormat="1">
      <alignment horizontal="center" shrinkToFit="0" vertical="bottom" wrapText="1"/>
    </xf>
    <xf borderId="0" fillId="12" fontId="42" numFmtId="49" xfId="0" applyAlignment="1" applyFont="1" applyNumberFormat="1">
      <alignment horizontal="center" shrinkToFit="0" vertical="bottom" wrapText="1"/>
    </xf>
    <xf borderId="0" fillId="12" fontId="42" numFmtId="3" xfId="0" applyAlignment="1" applyFont="1" applyNumberFormat="1">
      <alignment horizontal="center" shrinkToFit="0" vertical="bottom" wrapText="1"/>
    </xf>
    <xf borderId="0" fillId="0" fontId="38" numFmtId="0" xfId="0" applyAlignment="1" applyFont="1">
      <alignment readingOrder="0" vertical="bottom"/>
    </xf>
    <xf borderId="0" fillId="0" fontId="38" numFmtId="166" xfId="0" applyAlignment="1" applyFont="1" applyNumberFormat="1">
      <alignment horizontal="center" readingOrder="0" vertical="bottom"/>
    </xf>
    <xf borderId="0" fillId="0" fontId="38" numFmtId="0" xfId="0" applyAlignment="1" applyFont="1">
      <alignment horizontal="center" readingOrder="0" vertical="bottom"/>
    </xf>
    <xf borderId="0" fillId="0" fontId="38" numFmtId="166" xfId="0" applyAlignment="1" applyFont="1" applyNumberFormat="1">
      <alignment horizontal="center" vertical="bottom"/>
    </xf>
    <xf borderId="0" fillId="0" fontId="38" numFmtId="0" xfId="0" applyAlignment="1" applyFont="1">
      <alignment horizontal="center" vertical="bottom"/>
    </xf>
    <xf borderId="0" fillId="4" fontId="44" numFmtId="0" xfId="0" applyAlignment="1" applyFont="1">
      <alignment vertical="bottom"/>
    </xf>
    <xf borderId="0" fillId="4" fontId="45" numFmtId="0" xfId="0" applyAlignment="1" applyFont="1">
      <alignment vertical="bottom"/>
    </xf>
    <xf borderId="0" fillId="4" fontId="44" numFmtId="0" xfId="0" applyAlignment="1" applyFont="1">
      <alignment readingOrder="0" vertical="bottom"/>
    </xf>
    <xf borderId="0" fillId="4" fontId="4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4" fontId="46" numFmtId="0" xfId="0" applyAlignment="1" applyFont="1">
      <alignment readingOrder="0" vertical="bottom"/>
    </xf>
    <xf borderId="0" fillId="4" fontId="46" numFmtId="0" xfId="0" applyAlignment="1" applyFont="1">
      <alignment vertical="bottom"/>
    </xf>
    <xf borderId="0" fillId="13" fontId="47" numFmtId="0" xfId="0" applyAlignment="1" applyFill="1" applyFont="1">
      <alignment horizontal="center" vertical="bottom"/>
    </xf>
    <xf borderId="0" fillId="13" fontId="48" numFmtId="0" xfId="0" applyAlignment="1" applyFont="1">
      <alignment horizontal="center" vertical="bottom"/>
    </xf>
    <xf borderId="0" fillId="0" fontId="49" numFmtId="0" xfId="0" applyAlignment="1" applyFont="1">
      <alignment vertical="bottom"/>
    </xf>
    <xf borderId="0" fillId="0" fontId="49" numFmtId="0" xfId="0" applyAlignment="1" applyFont="1">
      <alignment horizontal="center" vertical="bottom"/>
    </xf>
    <xf borderId="0" fillId="0" fontId="50" numFmtId="0" xfId="0" applyAlignment="1" applyFont="1">
      <alignment vertical="bottom"/>
    </xf>
    <xf borderId="0" fillId="0" fontId="49" numFmtId="0" xfId="0" applyAlignment="1" applyFont="1">
      <alignment vertical="bottom"/>
    </xf>
    <xf borderId="0" fillId="4" fontId="4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49" numFmtId="0" xfId="0" applyAlignment="1" applyFont="1">
      <alignment readingOrder="0" vertical="bottom"/>
    </xf>
    <xf borderId="0" fillId="0" fontId="51" numFmtId="0" xfId="0" applyAlignment="1" applyFont="1">
      <alignment horizontal="center" vertical="bottom"/>
    </xf>
    <xf borderId="0" fillId="12" fontId="52" numFmtId="0" xfId="0" applyAlignment="1" applyFont="1">
      <alignment readingOrder="0"/>
    </xf>
  </cellXfs>
  <cellStyles count="1">
    <cellStyle xfId="0" name="Normal" builtinId="0"/>
  </cellStyles>
  <dxfs count="14">
    <dxf>
      <font>
        <b/>
        <color rgb="FFFFFF00"/>
      </font>
      <fill>
        <patternFill patternType="solid">
          <fgColor rgb="FF741B47"/>
          <bgColor rgb="FF741B47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FF0000"/>
      </font>
      <fill>
        <patternFill patternType="solid">
          <fgColor rgb="FF000000"/>
          <bgColor rgb="FF000000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>
        <b/>
        <color rgb="FF000000"/>
      </font>
      <fill>
        <patternFill patternType="solid">
          <fgColor theme="8"/>
          <bgColor theme="8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980000"/>
          <bgColor rgb="FF980000"/>
        </patternFill>
      </fill>
      <border/>
    </dxf>
    <dxf>
      <font>
        <b/>
        <color rgb="FF000000"/>
      </font>
      <fill>
        <patternFill patternType="solid">
          <fgColor rgb="FFEAD1DC"/>
          <bgColor rgb="FFEAD1DC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-19050</xdr:colOff>
      <xdr:row>0</xdr:row>
      <xdr:rowOff>0</xdr:rowOff>
    </xdr:from>
    <xdr:ext cx="9344025" cy="10001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2" max="2" width="11.75"/>
    <col customWidth="1" min="3" max="3" width="18.5"/>
    <col customWidth="1" min="4" max="4" width="11.75"/>
    <col customWidth="1" min="5" max="5" width="8.63"/>
    <col customWidth="1" min="6" max="6" width="7.38"/>
    <col customWidth="1" min="7" max="7" width="8.0"/>
    <col customWidth="1" min="8" max="8" width="11.25"/>
    <col customWidth="1" min="9" max="9" width="23.13"/>
    <col customWidth="1" min="10" max="10" width="17.25"/>
    <col customWidth="1" min="11" max="11" width="25.88"/>
    <col customWidth="1" min="12" max="12" width="31.5"/>
    <col customWidth="1" min="13" max="13" width="32.25"/>
    <col customWidth="1" min="14" max="14" width="40.13"/>
    <col customWidth="1" min="15" max="15" width="24.13"/>
    <col customWidth="1" min="16" max="23" width="4.88"/>
    <col customWidth="1" min="24" max="24" width="32.75"/>
    <col customWidth="1" min="25" max="25" width="15.75"/>
    <col customWidth="1" min="26" max="26" width="18.38"/>
    <col customWidth="1" min="27" max="27" width="17.13"/>
  </cols>
  <sheetData>
    <row r="1" ht="88.5" customHeight="1">
      <c r="A1" s="1" t="s">
        <v>0</v>
      </c>
      <c r="O1" s="2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4" t="s">
        <v>10</v>
      </c>
      <c r="Y1" s="4" t="s">
        <v>11</v>
      </c>
      <c r="Z1" s="5" t="s">
        <v>12</v>
      </c>
      <c r="AA1" s="4" t="s">
        <v>13</v>
      </c>
      <c r="AB1" s="6" t="s">
        <v>14</v>
      </c>
    </row>
    <row r="2" ht="39.0" customHeight="1">
      <c r="A2" s="7" t="s">
        <v>15</v>
      </c>
      <c r="B2" s="8" t="s">
        <v>16</v>
      </c>
      <c r="C2" s="9" t="s">
        <v>17</v>
      </c>
      <c r="D2" s="10" t="s">
        <v>18</v>
      </c>
      <c r="E2" s="11" t="s">
        <v>19</v>
      </c>
      <c r="F2" s="11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12" t="s">
        <v>25</v>
      </c>
      <c r="L2" s="7" t="s">
        <v>26</v>
      </c>
      <c r="M2" s="13" t="s">
        <v>27</v>
      </c>
      <c r="N2" s="7" t="s">
        <v>28</v>
      </c>
    </row>
    <row r="3" ht="19.5" hidden="1" customHeight="1">
      <c r="A3" s="14"/>
      <c r="B3" s="15">
        <v>45962.0</v>
      </c>
      <c r="C3" s="16"/>
      <c r="D3" s="17"/>
      <c r="E3" s="18"/>
      <c r="F3" s="19"/>
      <c r="G3" s="20"/>
      <c r="H3" s="14"/>
      <c r="I3" s="14"/>
      <c r="J3" s="21"/>
      <c r="K3" s="22" t="s">
        <v>29</v>
      </c>
      <c r="L3" s="23"/>
      <c r="M3" s="24"/>
      <c r="N3" s="25"/>
      <c r="O3" s="26" t="s">
        <v>30</v>
      </c>
      <c r="P3" s="14">
        <v>3.0</v>
      </c>
      <c r="Q3" s="14">
        <v>0.0</v>
      </c>
      <c r="R3" s="27">
        <v>0.0</v>
      </c>
      <c r="S3" s="14">
        <v>0.0</v>
      </c>
      <c r="T3" s="28">
        <v>3.0</v>
      </c>
      <c r="U3" s="14">
        <v>0.0</v>
      </c>
      <c r="V3" s="14">
        <v>0.0</v>
      </c>
      <c r="W3" s="14">
        <v>0.0</v>
      </c>
      <c r="X3" s="29" t="s">
        <v>31</v>
      </c>
      <c r="Y3" s="30" t="s">
        <v>32</v>
      </c>
      <c r="Z3" s="31">
        <v>2.16355760501E11</v>
      </c>
      <c r="AA3" s="32" t="s">
        <v>33</v>
      </c>
      <c r="AB3" s="33">
        <v>35.0</v>
      </c>
    </row>
    <row r="4" ht="19.5" hidden="1" customHeight="1">
      <c r="A4" s="14">
        <v>1.0</v>
      </c>
      <c r="B4" s="15">
        <v>45962.0</v>
      </c>
      <c r="C4" s="16" t="s">
        <v>34</v>
      </c>
      <c r="D4" s="17">
        <v>2.0</v>
      </c>
      <c r="E4" s="18">
        <v>0.10902777777777778</v>
      </c>
      <c r="F4" s="34">
        <v>0.31805555555555554</v>
      </c>
      <c r="G4" s="33">
        <v>87.0</v>
      </c>
      <c r="H4" s="14" t="s">
        <v>35</v>
      </c>
      <c r="I4" s="14" t="s">
        <v>36</v>
      </c>
      <c r="J4" s="21" t="s">
        <v>37</v>
      </c>
      <c r="K4" s="22" t="s">
        <v>29</v>
      </c>
      <c r="L4" s="23" t="s">
        <v>38</v>
      </c>
      <c r="M4" s="24" t="s">
        <v>39</v>
      </c>
      <c r="N4" s="25" t="s">
        <v>40</v>
      </c>
      <c r="O4" s="26" t="s">
        <v>30</v>
      </c>
      <c r="P4" s="14">
        <v>3.0</v>
      </c>
      <c r="Q4" s="14">
        <v>0.0</v>
      </c>
      <c r="R4" s="27">
        <v>0.0</v>
      </c>
      <c r="S4" s="14">
        <v>0.0</v>
      </c>
      <c r="T4" s="28">
        <v>3.0</v>
      </c>
      <c r="U4" s="14">
        <v>0.0</v>
      </c>
      <c r="V4" s="14">
        <v>0.0</v>
      </c>
      <c r="W4" s="14">
        <v>0.0</v>
      </c>
      <c r="X4" s="29" t="s">
        <v>41</v>
      </c>
      <c r="Y4" s="30" t="s">
        <v>32</v>
      </c>
      <c r="Z4" s="31">
        <v>1.823699511001E12</v>
      </c>
      <c r="AA4" s="32" t="s">
        <v>33</v>
      </c>
      <c r="AB4" s="33">
        <v>56.0</v>
      </c>
    </row>
    <row r="5" ht="19.5" hidden="1" customHeight="1">
      <c r="A5" s="14"/>
      <c r="B5" s="15">
        <v>45962.0</v>
      </c>
      <c r="C5" s="16"/>
      <c r="D5" s="17"/>
      <c r="E5" s="18"/>
      <c r="F5" s="19"/>
      <c r="G5" s="20"/>
      <c r="H5" s="14"/>
      <c r="I5" s="14"/>
      <c r="J5" s="21"/>
      <c r="K5" s="22" t="s">
        <v>42</v>
      </c>
      <c r="L5" s="23"/>
      <c r="M5" s="24"/>
      <c r="N5" s="25"/>
      <c r="O5" s="26" t="s">
        <v>30</v>
      </c>
      <c r="P5" s="14">
        <v>0.0</v>
      </c>
      <c r="Q5" s="14">
        <v>0.0</v>
      </c>
      <c r="R5" s="27">
        <v>0.0</v>
      </c>
      <c r="S5" s="14">
        <v>0.0</v>
      </c>
      <c r="T5" s="28">
        <v>0.0</v>
      </c>
      <c r="U5" s="14">
        <v>0.0</v>
      </c>
      <c r="V5" s="14">
        <v>0.0</v>
      </c>
      <c r="W5" s="14">
        <v>0.0</v>
      </c>
      <c r="X5" s="29" t="s">
        <v>43</v>
      </c>
      <c r="Y5" s="30" t="s">
        <v>44</v>
      </c>
      <c r="Z5" s="31" t="s">
        <v>45</v>
      </c>
      <c r="AA5" s="32" t="s">
        <v>45</v>
      </c>
      <c r="AB5" s="33" t="s">
        <v>45</v>
      </c>
    </row>
    <row r="6" ht="19.5" hidden="1" customHeight="1">
      <c r="A6" s="14">
        <v>2.0</v>
      </c>
      <c r="B6" s="15">
        <v>45962.0</v>
      </c>
      <c r="C6" s="16" t="s">
        <v>46</v>
      </c>
      <c r="D6" s="17">
        <v>2.0</v>
      </c>
      <c r="E6" s="18">
        <v>0.23333333333333334</v>
      </c>
      <c r="F6" s="34">
        <v>0.3284722222222222</v>
      </c>
      <c r="G6" s="33">
        <v>14.0</v>
      </c>
      <c r="H6" s="14" t="s">
        <v>47</v>
      </c>
      <c r="I6" s="14" t="s">
        <v>48</v>
      </c>
      <c r="J6" s="21" t="s">
        <v>49</v>
      </c>
      <c r="K6" s="22" t="s">
        <v>29</v>
      </c>
      <c r="L6" s="23" t="s">
        <v>38</v>
      </c>
      <c r="M6" s="24" t="s">
        <v>39</v>
      </c>
      <c r="N6" s="25" t="s">
        <v>40</v>
      </c>
      <c r="O6" s="26" t="s">
        <v>30</v>
      </c>
      <c r="P6" s="14">
        <v>0.0</v>
      </c>
      <c r="Q6" s="14">
        <v>0.0</v>
      </c>
      <c r="R6" s="27">
        <v>0.0</v>
      </c>
      <c r="S6" s="14">
        <v>0.0</v>
      </c>
      <c r="T6" s="28">
        <v>0.0</v>
      </c>
      <c r="U6" s="14">
        <v>0.0</v>
      </c>
      <c r="V6" s="14">
        <v>0.0</v>
      </c>
      <c r="W6" s="14">
        <v>0.0</v>
      </c>
      <c r="X6" s="29" t="s">
        <v>43</v>
      </c>
      <c r="Y6" s="30" t="s">
        <v>44</v>
      </c>
      <c r="Z6" s="31" t="s">
        <v>45</v>
      </c>
      <c r="AA6" s="32" t="s">
        <v>45</v>
      </c>
      <c r="AB6" s="33" t="s">
        <v>45</v>
      </c>
    </row>
    <row r="7" ht="19.5" hidden="1" customHeight="1">
      <c r="A7" s="14">
        <v>3.0</v>
      </c>
      <c r="B7" s="15">
        <v>45962.0</v>
      </c>
      <c r="C7" s="16" t="s">
        <v>46</v>
      </c>
      <c r="D7" s="17" t="s">
        <v>50</v>
      </c>
      <c r="E7" s="18">
        <v>0.2513888888888889</v>
      </c>
      <c r="F7" s="34">
        <v>0.34375</v>
      </c>
      <c r="G7" s="33">
        <v>30.0</v>
      </c>
      <c r="H7" s="14" t="s">
        <v>51</v>
      </c>
      <c r="I7" s="14" t="s">
        <v>52</v>
      </c>
      <c r="J7" s="21" t="s">
        <v>53</v>
      </c>
      <c r="K7" s="22" t="s">
        <v>42</v>
      </c>
      <c r="L7" s="23" t="s">
        <v>54</v>
      </c>
      <c r="M7" s="24" t="s">
        <v>55</v>
      </c>
      <c r="N7" s="25" t="s">
        <v>56</v>
      </c>
      <c r="O7" s="26" t="s">
        <v>57</v>
      </c>
      <c r="P7" s="14">
        <v>35.0</v>
      </c>
      <c r="Q7" s="14">
        <v>0.0</v>
      </c>
      <c r="R7" s="27">
        <v>0.0</v>
      </c>
      <c r="S7" s="14">
        <v>0.0</v>
      </c>
      <c r="T7" s="28">
        <v>35.0</v>
      </c>
      <c r="U7" s="14">
        <v>0.0</v>
      </c>
      <c r="V7" s="14">
        <v>0.0</v>
      </c>
      <c r="W7" s="14">
        <v>0.0</v>
      </c>
      <c r="X7" s="29" t="s">
        <v>30</v>
      </c>
      <c r="Y7" s="30" t="s">
        <v>44</v>
      </c>
      <c r="Z7" s="31" t="s">
        <v>45</v>
      </c>
      <c r="AA7" s="32" t="s">
        <v>45</v>
      </c>
      <c r="AB7" s="33" t="s">
        <v>45</v>
      </c>
    </row>
    <row r="8" ht="19.5" hidden="1" customHeight="1">
      <c r="A8" s="14">
        <v>4.0</v>
      </c>
      <c r="B8" s="15">
        <v>45962.0</v>
      </c>
      <c r="C8" s="16" t="s">
        <v>46</v>
      </c>
      <c r="D8" s="17">
        <v>1.0</v>
      </c>
      <c r="E8" s="18">
        <v>0.26180555555555557</v>
      </c>
      <c r="F8" s="34">
        <v>0.34930555555555554</v>
      </c>
      <c r="G8" s="33">
        <v>56.0</v>
      </c>
      <c r="H8" s="14" t="s">
        <v>58</v>
      </c>
      <c r="I8" s="14" t="s">
        <v>59</v>
      </c>
      <c r="J8" s="21" t="s">
        <v>53</v>
      </c>
      <c r="K8" s="22" t="s">
        <v>42</v>
      </c>
      <c r="L8" s="23" t="s">
        <v>38</v>
      </c>
      <c r="M8" s="24" t="s">
        <v>60</v>
      </c>
      <c r="N8" s="25" t="s">
        <v>40</v>
      </c>
      <c r="O8" s="26" t="s">
        <v>30</v>
      </c>
      <c r="P8" s="14">
        <v>1.0</v>
      </c>
      <c r="Q8" s="14">
        <v>0.0</v>
      </c>
      <c r="R8" s="27">
        <v>0.0</v>
      </c>
      <c r="S8" s="14">
        <v>0.0</v>
      </c>
      <c r="T8" s="28">
        <v>1.0</v>
      </c>
      <c r="U8" s="14">
        <v>0.0</v>
      </c>
      <c r="V8" s="14">
        <v>0.0</v>
      </c>
      <c r="W8" s="14">
        <v>0.0</v>
      </c>
      <c r="X8" s="29" t="s">
        <v>30</v>
      </c>
      <c r="Y8" s="30" t="s">
        <v>61</v>
      </c>
      <c r="Z8" s="31">
        <v>2.439455233212E12</v>
      </c>
      <c r="AA8" s="32" t="s">
        <v>33</v>
      </c>
      <c r="AB8" s="33">
        <v>51.0</v>
      </c>
    </row>
    <row r="9" ht="19.5" hidden="1" customHeight="1">
      <c r="A9" s="14">
        <v>5.0</v>
      </c>
      <c r="B9" s="15">
        <v>45962.0</v>
      </c>
      <c r="C9" s="16" t="s">
        <v>46</v>
      </c>
      <c r="D9" s="17">
        <v>1.0</v>
      </c>
      <c r="E9" s="18">
        <v>0.2722222222222222</v>
      </c>
      <c r="F9" s="34">
        <v>0.3576388888888889</v>
      </c>
      <c r="G9" s="33">
        <v>58.0</v>
      </c>
      <c r="H9" s="14" t="s">
        <v>62</v>
      </c>
      <c r="I9" s="14" t="s">
        <v>52</v>
      </c>
      <c r="J9" s="21" t="s">
        <v>53</v>
      </c>
      <c r="K9" s="22" t="s">
        <v>63</v>
      </c>
      <c r="L9" s="23" t="s">
        <v>54</v>
      </c>
      <c r="M9" s="24" t="s">
        <v>64</v>
      </c>
      <c r="N9" s="25" t="s">
        <v>40</v>
      </c>
      <c r="O9" s="26" t="s">
        <v>30</v>
      </c>
      <c r="P9" s="14">
        <v>1.0</v>
      </c>
      <c r="Q9" s="14">
        <v>0.0</v>
      </c>
      <c r="R9" s="27">
        <v>0.0</v>
      </c>
      <c r="S9" s="14">
        <v>0.0</v>
      </c>
      <c r="T9" s="28">
        <v>1.0</v>
      </c>
      <c r="U9" s="14">
        <v>0.0</v>
      </c>
      <c r="V9" s="14">
        <v>0.0</v>
      </c>
      <c r="W9" s="14">
        <v>0.0</v>
      </c>
      <c r="X9" s="35" t="s">
        <v>65</v>
      </c>
      <c r="Y9" s="30" t="s">
        <v>61</v>
      </c>
      <c r="Z9" s="35">
        <v>3.542572500101E12</v>
      </c>
      <c r="AA9" s="32" t="s">
        <v>33</v>
      </c>
      <c r="AB9" s="33">
        <v>20.0</v>
      </c>
    </row>
    <row r="10" ht="19.5" hidden="1" customHeight="1">
      <c r="A10" s="14">
        <v>6.0</v>
      </c>
      <c r="B10" s="15">
        <v>45962.0</v>
      </c>
      <c r="C10" s="16" t="s">
        <v>46</v>
      </c>
      <c r="D10" s="17">
        <v>1.0</v>
      </c>
      <c r="E10" s="18">
        <v>0.29375</v>
      </c>
      <c r="F10" s="34">
        <v>0.29583333333333334</v>
      </c>
      <c r="G10" s="33">
        <v>46.0</v>
      </c>
      <c r="H10" s="14" t="s">
        <v>66</v>
      </c>
      <c r="I10" s="14" t="s">
        <v>59</v>
      </c>
      <c r="J10" s="21" t="s">
        <v>53</v>
      </c>
      <c r="K10" s="22" t="s">
        <v>63</v>
      </c>
      <c r="L10" s="23" t="s">
        <v>54</v>
      </c>
      <c r="M10" s="24" t="s">
        <v>67</v>
      </c>
      <c r="N10" s="25" t="s">
        <v>68</v>
      </c>
      <c r="O10" s="26" t="s">
        <v>30</v>
      </c>
      <c r="P10" s="14">
        <v>1.0</v>
      </c>
      <c r="Q10" s="14">
        <v>0.0</v>
      </c>
      <c r="R10" s="27">
        <v>0.0</v>
      </c>
      <c r="S10" s="14">
        <v>0.0</v>
      </c>
      <c r="T10" s="28">
        <v>1.0</v>
      </c>
      <c r="U10" s="14">
        <v>0.0</v>
      </c>
      <c r="V10" s="14">
        <v>0.0</v>
      </c>
      <c r="W10" s="14">
        <v>0.0</v>
      </c>
      <c r="X10" s="35" t="s">
        <v>69</v>
      </c>
      <c r="Y10" s="30" t="s">
        <v>61</v>
      </c>
      <c r="Z10" s="31" t="s">
        <v>70</v>
      </c>
      <c r="AA10" s="32" t="s">
        <v>33</v>
      </c>
      <c r="AB10" s="33">
        <v>27.0</v>
      </c>
    </row>
    <row r="11" ht="19.5" hidden="1" customHeight="1">
      <c r="A11" s="14">
        <v>7.0</v>
      </c>
      <c r="B11" s="15">
        <v>45962.0</v>
      </c>
      <c r="C11" s="16" t="s">
        <v>71</v>
      </c>
      <c r="D11" s="17" t="s">
        <v>50</v>
      </c>
      <c r="E11" s="18">
        <v>0.2916666666666667</v>
      </c>
      <c r="F11" s="34">
        <v>0.6555555555555556</v>
      </c>
      <c r="G11" s="33">
        <v>194.0</v>
      </c>
      <c r="H11" s="14" t="s">
        <v>72</v>
      </c>
      <c r="I11" s="14" t="s">
        <v>73</v>
      </c>
      <c r="J11" s="21" t="s">
        <v>74</v>
      </c>
      <c r="K11" s="22" t="s">
        <v>75</v>
      </c>
      <c r="L11" s="23" t="s">
        <v>54</v>
      </c>
      <c r="M11" s="24" t="s">
        <v>76</v>
      </c>
      <c r="N11" s="25" t="s">
        <v>40</v>
      </c>
      <c r="O11" s="26" t="s">
        <v>30</v>
      </c>
      <c r="P11" s="14">
        <v>0.0</v>
      </c>
      <c r="Q11" s="14">
        <v>0.0</v>
      </c>
      <c r="R11" s="27">
        <v>0.0</v>
      </c>
      <c r="S11" s="14">
        <v>0.0</v>
      </c>
      <c r="T11" s="28">
        <v>0.0</v>
      </c>
      <c r="U11" s="14">
        <v>0.0</v>
      </c>
      <c r="V11" s="14">
        <v>0.0</v>
      </c>
      <c r="W11" s="14">
        <v>0.0</v>
      </c>
      <c r="X11" s="29" t="s">
        <v>77</v>
      </c>
      <c r="Y11" s="30" t="s">
        <v>44</v>
      </c>
      <c r="Z11" s="26" t="s">
        <v>77</v>
      </c>
      <c r="AA11" s="32" t="s">
        <v>33</v>
      </c>
      <c r="AB11" s="33" t="s">
        <v>44</v>
      </c>
    </row>
    <row r="12" ht="19.5" hidden="1" customHeight="1">
      <c r="A12" s="14">
        <v>8.0</v>
      </c>
      <c r="B12" s="15">
        <v>45962.0</v>
      </c>
      <c r="C12" s="16" t="s">
        <v>78</v>
      </c>
      <c r="D12" s="17">
        <v>1.0</v>
      </c>
      <c r="E12" s="18">
        <v>0.3333333333333333</v>
      </c>
      <c r="F12" s="34">
        <v>0.8354166666666667</v>
      </c>
      <c r="G12" s="33">
        <v>389.0</v>
      </c>
      <c r="H12" s="14" t="s">
        <v>79</v>
      </c>
      <c r="I12" s="14" t="s">
        <v>80</v>
      </c>
      <c r="J12" s="21" t="s">
        <v>49</v>
      </c>
      <c r="K12" s="22" t="s">
        <v>81</v>
      </c>
      <c r="L12" s="23" t="s">
        <v>38</v>
      </c>
      <c r="M12" s="24" t="s">
        <v>82</v>
      </c>
      <c r="N12" s="25" t="s">
        <v>83</v>
      </c>
      <c r="O12" s="26" t="s">
        <v>30</v>
      </c>
      <c r="P12" s="14">
        <v>2.0</v>
      </c>
      <c r="Q12" s="14">
        <v>0.0</v>
      </c>
      <c r="R12" s="27">
        <v>0.0</v>
      </c>
      <c r="S12" s="14">
        <v>0.0</v>
      </c>
      <c r="T12" s="28">
        <v>2.0</v>
      </c>
      <c r="U12" s="14">
        <v>0.0</v>
      </c>
      <c r="V12" s="14">
        <v>0.0</v>
      </c>
      <c r="W12" s="14">
        <v>0.0</v>
      </c>
      <c r="X12" s="35" t="s">
        <v>84</v>
      </c>
      <c r="Y12" s="30" t="s">
        <v>85</v>
      </c>
      <c r="Z12" s="35" t="s">
        <v>86</v>
      </c>
      <c r="AA12" s="32" t="s">
        <v>33</v>
      </c>
      <c r="AB12" s="25">
        <v>27.0</v>
      </c>
    </row>
    <row r="13" ht="19.5" hidden="1" customHeight="1">
      <c r="A13" s="14">
        <v>9.0</v>
      </c>
      <c r="B13" s="15">
        <v>45962.0</v>
      </c>
      <c r="C13" s="16" t="s">
        <v>46</v>
      </c>
      <c r="D13" s="17" t="s">
        <v>50</v>
      </c>
      <c r="E13" s="18">
        <v>0.35555555555555557</v>
      </c>
      <c r="F13" s="34">
        <v>0.4548611111111111</v>
      </c>
      <c r="G13" s="33">
        <v>33.0</v>
      </c>
      <c r="H13" s="14" t="s">
        <v>47</v>
      </c>
      <c r="I13" s="14" t="s">
        <v>48</v>
      </c>
      <c r="J13" s="21" t="s">
        <v>87</v>
      </c>
      <c r="K13" s="22" t="s">
        <v>42</v>
      </c>
      <c r="L13" s="23" t="s">
        <v>54</v>
      </c>
      <c r="M13" s="24" t="s">
        <v>55</v>
      </c>
      <c r="N13" s="25" t="s">
        <v>56</v>
      </c>
      <c r="O13" s="26" t="s">
        <v>57</v>
      </c>
      <c r="P13" s="14">
        <v>155.0</v>
      </c>
      <c r="Q13" s="14">
        <v>0.0</v>
      </c>
      <c r="R13" s="27">
        <v>0.0</v>
      </c>
      <c r="S13" s="14">
        <v>0.0</v>
      </c>
      <c r="T13" s="28">
        <v>155.0</v>
      </c>
      <c r="U13" s="14">
        <v>0.0</v>
      </c>
      <c r="V13" s="14">
        <v>0.0</v>
      </c>
      <c r="W13" s="14">
        <v>0.0</v>
      </c>
      <c r="X13" s="29" t="s">
        <v>77</v>
      </c>
      <c r="Y13" s="30" t="s">
        <v>44</v>
      </c>
      <c r="Z13" s="26" t="s">
        <v>45</v>
      </c>
      <c r="AA13" s="32" t="s">
        <v>45</v>
      </c>
      <c r="AB13" s="25" t="s">
        <v>45</v>
      </c>
    </row>
    <row r="14" ht="19.5" hidden="1" customHeight="1">
      <c r="A14" s="14">
        <v>10.0</v>
      </c>
      <c r="B14" s="15">
        <v>45962.0</v>
      </c>
      <c r="C14" s="16" t="s">
        <v>46</v>
      </c>
      <c r="D14" s="17" t="s">
        <v>50</v>
      </c>
      <c r="E14" s="18">
        <v>0.36527777777777776</v>
      </c>
      <c r="F14" s="34">
        <v>0.4479166666666667</v>
      </c>
      <c r="G14" s="33">
        <v>31.0</v>
      </c>
      <c r="H14" s="14" t="s">
        <v>66</v>
      </c>
      <c r="I14" s="14" t="s">
        <v>59</v>
      </c>
      <c r="J14" s="21" t="s">
        <v>37</v>
      </c>
      <c r="K14" s="22" t="s">
        <v>42</v>
      </c>
      <c r="L14" s="23" t="s">
        <v>54</v>
      </c>
      <c r="M14" s="24" t="s">
        <v>55</v>
      </c>
      <c r="N14" s="25" t="s">
        <v>56</v>
      </c>
      <c r="O14" s="26" t="s">
        <v>57</v>
      </c>
      <c r="P14" s="14">
        <v>150.0</v>
      </c>
      <c r="Q14" s="14">
        <v>0.0</v>
      </c>
      <c r="R14" s="27">
        <v>0.0</v>
      </c>
      <c r="S14" s="14">
        <v>0.0</v>
      </c>
      <c r="T14" s="28">
        <v>150.0</v>
      </c>
      <c r="U14" s="14">
        <v>0.0</v>
      </c>
      <c r="V14" s="14">
        <v>0.0</v>
      </c>
      <c r="W14" s="14">
        <v>0.0</v>
      </c>
      <c r="X14" s="29" t="s">
        <v>77</v>
      </c>
      <c r="Y14" s="30" t="s">
        <v>44</v>
      </c>
      <c r="Z14" s="26" t="s">
        <v>45</v>
      </c>
      <c r="AA14" s="32" t="s">
        <v>45</v>
      </c>
      <c r="AB14" s="25" t="s">
        <v>45</v>
      </c>
    </row>
    <row r="15" ht="19.5" hidden="1" customHeight="1">
      <c r="A15" s="14">
        <v>11.0</v>
      </c>
      <c r="B15" s="15">
        <v>45962.0</v>
      </c>
      <c r="C15" s="16" t="s">
        <v>34</v>
      </c>
      <c r="D15" s="17" t="s">
        <v>50</v>
      </c>
      <c r="E15" s="18">
        <v>0.3840277777777778</v>
      </c>
      <c r="F15" s="34">
        <v>0.44305555555555554</v>
      </c>
      <c r="G15" s="33">
        <v>39.0</v>
      </c>
      <c r="H15" s="14">
        <v>1137.0</v>
      </c>
      <c r="I15" s="14" t="s">
        <v>88</v>
      </c>
      <c r="J15" s="21" t="s">
        <v>87</v>
      </c>
      <c r="K15" s="22" t="s">
        <v>42</v>
      </c>
      <c r="L15" s="23" t="s">
        <v>54</v>
      </c>
      <c r="M15" s="24" t="s">
        <v>55</v>
      </c>
      <c r="N15" s="25" t="s">
        <v>56</v>
      </c>
      <c r="O15" s="26" t="s">
        <v>57</v>
      </c>
      <c r="P15" s="14">
        <v>250.0</v>
      </c>
      <c r="Q15" s="14">
        <v>0.0</v>
      </c>
      <c r="R15" s="27">
        <v>0.0</v>
      </c>
      <c r="S15" s="14">
        <v>0.0</v>
      </c>
      <c r="T15" s="28">
        <v>250.0</v>
      </c>
      <c r="U15" s="14">
        <v>0.0</v>
      </c>
      <c r="V15" s="14">
        <v>0.0</v>
      </c>
      <c r="W15" s="14">
        <v>0.0</v>
      </c>
      <c r="X15" s="29" t="s">
        <v>77</v>
      </c>
      <c r="Y15" s="30" t="s">
        <v>44</v>
      </c>
      <c r="Z15" s="26" t="s">
        <v>45</v>
      </c>
      <c r="AA15" s="32" t="s">
        <v>45</v>
      </c>
      <c r="AB15" s="25" t="s">
        <v>45</v>
      </c>
    </row>
    <row r="16" ht="19.5" hidden="1" customHeight="1">
      <c r="A16" s="14">
        <v>12.0</v>
      </c>
      <c r="B16" s="15">
        <v>45962.0</v>
      </c>
      <c r="C16" s="16" t="s">
        <v>46</v>
      </c>
      <c r="D16" s="17">
        <v>1.0</v>
      </c>
      <c r="E16" s="18">
        <v>0.3638888888888889</v>
      </c>
      <c r="F16" s="34">
        <v>0.39652777777777776</v>
      </c>
      <c r="G16" s="33">
        <v>44.3</v>
      </c>
      <c r="H16" s="14">
        <v>1170.0</v>
      </c>
      <c r="I16" s="14" t="s">
        <v>52</v>
      </c>
      <c r="J16" s="21" t="s">
        <v>53</v>
      </c>
      <c r="K16" s="22" t="s">
        <v>89</v>
      </c>
      <c r="L16" s="23" t="s">
        <v>38</v>
      </c>
      <c r="M16" s="24" t="s">
        <v>90</v>
      </c>
      <c r="N16" s="25" t="s">
        <v>40</v>
      </c>
      <c r="O16" s="26" t="s">
        <v>30</v>
      </c>
      <c r="P16" s="14">
        <v>2.0</v>
      </c>
      <c r="Q16" s="14">
        <v>1.0</v>
      </c>
      <c r="R16" s="27">
        <v>0.0</v>
      </c>
      <c r="S16" s="14">
        <v>0.0</v>
      </c>
      <c r="T16" s="28">
        <v>2.0</v>
      </c>
      <c r="U16" s="14">
        <v>0.0</v>
      </c>
      <c r="V16" s="14">
        <v>0.0</v>
      </c>
      <c r="W16" s="14">
        <v>0.0</v>
      </c>
      <c r="X16" s="29" t="s">
        <v>77</v>
      </c>
      <c r="Y16" s="30" t="s">
        <v>44</v>
      </c>
      <c r="Z16" s="26" t="s">
        <v>45</v>
      </c>
      <c r="AA16" s="32" t="s">
        <v>45</v>
      </c>
      <c r="AB16" s="25" t="s">
        <v>45</v>
      </c>
    </row>
    <row r="17" ht="19.5" hidden="1" customHeight="1">
      <c r="A17" s="14">
        <v>13.0</v>
      </c>
      <c r="B17" s="15">
        <v>45962.0</v>
      </c>
      <c r="C17" s="16" t="s">
        <v>46</v>
      </c>
      <c r="D17" s="17">
        <v>1.0</v>
      </c>
      <c r="E17" s="18">
        <v>0.4076388888888889</v>
      </c>
      <c r="F17" s="34">
        <v>0.4201388888888889</v>
      </c>
      <c r="G17" s="33">
        <v>23.0</v>
      </c>
      <c r="H17" s="14">
        <v>1131.0</v>
      </c>
      <c r="I17" s="14" t="s">
        <v>88</v>
      </c>
      <c r="J17" s="21" t="s">
        <v>87</v>
      </c>
      <c r="K17" s="22" t="s">
        <v>91</v>
      </c>
      <c r="L17" s="23" t="s">
        <v>54</v>
      </c>
      <c r="M17" s="24" t="s">
        <v>64</v>
      </c>
      <c r="N17" s="35" t="s">
        <v>40</v>
      </c>
      <c r="O17" s="35" t="s">
        <v>92</v>
      </c>
      <c r="P17" s="14">
        <v>1.0</v>
      </c>
      <c r="Q17" s="14">
        <v>0.0</v>
      </c>
      <c r="R17" s="27">
        <v>0.0</v>
      </c>
      <c r="S17" s="14">
        <v>0.0</v>
      </c>
      <c r="T17" s="28">
        <v>1.0</v>
      </c>
      <c r="U17" s="14">
        <v>0.0</v>
      </c>
      <c r="V17" s="14">
        <v>0.0</v>
      </c>
      <c r="W17" s="14">
        <v>0.0</v>
      </c>
      <c r="X17" s="35" t="s">
        <v>93</v>
      </c>
      <c r="Y17" s="30" t="s">
        <v>32</v>
      </c>
      <c r="Z17" s="35">
        <v>3.564186771711E12</v>
      </c>
      <c r="AA17" s="32" t="s">
        <v>33</v>
      </c>
      <c r="AB17" s="25">
        <v>4747.0</v>
      </c>
    </row>
    <row r="18" ht="19.5" hidden="1" customHeight="1">
      <c r="A18" s="14">
        <v>14.0</v>
      </c>
      <c r="B18" s="15">
        <v>45962.0</v>
      </c>
      <c r="C18" s="16" t="s">
        <v>46</v>
      </c>
      <c r="D18" s="17" t="s">
        <v>50</v>
      </c>
      <c r="E18" s="18">
        <v>0.4166666666666667</v>
      </c>
      <c r="F18" s="34">
        <v>0.6229166666666667</v>
      </c>
      <c r="G18" s="33">
        <v>55.0</v>
      </c>
      <c r="H18" s="14" t="s">
        <v>94</v>
      </c>
      <c r="I18" s="14" t="s">
        <v>52</v>
      </c>
      <c r="J18" s="21" t="s">
        <v>53</v>
      </c>
      <c r="K18" s="22" t="s">
        <v>75</v>
      </c>
      <c r="L18" s="23" t="s">
        <v>54</v>
      </c>
      <c r="M18" s="24" t="s">
        <v>95</v>
      </c>
      <c r="N18" s="25" t="s">
        <v>56</v>
      </c>
      <c r="O18" s="26" t="s">
        <v>30</v>
      </c>
      <c r="P18" s="14">
        <v>142.0</v>
      </c>
      <c r="Q18" s="14">
        <v>0.0</v>
      </c>
      <c r="R18" s="27">
        <v>0.0</v>
      </c>
      <c r="S18" s="14">
        <v>0.0</v>
      </c>
      <c r="T18" s="28">
        <v>142.0</v>
      </c>
      <c r="U18" s="14">
        <v>0.0</v>
      </c>
      <c r="V18" s="14">
        <v>0.0</v>
      </c>
      <c r="W18" s="14">
        <v>0.0</v>
      </c>
      <c r="X18" s="29" t="s">
        <v>77</v>
      </c>
      <c r="Y18" s="30" t="s">
        <v>44</v>
      </c>
      <c r="Z18" s="26" t="s">
        <v>45</v>
      </c>
      <c r="AA18" s="32" t="s">
        <v>45</v>
      </c>
      <c r="AB18" s="25" t="s">
        <v>45</v>
      </c>
    </row>
    <row r="19" ht="19.5" hidden="1" customHeight="1">
      <c r="A19" s="14">
        <v>15.0</v>
      </c>
      <c r="B19" s="15">
        <v>45962.0</v>
      </c>
      <c r="C19" s="16" t="s">
        <v>46</v>
      </c>
      <c r="D19" s="17" t="s">
        <v>50</v>
      </c>
      <c r="E19" s="18">
        <v>0.4166666666666667</v>
      </c>
      <c r="F19" s="34">
        <v>0.6229166666666667</v>
      </c>
      <c r="G19" s="33">
        <v>55.0</v>
      </c>
      <c r="H19" s="14" t="s">
        <v>96</v>
      </c>
      <c r="I19" s="14" t="s">
        <v>52</v>
      </c>
      <c r="J19" s="21" t="s">
        <v>53</v>
      </c>
      <c r="K19" s="22" t="s">
        <v>75</v>
      </c>
      <c r="L19" s="23" t="s">
        <v>54</v>
      </c>
      <c r="M19" s="24" t="s">
        <v>95</v>
      </c>
      <c r="N19" s="25" t="s">
        <v>56</v>
      </c>
      <c r="O19" s="26" t="s">
        <v>30</v>
      </c>
      <c r="P19" s="14">
        <v>142.0</v>
      </c>
      <c r="Q19" s="14">
        <v>0.0</v>
      </c>
      <c r="R19" s="27">
        <v>0.0</v>
      </c>
      <c r="S19" s="14">
        <v>0.0</v>
      </c>
      <c r="T19" s="28">
        <v>142.0</v>
      </c>
      <c r="U19" s="14">
        <v>0.0</v>
      </c>
      <c r="V19" s="14">
        <v>0.0</v>
      </c>
      <c r="W19" s="14">
        <v>0.0</v>
      </c>
      <c r="X19" s="29" t="s">
        <v>77</v>
      </c>
      <c r="Y19" s="30" t="s">
        <v>44</v>
      </c>
      <c r="Z19" s="26" t="s">
        <v>45</v>
      </c>
      <c r="AA19" s="32" t="s">
        <v>45</v>
      </c>
      <c r="AB19" s="25" t="s">
        <v>45</v>
      </c>
    </row>
    <row r="20" ht="19.5" hidden="1" customHeight="1">
      <c r="A20" s="14">
        <v>16.0</v>
      </c>
      <c r="B20" s="15">
        <v>45962.0</v>
      </c>
      <c r="C20" s="16" t="s">
        <v>46</v>
      </c>
      <c r="D20" s="17" t="s">
        <v>50</v>
      </c>
      <c r="E20" s="18">
        <v>0.4166666666666667</v>
      </c>
      <c r="F20" s="34">
        <v>0.6229166666666667</v>
      </c>
      <c r="G20" s="33">
        <v>55.0</v>
      </c>
      <c r="H20" s="14" t="s">
        <v>97</v>
      </c>
      <c r="I20" s="14" t="s">
        <v>52</v>
      </c>
      <c r="J20" s="21" t="s">
        <v>53</v>
      </c>
      <c r="K20" s="22" t="s">
        <v>75</v>
      </c>
      <c r="L20" s="23" t="s">
        <v>54</v>
      </c>
      <c r="M20" s="24" t="s">
        <v>95</v>
      </c>
      <c r="N20" s="25" t="s">
        <v>56</v>
      </c>
      <c r="O20" s="26" t="s">
        <v>30</v>
      </c>
      <c r="P20" s="14">
        <v>142.0</v>
      </c>
      <c r="Q20" s="14">
        <v>0.0</v>
      </c>
      <c r="R20" s="27">
        <v>0.0</v>
      </c>
      <c r="S20" s="14">
        <v>0.0</v>
      </c>
      <c r="T20" s="28">
        <v>142.0</v>
      </c>
      <c r="U20" s="14">
        <v>0.0</v>
      </c>
      <c r="V20" s="14">
        <v>0.0</v>
      </c>
      <c r="W20" s="14">
        <v>0.0</v>
      </c>
      <c r="X20" s="29" t="s">
        <v>77</v>
      </c>
      <c r="Y20" s="30" t="s">
        <v>44</v>
      </c>
      <c r="Z20" s="26" t="s">
        <v>45</v>
      </c>
      <c r="AA20" s="32" t="s">
        <v>45</v>
      </c>
      <c r="AB20" s="25" t="s">
        <v>45</v>
      </c>
    </row>
    <row r="21" ht="19.5" hidden="1" customHeight="1">
      <c r="A21" s="14">
        <v>17.0</v>
      </c>
      <c r="B21" s="15">
        <v>45962.0</v>
      </c>
      <c r="C21" s="16" t="s">
        <v>46</v>
      </c>
      <c r="D21" s="17" t="s">
        <v>50</v>
      </c>
      <c r="E21" s="18">
        <v>0.4166666666666667</v>
      </c>
      <c r="F21" s="34">
        <v>0.6229166666666667</v>
      </c>
      <c r="G21" s="33">
        <v>55.0</v>
      </c>
      <c r="H21" s="14" t="s">
        <v>98</v>
      </c>
      <c r="I21" s="14" t="s">
        <v>52</v>
      </c>
      <c r="J21" s="21" t="s">
        <v>53</v>
      </c>
      <c r="K21" s="22" t="s">
        <v>75</v>
      </c>
      <c r="L21" s="23" t="s">
        <v>54</v>
      </c>
      <c r="M21" s="24" t="s">
        <v>95</v>
      </c>
      <c r="N21" s="25" t="s">
        <v>56</v>
      </c>
      <c r="O21" s="26" t="s">
        <v>30</v>
      </c>
      <c r="P21" s="14">
        <v>142.0</v>
      </c>
      <c r="Q21" s="14">
        <v>0.0</v>
      </c>
      <c r="R21" s="27">
        <v>0.0</v>
      </c>
      <c r="S21" s="14">
        <v>0.0</v>
      </c>
      <c r="T21" s="28">
        <v>142.0</v>
      </c>
      <c r="U21" s="14">
        <v>0.0</v>
      </c>
      <c r="V21" s="14">
        <v>0.0</v>
      </c>
      <c r="W21" s="14">
        <v>0.0</v>
      </c>
      <c r="X21" s="29" t="s">
        <v>77</v>
      </c>
      <c r="Y21" s="30" t="s">
        <v>44</v>
      </c>
      <c r="Z21" s="26" t="s">
        <v>45</v>
      </c>
      <c r="AA21" s="32" t="s">
        <v>45</v>
      </c>
      <c r="AB21" s="25" t="s">
        <v>45</v>
      </c>
    </row>
    <row r="22" ht="19.5" hidden="1" customHeight="1">
      <c r="A22" s="14">
        <v>18.0</v>
      </c>
      <c r="B22" s="15">
        <v>45962.0</v>
      </c>
      <c r="C22" s="16" t="s">
        <v>46</v>
      </c>
      <c r="D22" s="17" t="s">
        <v>50</v>
      </c>
      <c r="E22" s="18">
        <v>0.4166666666666667</v>
      </c>
      <c r="F22" s="34">
        <v>0.6229166666666667</v>
      </c>
      <c r="G22" s="33">
        <v>55.0</v>
      </c>
      <c r="H22" s="14" t="s">
        <v>99</v>
      </c>
      <c r="I22" s="14" t="s">
        <v>52</v>
      </c>
      <c r="J22" s="21" t="s">
        <v>53</v>
      </c>
      <c r="K22" s="22" t="s">
        <v>75</v>
      </c>
      <c r="L22" s="23" t="s">
        <v>54</v>
      </c>
      <c r="M22" s="24" t="s">
        <v>95</v>
      </c>
      <c r="N22" s="25" t="s">
        <v>56</v>
      </c>
      <c r="O22" s="26" t="s">
        <v>30</v>
      </c>
      <c r="P22" s="14">
        <v>142.0</v>
      </c>
      <c r="Q22" s="14">
        <v>0.0</v>
      </c>
      <c r="R22" s="27">
        <v>0.0</v>
      </c>
      <c r="S22" s="14">
        <v>0.0</v>
      </c>
      <c r="T22" s="28">
        <v>142.0</v>
      </c>
      <c r="U22" s="14">
        <v>0.0</v>
      </c>
      <c r="V22" s="14">
        <v>0.0</v>
      </c>
      <c r="W22" s="14">
        <v>0.0</v>
      </c>
      <c r="X22" s="29" t="s">
        <v>77</v>
      </c>
      <c r="Y22" s="30" t="s">
        <v>44</v>
      </c>
      <c r="Z22" s="26" t="s">
        <v>45</v>
      </c>
      <c r="AA22" s="32" t="s">
        <v>45</v>
      </c>
      <c r="AB22" s="25" t="s">
        <v>45</v>
      </c>
    </row>
    <row r="23" ht="19.5" hidden="1" customHeight="1">
      <c r="A23" s="14">
        <v>19.0</v>
      </c>
      <c r="B23" s="15">
        <v>45962.0</v>
      </c>
      <c r="C23" s="16" t="s">
        <v>46</v>
      </c>
      <c r="D23" s="17">
        <v>1.0</v>
      </c>
      <c r="E23" s="18">
        <v>0.43472222222222223</v>
      </c>
      <c r="F23" s="34">
        <v>0.44513888888888886</v>
      </c>
      <c r="G23" s="33">
        <v>21.0</v>
      </c>
      <c r="H23" s="14">
        <v>1131.0</v>
      </c>
      <c r="I23" s="14" t="s">
        <v>88</v>
      </c>
      <c r="J23" s="21" t="s">
        <v>87</v>
      </c>
      <c r="K23" s="22" t="s">
        <v>100</v>
      </c>
      <c r="L23" s="23" t="s">
        <v>54</v>
      </c>
      <c r="M23" s="24" t="s">
        <v>64</v>
      </c>
      <c r="N23" s="25" t="s">
        <v>83</v>
      </c>
      <c r="O23" s="26" t="s">
        <v>30</v>
      </c>
      <c r="P23" s="14">
        <v>1.0</v>
      </c>
      <c r="Q23" s="14">
        <v>0.0</v>
      </c>
      <c r="R23" s="27">
        <v>0.0</v>
      </c>
      <c r="S23" s="14">
        <v>0.0</v>
      </c>
      <c r="T23" s="28">
        <v>1.0</v>
      </c>
      <c r="U23" s="14">
        <v>0.0</v>
      </c>
      <c r="V23" s="14">
        <v>0.0</v>
      </c>
      <c r="W23" s="14">
        <v>0.0</v>
      </c>
      <c r="X23" s="35" t="s">
        <v>101</v>
      </c>
      <c r="Y23" s="30" t="s">
        <v>61</v>
      </c>
      <c r="Z23" s="35">
        <v>1.888862490609E12</v>
      </c>
      <c r="AA23" s="32" t="s">
        <v>33</v>
      </c>
      <c r="AB23" s="25">
        <v>39.0</v>
      </c>
    </row>
    <row r="24" ht="19.5" hidden="1" customHeight="1">
      <c r="A24" s="14">
        <v>20.0</v>
      </c>
      <c r="B24" s="15">
        <v>45962.0</v>
      </c>
      <c r="C24" s="16" t="s">
        <v>46</v>
      </c>
      <c r="D24" s="17">
        <v>1.0</v>
      </c>
      <c r="E24" s="18">
        <v>0.3645833333333333</v>
      </c>
      <c r="F24" s="34">
        <v>0.4479166666666667</v>
      </c>
      <c r="G24" s="33">
        <v>31.0</v>
      </c>
      <c r="H24" s="14" t="s">
        <v>66</v>
      </c>
      <c r="I24" s="14" t="s">
        <v>59</v>
      </c>
      <c r="J24" s="21" t="s">
        <v>37</v>
      </c>
      <c r="K24" s="22" t="s">
        <v>91</v>
      </c>
      <c r="L24" s="23" t="s">
        <v>54</v>
      </c>
      <c r="M24" s="24" t="s">
        <v>102</v>
      </c>
      <c r="N24" s="25" t="s">
        <v>103</v>
      </c>
      <c r="O24" s="26" t="s">
        <v>30</v>
      </c>
      <c r="P24" s="14">
        <v>50.0</v>
      </c>
      <c r="Q24" s="14">
        <v>0.0</v>
      </c>
      <c r="R24" s="27">
        <v>0.0</v>
      </c>
      <c r="S24" s="14">
        <v>0.0</v>
      </c>
      <c r="T24" s="28">
        <v>50.0</v>
      </c>
      <c r="U24" s="14">
        <v>0.0</v>
      </c>
      <c r="V24" s="14">
        <v>0.0</v>
      </c>
      <c r="W24" s="14">
        <v>0.0</v>
      </c>
      <c r="X24" s="29" t="s">
        <v>77</v>
      </c>
      <c r="Y24" s="30" t="s">
        <v>44</v>
      </c>
      <c r="Z24" s="26" t="s">
        <v>45</v>
      </c>
      <c r="AA24" s="32" t="s">
        <v>45</v>
      </c>
      <c r="AB24" s="25" t="s">
        <v>45</v>
      </c>
    </row>
    <row r="25" ht="19.5" hidden="1" customHeight="1">
      <c r="A25" s="14">
        <v>21.0</v>
      </c>
      <c r="B25" s="15">
        <v>45962.0</v>
      </c>
      <c r="C25" s="16" t="s">
        <v>34</v>
      </c>
      <c r="D25" s="17">
        <v>1.0</v>
      </c>
      <c r="E25" s="18">
        <v>0.4625</v>
      </c>
      <c r="F25" s="34">
        <v>0.5125</v>
      </c>
      <c r="G25" s="33" t="s">
        <v>104</v>
      </c>
      <c r="H25" s="14" t="s">
        <v>105</v>
      </c>
      <c r="I25" s="14" t="s">
        <v>106</v>
      </c>
      <c r="J25" s="21" t="s">
        <v>87</v>
      </c>
      <c r="K25" s="22" t="s">
        <v>81</v>
      </c>
      <c r="L25" s="23" t="s">
        <v>54</v>
      </c>
      <c r="M25" s="24" t="s">
        <v>64</v>
      </c>
      <c r="N25" s="25" t="s">
        <v>103</v>
      </c>
      <c r="O25" s="26" t="s">
        <v>30</v>
      </c>
      <c r="P25" s="14">
        <v>1.0</v>
      </c>
      <c r="Q25" s="14">
        <v>0.0</v>
      </c>
      <c r="R25" s="27">
        <v>0.0</v>
      </c>
      <c r="S25" s="14">
        <v>0.0</v>
      </c>
      <c r="T25" s="28">
        <v>1.0</v>
      </c>
      <c r="U25" s="14">
        <v>0.0</v>
      </c>
      <c r="V25" s="14">
        <v>0.0</v>
      </c>
      <c r="W25" s="14">
        <v>0.0</v>
      </c>
      <c r="X25" s="29" t="s">
        <v>107</v>
      </c>
      <c r="Y25" s="30" t="s">
        <v>32</v>
      </c>
      <c r="Z25" s="26">
        <v>1.891331530111E13</v>
      </c>
      <c r="AA25" s="32" t="s">
        <v>33</v>
      </c>
      <c r="AB25" s="25">
        <v>49.0</v>
      </c>
    </row>
    <row r="26" ht="19.5" hidden="1" customHeight="1">
      <c r="A26" s="14">
        <v>22.0</v>
      </c>
      <c r="B26" s="15">
        <v>45962.0</v>
      </c>
      <c r="C26" s="16" t="s">
        <v>46</v>
      </c>
      <c r="D26" s="17">
        <v>1.0</v>
      </c>
      <c r="E26" s="18">
        <v>0.4875</v>
      </c>
      <c r="F26" s="34">
        <v>0.5069444444444444</v>
      </c>
      <c r="G26" s="20">
        <v>45798.0</v>
      </c>
      <c r="H26" s="14">
        <v>1131.0</v>
      </c>
      <c r="I26" s="14" t="s">
        <v>88</v>
      </c>
      <c r="J26" s="21" t="s">
        <v>87</v>
      </c>
      <c r="K26" s="22" t="s">
        <v>81</v>
      </c>
      <c r="L26" s="23" t="s">
        <v>38</v>
      </c>
      <c r="M26" s="24" t="s">
        <v>108</v>
      </c>
      <c r="N26" s="25" t="s">
        <v>40</v>
      </c>
      <c r="O26" s="26" t="s">
        <v>30</v>
      </c>
      <c r="P26" s="14">
        <v>1.0</v>
      </c>
      <c r="Q26" s="14">
        <v>0.0</v>
      </c>
      <c r="R26" s="27">
        <v>0.0</v>
      </c>
      <c r="S26" s="14">
        <v>0.0</v>
      </c>
      <c r="T26" s="28">
        <v>1.0</v>
      </c>
      <c r="U26" s="14">
        <v>0.0</v>
      </c>
      <c r="V26" s="14">
        <v>0.0</v>
      </c>
      <c r="W26" s="14">
        <v>0.0</v>
      </c>
      <c r="X26" s="29" t="s">
        <v>77</v>
      </c>
      <c r="Y26" s="30" t="s">
        <v>44</v>
      </c>
      <c r="Z26" s="26" t="s">
        <v>45</v>
      </c>
      <c r="AA26" s="32" t="s">
        <v>45</v>
      </c>
      <c r="AB26" s="25" t="s">
        <v>45</v>
      </c>
    </row>
    <row r="27" ht="19.5" hidden="1" customHeight="1">
      <c r="A27" s="14">
        <v>23.0</v>
      </c>
      <c r="B27" s="15">
        <v>45962.0</v>
      </c>
      <c r="C27" s="16" t="s">
        <v>46</v>
      </c>
      <c r="D27" s="17">
        <v>1.0</v>
      </c>
      <c r="E27" s="18">
        <v>0.4826388888888889</v>
      </c>
      <c r="F27" s="34">
        <v>0.4986111111111111</v>
      </c>
      <c r="G27" s="33">
        <v>43.0</v>
      </c>
      <c r="H27" s="14" t="s">
        <v>66</v>
      </c>
      <c r="I27" s="14" t="s">
        <v>59</v>
      </c>
      <c r="J27" s="21" t="s">
        <v>37</v>
      </c>
      <c r="K27" s="22" t="s">
        <v>109</v>
      </c>
      <c r="L27" s="23" t="s">
        <v>54</v>
      </c>
      <c r="M27" s="24" t="s">
        <v>64</v>
      </c>
      <c r="N27" s="25" t="s">
        <v>40</v>
      </c>
      <c r="O27" s="26" t="s">
        <v>30</v>
      </c>
      <c r="P27" s="14">
        <v>3.0</v>
      </c>
      <c r="Q27" s="14">
        <v>0.0</v>
      </c>
      <c r="R27" s="27">
        <v>0.0</v>
      </c>
      <c r="S27" s="14">
        <v>0.0</v>
      </c>
      <c r="T27" s="28">
        <v>3.0</v>
      </c>
      <c r="U27" s="14">
        <v>0.0</v>
      </c>
      <c r="V27" s="14">
        <v>0.0</v>
      </c>
      <c r="W27" s="14">
        <v>0.0</v>
      </c>
      <c r="X27" s="35" t="s">
        <v>110</v>
      </c>
      <c r="Y27" s="30" t="s">
        <v>32</v>
      </c>
      <c r="Z27" s="35">
        <v>2.409483000031E12</v>
      </c>
      <c r="AA27" s="32" t="s">
        <v>33</v>
      </c>
      <c r="AB27" s="25">
        <v>51.0</v>
      </c>
    </row>
    <row r="28" ht="19.5" hidden="1" customHeight="1">
      <c r="A28" s="14">
        <v>24.0</v>
      </c>
      <c r="B28" s="15">
        <v>45962.0</v>
      </c>
      <c r="C28" s="16" t="s">
        <v>46</v>
      </c>
      <c r="D28" s="17">
        <v>1.0</v>
      </c>
      <c r="E28" s="18">
        <v>0.4986111111111111</v>
      </c>
      <c r="F28" s="34">
        <v>0.5416666666666666</v>
      </c>
      <c r="G28" s="33">
        <v>43.0</v>
      </c>
      <c r="H28" s="14" t="s">
        <v>66</v>
      </c>
      <c r="I28" s="14" t="s">
        <v>59</v>
      </c>
      <c r="J28" s="21" t="s">
        <v>37</v>
      </c>
      <c r="K28" s="22" t="s">
        <v>63</v>
      </c>
      <c r="L28" s="23" t="s">
        <v>54</v>
      </c>
      <c r="M28" s="24" t="s">
        <v>64</v>
      </c>
      <c r="N28" s="25" t="s">
        <v>40</v>
      </c>
      <c r="O28" s="26" t="s">
        <v>30</v>
      </c>
      <c r="P28" s="14">
        <v>3.0</v>
      </c>
      <c r="Q28" s="14">
        <v>0.0</v>
      </c>
      <c r="R28" s="27">
        <v>0.0</v>
      </c>
      <c r="S28" s="14">
        <v>0.0</v>
      </c>
      <c r="T28" s="28">
        <v>3.0</v>
      </c>
      <c r="U28" s="14">
        <v>0.0</v>
      </c>
      <c r="V28" s="14">
        <v>0.0</v>
      </c>
      <c r="W28" s="14">
        <v>0.0</v>
      </c>
      <c r="X28" s="35" t="s">
        <v>111</v>
      </c>
      <c r="Y28" s="30" t="s">
        <v>32</v>
      </c>
      <c r="Z28" s="35" t="s">
        <v>112</v>
      </c>
      <c r="AA28" s="32" t="s">
        <v>33</v>
      </c>
      <c r="AB28" s="25">
        <v>50.0</v>
      </c>
    </row>
    <row r="29" ht="19.5" hidden="1" customHeight="1">
      <c r="A29" s="14">
        <v>25.0</v>
      </c>
      <c r="B29" s="15">
        <v>45962.0</v>
      </c>
      <c r="C29" s="16" t="s">
        <v>46</v>
      </c>
      <c r="D29" s="17">
        <v>1.0</v>
      </c>
      <c r="E29" s="18">
        <v>0.5069444444444444</v>
      </c>
      <c r="F29" s="34">
        <v>0.6083333333333333</v>
      </c>
      <c r="G29" s="20">
        <v>45798.0</v>
      </c>
      <c r="H29" s="14">
        <v>1131.0</v>
      </c>
      <c r="I29" s="14" t="s">
        <v>88</v>
      </c>
      <c r="J29" s="21" t="s">
        <v>87</v>
      </c>
      <c r="K29" s="22" t="s">
        <v>89</v>
      </c>
      <c r="L29" s="23" t="s">
        <v>38</v>
      </c>
      <c r="M29" s="24" t="s">
        <v>113</v>
      </c>
      <c r="N29" s="25" t="s">
        <v>83</v>
      </c>
      <c r="O29" s="26" t="s">
        <v>30</v>
      </c>
      <c r="P29" s="14">
        <v>1.0</v>
      </c>
      <c r="Q29" s="14">
        <v>0.0</v>
      </c>
      <c r="R29" s="27">
        <v>0.0</v>
      </c>
      <c r="S29" s="14">
        <v>0.0</v>
      </c>
      <c r="T29" s="28">
        <v>1.0</v>
      </c>
      <c r="U29" s="14">
        <v>0.0</v>
      </c>
      <c r="V29" s="14">
        <v>0.0</v>
      </c>
      <c r="W29" s="14">
        <v>0.0</v>
      </c>
      <c r="X29" s="29" t="s">
        <v>114</v>
      </c>
      <c r="Y29" s="30" t="s">
        <v>115</v>
      </c>
      <c r="Z29" s="26">
        <v>3.37018898191E12</v>
      </c>
      <c r="AA29" s="32" t="s">
        <v>33</v>
      </c>
      <c r="AB29" s="25">
        <v>25.0</v>
      </c>
    </row>
    <row r="30" ht="19.5" hidden="1" customHeight="1">
      <c r="A30" s="14">
        <v>26.0</v>
      </c>
      <c r="B30" s="15">
        <v>45962.0</v>
      </c>
      <c r="C30" s="16" t="s">
        <v>46</v>
      </c>
      <c r="D30" s="17">
        <v>1.0</v>
      </c>
      <c r="E30" s="18">
        <v>0.5090277777777777</v>
      </c>
      <c r="F30" s="34">
        <v>0.5256944444444445</v>
      </c>
      <c r="G30" s="20">
        <v>45831.0</v>
      </c>
      <c r="H30" s="14" t="s">
        <v>51</v>
      </c>
      <c r="I30" s="14" t="s">
        <v>52</v>
      </c>
      <c r="J30" s="21" t="s">
        <v>53</v>
      </c>
      <c r="K30" s="22" t="s">
        <v>63</v>
      </c>
      <c r="L30" s="23" t="s">
        <v>54</v>
      </c>
      <c r="M30" s="24" t="s">
        <v>64</v>
      </c>
      <c r="N30" s="25" t="s">
        <v>40</v>
      </c>
      <c r="O30" s="26" t="s">
        <v>30</v>
      </c>
      <c r="P30" s="14">
        <v>1.0</v>
      </c>
      <c r="Q30" s="14">
        <v>0.0</v>
      </c>
      <c r="R30" s="27">
        <v>0.0</v>
      </c>
      <c r="S30" s="14">
        <v>0.0</v>
      </c>
      <c r="T30" s="28">
        <v>1.0</v>
      </c>
      <c r="U30" s="14">
        <v>0.0</v>
      </c>
      <c r="V30" s="14">
        <v>0.0</v>
      </c>
      <c r="W30" s="14">
        <v>0.0</v>
      </c>
      <c r="X30" s="29" t="s">
        <v>116</v>
      </c>
      <c r="Y30" s="30" t="s">
        <v>61</v>
      </c>
      <c r="Z30" s="26">
        <v>2.484904000101E12</v>
      </c>
      <c r="AA30" s="32" t="s">
        <v>33</v>
      </c>
      <c r="AB30" s="25">
        <v>75.0</v>
      </c>
    </row>
    <row r="31" ht="19.5" hidden="1" customHeight="1">
      <c r="A31" s="14">
        <v>27.0</v>
      </c>
      <c r="B31" s="15">
        <v>45962.0</v>
      </c>
      <c r="C31" s="16" t="s">
        <v>46</v>
      </c>
      <c r="D31" s="17">
        <v>1.0</v>
      </c>
      <c r="E31" s="18">
        <v>0.5263888888888889</v>
      </c>
      <c r="F31" s="34">
        <v>0.5340277777777778</v>
      </c>
      <c r="G31" s="20">
        <v>45861.0</v>
      </c>
      <c r="H31" s="14" t="s">
        <v>51</v>
      </c>
      <c r="I31" s="14" t="s">
        <v>52</v>
      </c>
      <c r="J31" s="21" t="s">
        <v>53</v>
      </c>
      <c r="K31" s="22" t="s">
        <v>63</v>
      </c>
      <c r="L31" s="23" t="s">
        <v>54</v>
      </c>
      <c r="M31" s="24" t="s">
        <v>64</v>
      </c>
      <c r="N31" s="25" t="s">
        <v>117</v>
      </c>
      <c r="O31" s="26" t="s">
        <v>30</v>
      </c>
      <c r="P31" s="14">
        <v>3.0</v>
      </c>
      <c r="Q31" s="14">
        <v>0.0</v>
      </c>
      <c r="R31" s="27">
        <v>0.0</v>
      </c>
      <c r="S31" s="14">
        <v>0.0</v>
      </c>
      <c r="T31" s="28">
        <v>3.0</v>
      </c>
      <c r="U31" s="14">
        <v>0.0</v>
      </c>
      <c r="V31" s="14">
        <v>0.0</v>
      </c>
      <c r="W31" s="14">
        <v>0.0</v>
      </c>
      <c r="X31" s="35" t="s">
        <v>118</v>
      </c>
      <c r="Y31" s="30" t="s">
        <v>61</v>
      </c>
      <c r="Z31" s="35">
        <v>3.613501550101E12</v>
      </c>
      <c r="AA31" s="32" t="s">
        <v>33</v>
      </c>
      <c r="AB31" s="25">
        <v>21.0</v>
      </c>
    </row>
    <row r="32" ht="19.5" hidden="1" customHeight="1">
      <c r="A32" s="14">
        <v>28.0</v>
      </c>
      <c r="B32" s="15">
        <v>45962.0</v>
      </c>
      <c r="C32" s="16" t="s">
        <v>46</v>
      </c>
      <c r="D32" s="17">
        <v>1.0</v>
      </c>
      <c r="E32" s="18">
        <v>0.5361111111111111</v>
      </c>
      <c r="F32" s="34">
        <v>0.56875</v>
      </c>
      <c r="G32" s="33" t="s">
        <v>119</v>
      </c>
      <c r="H32" s="14" t="s">
        <v>58</v>
      </c>
      <c r="I32" s="14" t="s">
        <v>59</v>
      </c>
      <c r="J32" s="21" t="s">
        <v>37</v>
      </c>
      <c r="K32" s="22" t="s">
        <v>63</v>
      </c>
      <c r="L32" s="23" t="s">
        <v>54</v>
      </c>
      <c r="M32" s="24" t="s">
        <v>64</v>
      </c>
      <c r="N32" s="25" t="s">
        <v>120</v>
      </c>
      <c r="O32" s="26" t="s">
        <v>30</v>
      </c>
      <c r="P32" s="14">
        <v>3.0</v>
      </c>
      <c r="Q32" s="14">
        <v>0.0</v>
      </c>
      <c r="R32" s="27">
        <v>0.0</v>
      </c>
      <c r="S32" s="14">
        <v>0.0</v>
      </c>
      <c r="T32" s="28">
        <v>3.0</v>
      </c>
      <c r="U32" s="14">
        <v>0.0</v>
      </c>
      <c r="V32" s="14">
        <v>0.0</v>
      </c>
      <c r="W32" s="14">
        <v>0.0</v>
      </c>
      <c r="X32" s="35" t="s">
        <v>121</v>
      </c>
      <c r="Y32" s="30" t="s">
        <v>44</v>
      </c>
      <c r="Z32" s="35">
        <v>3.003285750101E12</v>
      </c>
      <c r="AA32" s="32" t="s">
        <v>33</v>
      </c>
      <c r="AB32" s="25"/>
    </row>
    <row r="33" ht="19.5" hidden="1" customHeight="1">
      <c r="A33" s="14">
        <v>29.0</v>
      </c>
      <c r="B33" s="15">
        <v>45962.0</v>
      </c>
      <c r="C33" s="16" t="s">
        <v>34</v>
      </c>
      <c r="D33" s="17">
        <v>1.0</v>
      </c>
      <c r="E33" s="18">
        <v>0.5541666666666667</v>
      </c>
      <c r="F33" s="34">
        <v>0.5618055555555556</v>
      </c>
      <c r="G33" s="33" t="s">
        <v>122</v>
      </c>
      <c r="H33" s="14" t="s">
        <v>123</v>
      </c>
      <c r="I33" s="14" t="s">
        <v>106</v>
      </c>
      <c r="J33" s="21" t="s">
        <v>49</v>
      </c>
      <c r="K33" s="22" t="s">
        <v>89</v>
      </c>
      <c r="L33" s="23" t="s">
        <v>38</v>
      </c>
      <c r="M33" s="24" t="s">
        <v>113</v>
      </c>
      <c r="N33" s="25" t="s">
        <v>103</v>
      </c>
      <c r="O33" s="26" t="s">
        <v>30</v>
      </c>
      <c r="P33" s="14">
        <v>0.0</v>
      </c>
      <c r="Q33" s="14">
        <v>2.0</v>
      </c>
      <c r="R33" s="27">
        <v>0.0</v>
      </c>
      <c r="S33" s="14">
        <v>2.0</v>
      </c>
      <c r="T33" s="28">
        <v>2.0</v>
      </c>
      <c r="U33" s="14">
        <v>0.0</v>
      </c>
      <c r="V33" s="14">
        <v>0.0</v>
      </c>
      <c r="W33" s="14">
        <v>0.0</v>
      </c>
      <c r="X33" s="35" t="s">
        <v>124</v>
      </c>
      <c r="Y33" s="30" t="s">
        <v>44</v>
      </c>
      <c r="Z33" s="26" t="s">
        <v>45</v>
      </c>
      <c r="AA33" s="32" t="s">
        <v>33</v>
      </c>
      <c r="AB33" s="25">
        <v>18.0</v>
      </c>
    </row>
    <row r="34" ht="19.5" hidden="1" customHeight="1">
      <c r="A34" s="14">
        <v>30.0</v>
      </c>
      <c r="B34" s="15">
        <v>45962.0</v>
      </c>
      <c r="C34" s="16" t="s">
        <v>125</v>
      </c>
      <c r="D34" s="17">
        <v>1.0</v>
      </c>
      <c r="E34" s="18">
        <v>0.5756944444444444</v>
      </c>
      <c r="F34" s="34">
        <v>0.5930555555555556</v>
      </c>
      <c r="G34" s="33">
        <v>132.0</v>
      </c>
      <c r="H34" s="14" t="s">
        <v>126</v>
      </c>
      <c r="I34" s="14" t="s">
        <v>36</v>
      </c>
      <c r="J34" s="21" t="s">
        <v>53</v>
      </c>
      <c r="K34" s="22" t="s">
        <v>81</v>
      </c>
      <c r="L34" s="23" t="s">
        <v>54</v>
      </c>
      <c r="M34" s="24" t="s">
        <v>64</v>
      </c>
      <c r="N34" s="25" t="s">
        <v>83</v>
      </c>
      <c r="O34" s="26" t="s">
        <v>30</v>
      </c>
      <c r="P34" s="14">
        <v>4.0</v>
      </c>
      <c r="Q34" s="14">
        <v>0.0</v>
      </c>
      <c r="R34" s="27">
        <v>0.0</v>
      </c>
      <c r="S34" s="14">
        <v>0.0</v>
      </c>
      <c r="T34" s="28">
        <v>4.0</v>
      </c>
      <c r="U34" s="14">
        <v>0.0</v>
      </c>
      <c r="V34" s="14">
        <v>0.0</v>
      </c>
      <c r="W34" s="14">
        <v>0.0</v>
      </c>
      <c r="X34" s="35" t="s">
        <v>118</v>
      </c>
      <c r="Y34" s="30" t="s">
        <v>61</v>
      </c>
      <c r="Z34" s="35">
        <v>3.613501550101E12</v>
      </c>
      <c r="AA34" s="32" t="s">
        <v>127</v>
      </c>
      <c r="AB34" s="25">
        <v>21.0</v>
      </c>
    </row>
    <row r="35" ht="19.5" hidden="1" customHeight="1">
      <c r="A35" s="14">
        <v>31.0</v>
      </c>
      <c r="B35" s="15">
        <v>45962.0</v>
      </c>
      <c r="C35" s="16" t="s">
        <v>128</v>
      </c>
      <c r="D35" s="17">
        <v>1.0</v>
      </c>
      <c r="E35" s="18">
        <v>0.5666666666666667</v>
      </c>
      <c r="F35" s="34">
        <v>0.6472222222222223</v>
      </c>
      <c r="G35" s="33">
        <v>92.0</v>
      </c>
      <c r="H35" s="14" t="s">
        <v>129</v>
      </c>
      <c r="I35" s="14" t="s">
        <v>48</v>
      </c>
      <c r="J35" s="21" t="s">
        <v>74</v>
      </c>
      <c r="K35" s="22" t="s">
        <v>63</v>
      </c>
      <c r="L35" s="23" t="s">
        <v>38</v>
      </c>
      <c r="M35" s="24" t="s">
        <v>108</v>
      </c>
      <c r="N35" s="25" t="s">
        <v>56</v>
      </c>
      <c r="O35" s="26" t="s">
        <v>30</v>
      </c>
      <c r="P35" s="14">
        <v>0.0</v>
      </c>
      <c r="Q35" s="14">
        <v>1.0</v>
      </c>
      <c r="R35" s="27">
        <v>0.0</v>
      </c>
      <c r="S35" s="14">
        <v>1.0</v>
      </c>
      <c r="T35" s="28">
        <v>1.0</v>
      </c>
      <c r="U35" s="14">
        <v>0.0</v>
      </c>
      <c r="V35" s="14">
        <v>0.0</v>
      </c>
      <c r="W35" s="14">
        <v>0.0</v>
      </c>
      <c r="X35" s="35" t="s">
        <v>130</v>
      </c>
      <c r="Y35" s="30" t="s">
        <v>44</v>
      </c>
      <c r="Z35" s="35">
        <v>3.049841590116E12</v>
      </c>
      <c r="AA35" s="32" t="s">
        <v>33</v>
      </c>
      <c r="AB35" s="25">
        <v>29.0</v>
      </c>
    </row>
    <row r="36" ht="19.5" hidden="1" customHeight="1">
      <c r="A36" s="14">
        <v>32.0</v>
      </c>
      <c r="B36" s="15">
        <v>45962.0</v>
      </c>
      <c r="C36" s="16" t="s">
        <v>46</v>
      </c>
      <c r="D36" s="17">
        <v>1.0</v>
      </c>
      <c r="E36" s="18">
        <v>0.6847222222222222</v>
      </c>
      <c r="F36" s="34">
        <v>0.6854166666666667</v>
      </c>
      <c r="G36" s="33">
        <v>22.0</v>
      </c>
      <c r="H36" s="14">
        <v>1131.0</v>
      </c>
      <c r="I36" s="14" t="s">
        <v>88</v>
      </c>
      <c r="J36" s="21" t="s">
        <v>49</v>
      </c>
      <c r="K36" s="22" t="s">
        <v>63</v>
      </c>
      <c r="L36" s="23" t="s">
        <v>54</v>
      </c>
      <c r="M36" s="24" t="s">
        <v>131</v>
      </c>
      <c r="N36" s="25" t="s">
        <v>83</v>
      </c>
      <c r="O36" s="26" t="s">
        <v>30</v>
      </c>
      <c r="P36" s="14">
        <v>4.0</v>
      </c>
      <c r="Q36" s="14">
        <v>0.0</v>
      </c>
      <c r="R36" s="27">
        <v>0.0</v>
      </c>
      <c r="S36" s="14">
        <v>0.0</v>
      </c>
      <c r="T36" s="28">
        <v>4.0</v>
      </c>
      <c r="U36" s="14">
        <v>0.0</v>
      </c>
      <c r="V36" s="14">
        <v>0.0</v>
      </c>
      <c r="W36" s="14">
        <v>0.0</v>
      </c>
      <c r="X36" s="35" t="s">
        <v>132</v>
      </c>
      <c r="Y36" s="30" t="s">
        <v>61</v>
      </c>
      <c r="Z36" s="35">
        <v>3.011274170101E12</v>
      </c>
      <c r="AA36" s="32" t="s">
        <v>33</v>
      </c>
      <c r="AB36" s="25">
        <v>25.0</v>
      </c>
    </row>
    <row r="37" ht="19.5" hidden="1" customHeight="1">
      <c r="A37" s="14">
        <v>33.0</v>
      </c>
      <c r="B37" s="15">
        <v>45962.0</v>
      </c>
      <c r="C37" s="16" t="s">
        <v>46</v>
      </c>
      <c r="D37" s="17">
        <v>1.0</v>
      </c>
      <c r="E37" s="18">
        <v>0.7083333333333334</v>
      </c>
      <c r="F37" s="34">
        <v>0.7868055555555555</v>
      </c>
      <c r="G37" s="33">
        <v>25.0</v>
      </c>
      <c r="H37" s="14">
        <v>1131.0</v>
      </c>
      <c r="I37" s="14" t="s">
        <v>88</v>
      </c>
      <c r="J37" s="21" t="s">
        <v>49</v>
      </c>
      <c r="K37" s="22" t="s">
        <v>81</v>
      </c>
      <c r="L37" s="23" t="s">
        <v>38</v>
      </c>
      <c r="M37" s="24" t="s">
        <v>82</v>
      </c>
      <c r="N37" s="25" t="s">
        <v>133</v>
      </c>
      <c r="O37" s="26" t="s">
        <v>30</v>
      </c>
      <c r="P37" s="14">
        <v>0.0</v>
      </c>
      <c r="Q37" s="14">
        <v>2.0</v>
      </c>
      <c r="R37" s="27">
        <v>0.0</v>
      </c>
      <c r="S37" s="14">
        <v>0.0</v>
      </c>
      <c r="T37" s="28">
        <v>2.0</v>
      </c>
      <c r="U37" s="14">
        <v>0.0</v>
      </c>
      <c r="V37" s="14">
        <v>0.0</v>
      </c>
      <c r="W37" s="14">
        <v>0.0</v>
      </c>
      <c r="X37" s="29"/>
      <c r="Y37" s="30"/>
      <c r="Z37" s="26"/>
      <c r="AA37" s="32"/>
      <c r="AB37" s="25"/>
    </row>
    <row r="38" ht="19.5" hidden="1" customHeight="1">
      <c r="A38" s="14">
        <v>34.0</v>
      </c>
      <c r="B38" s="15">
        <v>45962.0</v>
      </c>
      <c r="C38" s="16" t="s">
        <v>128</v>
      </c>
      <c r="D38" s="17">
        <v>1.0</v>
      </c>
      <c r="E38" s="18">
        <v>0.7166666666666667</v>
      </c>
      <c r="F38" s="33" t="s">
        <v>134</v>
      </c>
      <c r="G38" s="33">
        <v>87.0</v>
      </c>
      <c r="H38" s="14" t="s">
        <v>129</v>
      </c>
      <c r="I38" s="14" t="s">
        <v>48</v>
      </c>
      <c r="J38" s="21" t="s">
        <v>49</v>
      </c>
      <c r="K38" s="22" t="s">
        <v>29</v>
      </c>
      <c r="L38" s="23" t="s">
        <v>54</v>
      </c>
      <c r="M38" s="24" t="s">
        <v>64</v>
      </c>
      <c r="N38" s="25" t="s">
        <v>135</v>
      </c>
      <c r="O38" s="26" t="s">
        <v>30</v>
      </c>
      <c r="P38" s="14">
        <v>1.0</v>
      </c>
      <c r="Q38" s="14">
        <v>0.0</v>
      </c>
      <c r="R38" s="27">
        <v>0.0</v>
      </c>
      <c r="S38" s="14">
        <v>0.0</v>
      </c>
      <c r="T38" s="28">
        <v>1.0</v>
      </c>
      <c r="U38" s="14">
        <v>0.0</v>
      </c>
      <c r="V38" s="14">
        <v>0.0</v>
      </c>
      <c r="W38" s="14">
        <v>0.0</v>
      </c>
      <c r="X38" s="35" t="s">
        <v>136</v>
      </c>
      <c r="Y38" s="30" t="s">
        <v>32</v>
      </c>
      <c r="Z38" s="35">
        <v>2.280672861805E12</v>
      </c>
      <c r="AA38" s="32" t="s">
        <v>33</v>
      </c>
      <c r="AB38" s="25">
        <v>45.0</v>
      </c>
    </row>
    <row r="39" ht="19.5" hidden="1" customHeight="1">
      <c r="A39" s="14"/>
      <c r="B39" s="15">
        <v>45963.0</v>
      </c>
      <c r="C39" s="16"/>
      <c r="D39" s="17"/>
      <c r="E39" s="18"/>
      <c r="F39" s="19"/>
      <c r="G39" s="33"/>
      <c r="H39" s="14"/>
      <c r="I39" s="14"/>
      <c r="J39" s="21"/>
      <c r="K39" s="22" t="s">
        <v>81</v>
      </c>
      <c r="L39" s="23"/>
      <c r="M39" s="24"/>
      <c r="N39" s="25"/>
      <c r="O39" s="26" t="s">
        <v>30</v>
      </c>
      <c r="P39" s="14">
        <v>1.0</v>
      </c>
      <c r="Q39" s="14">
        <v>0.0</v>
      </c>
      <c r="R39" s="27">
        <v>0.0</v>
      </c>
      <c r="S39" s="14">
        <v>0.0</v>
      </c>
      <c r="T39" s="28">
        <v>1.0</v>
      </c>
      <c r="U39" s="14">
        <v>0.0</v>
      </c>
      <c r="V39" s="14">
        <v>0.0</v>
      </c>
      <c r="W39" s="14">
        <v>0.0</v>
      </c>
      <c r="X39" s="29" t="s">
        <v>137</v>
      </c>
      <c r="Y39" s="30" t="s">
        <v>85</v>
      </c>
      <c r="Z39" s="31">
        <v>2.282982100101E12</v>
      </c>
      <c r="AA39" s="32" t="s">
        <v>33</v>
      </c>
      <c r="AB39" s="33">
        <v>34.0</v>
      </c>
    </row>
    <row r="40" ht="19.5" hidden="1" customHeight="1">
      <c r="A40" s="14">
        <v>1.0</v>
      </c>
      <c r="B40" s="15">
        <v>45963.0</v>
      </c>
      <c r="C40" s="16" t="s">
        <v>46</v>
      </c>
      <c r="D40" s="17">
        <v>2.0</v>
      </c>
      <c r="E40" s="18">
        <v>0.3013888888888889</v>
      </c>
      <c r="F40" s="34">
        <v>0.46319444444444446</v>
      </c>
      <c r="G40" s="33" t="s">
        <v>138</v>
      </c>
      <c r="H40" s="14" t="s">
        <v>139</v>
      </c>
      <c r="I40" s="14" t="s">
        <v>52</v>
      </c>
      <c r="J40" s="21" t="s">
        <v>53</v>
      </c>
      <c r="K40" s="22" t="s">
        <v>81</v>
      </c>
      <c r="L40" s="23" t="s">
        <v>38</v>
      </c>
      <c r="M40" s="24" t="s">
        <v>140</v>
      </c>
      <c r="N40" s="25" t="s">
        <v>141</v>
      </c>
      <c r="O40" s="26" t="s">
        <v>30</v>
      </c>
      <c r="P40" s="14">
        <v>1.0</v>
      </c>
      <c r="Q40" s="14">
        <v>0.0</v>
      </c>
      <c r="R40" s="27">
        <v>0.0</v>
      </c>
      <c r="S40" s="14">
        <v>0.0</v>
      </c>
      <c r="T40" s="28">
        <v>1.0</v>
      </c>
      <c r="U40" s="14">
        <v>0.0</v>
      </c>
      <c r="V40" s="14">
        <v>0.0</v>
      </c>
      <c r="W40" s="14">
        <v>0.0</v>
      </c>
      <c r="X40" s="29" t="s">
        <v>142</v>
      </c>
      <c r="Y40" s="30" t="s">
        <v>32</v>
      </c>
      <c r="Z40" s="31">
        <v>1.963666070308E12</v>
      </c>
      <c r="AA40" s="32" t="s">
        <v>33</v>
      </c>
      <c r="AB40" s="33">
        <v>45.0</v>
      </c>
    </row>
    <row r="41" ht="19.5" hidden="1" customHeight="1">
      <c r="A41" s="14">
        <v>2.0</v>
      </c>
      <c r="B41" s="15">
        <v>45963.0</v>
      </c>
      <c r="C41" s="16" t="s">
        <v>46</v>
      </c>
      <c r="D41" s="17" t="s">
        <v>50</v>
      </c>
      <c r="E41" s="18">
        <v>0.3125</v>
      </c>
      <c r="F41" s="34">
        <v>0.5</v>
      </c>
      <c r="G41" s="33">
        <v>0.0</v>
      </c>
      <c r="H41" s="14" t="s">
        <v>94</v>
      </c>
      <c r="I41" s="14" t="s">
        <v>143</v>
      </c>
      <c r="J41" s="21" t="s">
        <v>144</v>
      </c>
      <c r="K41" s="22" t="s">
        <v>75</v>
      </c>
      <c r="L41" s="23" t="s">
        <v>54</v>
      </c>
      <c r="M41" s="24" t="s">
        <v>95</v>
      </c>
      <c r="N41" s="25" t="s">
        <v>56</v>
      </c>
      <c r="O41" s="26" t="s">
        <v>30</v>
      </c>
      <c r="P41" s="14">
        <v>142.0</v>
      </c>
      <c r="Q41" s="14">
        <v>0.0</v>
      </c>
      <c r="R41" s="27">
        <v>0.0</v>
      </c>
      <c r="S41" s="14">
        <v>0.0</v>
      </c>
      <c r="T41" s="28">
        <v>142.0</v>
      </c>
      <c r="U41" s="14">
        <v>0.0</v>
      </c>
      <c r="V41" s="14">
        <v>0.0</v>
      </c>
      <c r="W41" s="14">
        <v>0.0</v>
      </c>
      <c r="X41" s="29" t="s">
        <v>30</v>
      </c>
      <c r="Y41" s="30" t="s">
        <v>44</v>
      </c>
      <c r="Z41" s="31" t="s">
        <v>45</v>
      </c>
      <c r="AA41" s="32" t="s">
        <v>45</v>
      </c>
      <c r="AB41" s="33" t="s">
        <v>45</v>
      </c>
    </row>
    <row r="42" ht="19.5" hidden="1" customHeight="1">
      <c r="A42" s="14">
        <v>3.0</v>
      </c>
      <c r="B42" s="15">
        <v>45963.0</v>
      </c>
      <c r="C42" s="16" t="s">
        <v>46</v>
      </c>
      <c r="D42" s="17" t="s">
        <v>50</v>
      </c>
      <c r="E42" s="18">
        <v>0.3125</v>
      </c>
      <c r="F42" s="34">
        <v>0.5</v>
      </c>
      <c r="G42" s="33">
        <v>0.0</v>
      </c>
      <c r="H42" s="14" t="s">
        <v>96</v>
      </c>
      <c r="I42" s="14" t="s">
        <v>143</v>
      </c>
      <c r="J42" s="21" t="s">
        <v>144</v>
      </c>
      <c r="K42" s="22" t="s">
        <v>75</v>
      </c>
      <c r="L42" s="23" t="s">
        <v>54</v>
      </c>
      <c r="M42" s="24" t="s">
        <v>95</v>
      </c>
      <c r="N42" s="25" t="s">
        <v>56</v>
      </c>
      <c r="O42" s="26" t="s">
        <v>30</v>
      </c>
      <c r="P42" s="14">
        <v>142.0</v>
      </c>
      <c r="Q42" s="14">
        <v>0.0</v>
      </c>
      <c r="R42" s="27">
        <v>0.0</v>
      </c>
      <c r="S42" s="14">
        <v>0.0</v>
      </c>
      <c r="T42" s="28">
        <v>142.0</v>
      </c>
      <c r="U42" s="14">
        <v>0.0</v>
      </c>
      <c r="V42" s="14">
        <v>0.0</v>
      </c>
      <c r="W42" s="14">
        <v>0.0</v>
      </c>
      <c r="X42" s="29" t="s">
        <v>30</v>
      </c>
      <c r="Y42" s="30" t="s">
        <v>44</v>
      </c>
      <c r="Z42" s="31" t="s">
        <v>45</v>
      </c>
      <c r="AA42" s="32" t="s">
        <v>45</v>
      </c>
      <c r="AB42" s="33" t="s">
        <v>45</v>
      </c>
    </row>
    <row r="43" ht="19.5" hidden="1" customHeight="1">
      <c r="A43" s="14">
        <v>4.0</v>
      </c>
      <c r="B43" s="15">
        <v>45963.0</v>
      </c>
      <c r="C43" s="16" t="s">
        <v>46</v>
      </c>
      <c r="D43" s="17" t="s">
        <v>50</v>
      </c>
      <c r="E43" s="18">
        <v>0.3125</v>
      </c>
      <c r="F43" s="34">
        <v>0.5</v>
      </c>
      <c r="G43" s="33">
        <v>0.0</v>
      </c>
      <c r="H43" s="14" t="s">
        <v>97</v>
      </c>
      <c r="I43" s="14" t="s">
        <v>143</v>
      </c>
      <c r="J43" s="21" t="s">
        <v>144</v>
      </c>
      <c r="K43" s="22" t="s">
        <v>75</v>
      </c>
      <c r="L43" s="23" t="s">
        <v>54</v>
      </c>
      <c r="M43" s="24" t="s">
        <v>95</v>
      </c>
      <c r="N43" s="25" t="s">
        <v>56</v>
      </c>
      <c r="O43" s="26" t="s">
        <v>30</v>
      </c>
      <c r="P43" s="14">
        <v>142.0</v>
      </c>
      <c r="Q43" s="14">
        <v>0.0</v>
      </c>
      <c r="R43" s="27">
        <v>0.0</v>
      </c>
      <c r="S43" s="14">
        <v>0.0</v>
      </c>
      <c r="T43" s="28">
        <v>142.0</v>
      </c>
      <c r="U43" s="14">
        <v>0.0</v>
      </c>
      <c r="V43" s="14">
        <v>0.0</v>
      </c>
      <c r="W43" s="14">
        <v>0.0</v>
      </c>
      <c r="X43" s="29" t="s">
        <v>30</v>
      </c>
      <c r="Y43" s="30" t="s">
        <v>44</v>
      </c>
      <c r="Z43" s="31" t="s">
        <v>45</v>
      </c>
      <c r="AA43" s="32" t="s">
        <v>45</v>
      </c>
      <c r="AB43" s="33" t="s">
        <v>45</v>
      </c>
    </row>
    <row r="44" ht="19.5" hidden="1" customHeight="1">
      <c r="A44" s="14">
        <v>5.0</v>
      </c>
      <c r="B44" s="15">
        <v>45963.0</v>
      </c>
      <c r="C44" s="16" t="s">
        <v>46</v>
      </c>
      <c r="D44" s="17" t="s">
        <v>50</v>
      </c>
      <c r="E44" s="18">
        <v>0.3125</v>
      </c>
      <c r="F44" s="34">
        <v>0.5</v>
      </c>
      <c r="G44" s="33">
        <v>0.0</v>
      </c>
      <c r="H44" s="14" t="s">
        <v>98</v>
      </c>
      <c r="I44" s="14" t="s">
        <v>143</v>
      </c>
      <c r="J44" s="21" t="s">
        <v>144</v>
      </c>
      <c r="K44" s="22" t="s">
        <v>75</v>
      </c>
      <c r="L44" s="23" t="s">
        <v>54</v>
      </c>
      <c r="M44" s="24" t="s">
        <v>95</v>
      </c>
      <c r="N44" s="25" t="s">
        <v>56</v>
      </c>
      <c r="O44" s="26" t="s">
        <v>30</v>
      </c>
      <c r="P44" s="14">
        <v>142.0</v>
      </c>
      <c r="Q44" s="14">
        <v>0.0</v>
      </c>
      <c r="R44" s="27">
        <v>0.0</v>
      </c>
      <c r="S44" s="14">
        <v>0.0</v>
      </c>
      <c r="T44" s="28">
        <v>142.0</v>
      </c>
      <c r="U44" s="14">
        <v>0.0</v>
      </c>
      <c r="V44" s="14">
        <v>0.0</v>
      </c>
      <c r="W44" s="14">
        <v>0.0</v>
      </c>
      <c r="X44" s="29" t="s">
        <v>30</v>
      </c>
      <c r="Y44" s="30" t="s">
        <v>44</v>
      </c>
      <c r="Z44" s="31" t="s">
        <v>45</v>
      </c>
      <c r="AA44" s="32" t="s">
        <v>45</v>
      </c>
      <c r="AB44" s="33" t="s">
        <v>45</v>
      </c>
    </row>
    <row r="45" ht="19.5" hidden="1" customHeight="1">
      <c r="A45" s="14">
        <v>6.0</v>
      </c>
      <c r="B45" s="15">
        <v>45963.0</v>
      </c>
      <c r="C45" s="16" t="s">
        <v>46</v>
      </c>
      <c r="D45" s="17" t="s">
        <v>50</v>
      </c>
      <c r="E45" s="18">
        <v>0.3125</v>
      </c>
      <c r="F45" s="34">
        <v>0.5</v>
      </c>
      <c r="G45" s="33">
        <v>0.0</v>
      </c>
      <c r="H45" s="14" t="s">
        <v>99</v>
      </c>
      <c r="I45" s="14" t="s">
        <v>143</v>
      </c>
      <c r="J45" s="21" t="s">
        <v>144</v>
      </c>
      <c r="K45" s="22" t="s">
        <v>75</v>
      </c>
      <c r="L45" s="23" t="s">
        <v>54</v>
      </c>
      <c r="M45" s="24" t="s">
        <v>95</v>
      </c>
      <c r="N45" s="25" t="s">
        <v>56</v>
      </c>
      <c r="O45" s="26" t="s">
        <v>30</v>
      </c>
      <c r="P45" s="14">
        <v>142.0</v>
      </c>
      <c r="Q45" s="14">
        <v>0.0</v>
      </c>
      <c r="R45" s="27">
        <v>0.0</v>
      </c>
      <c r="S45" s="14">
        <v>0.0</v>
      </c>
      <c r="T45" s="28">
        <v>142.0</v>
      </c>
      <c r="U45" s="14">
        <v>0.0</v>
      </c>
      <c r="V45" s="14">
        <v>0.0</v>
      </c>
      <c r="W45" s="14">
        <v>0.0</v>
      </c>
      <c r="X45" s="29" t="s">
        <v>30</v>
      </c>
      <c r="Y45" s="30" t="s">
        <v>44</v>
      </c>
      <c r="Z45" s="31" t="s">
        <v>45</v>
      </c>
      <c r="AA45" s="32" t="s">
        <v>45</v>
      </c>
      <c r="AB45" s="33" t="s">
        <v>45</v>
      </c>
    </row>
    <row r="46" ht="19.5" hidden="1" customHeight="1">
      <c r="A46" s="14"/>
      <c r="B46" s="15">
        <v>45963.0</v>
      </c>
      <c r="C46" s="16"/>
      <c r="D46" s="17"/>
      <c r="E46" s="18"/>
      <c r="F46" s="19"/>
      <c r="G46" s="33"/>
      <c r="H46" s="14"/>
      <c r="I46" s="14"/>
      <c r="J46" s="21"/>
      <c r="K46" s="22" t="s">
        <v>63</v>
      </c>
      <c r="L46" s="23"/>
      <c r="M46" s="24"/>
      <c r="N46" s="25"/>
      <c r="O46" s="26" t="s">
        <v>30</v>
      </c>
      <c r="P46" s="14">
        <v>3.0</v>
      </c>
      <c r="Q46" s="14">
        <v>0.0</v>
      </c>
      <c r="R46" s="27">
        <v>0.0</v>
      </c>
      <c r="S46" s="14">
        <v>0.0</v>
      </c>
      <c r="T46" s="28">
        <v>3.0</v>
      </c>
      <c r="U46" s="14">
        <v>0.0</v>
      </c>
      <c r="V46" s="14">
        <v>0.0</v>
      </c>
      <c r="W46" s="14">
        <v>0.0</v>
      </c>
      <c r="X46" s="35" t="s">
        <v>145</v>
      </c>
      <c r="Y46" s="30" t="s">
        <v>44</v>
      </c>
      <c r="Z46" s="36">
        <v>2.199749690613E12</v>
      </c>
      <c r="AA46" s="32" t="s">
        <v>127</v>
      </c>
      <c r="AB46" s="33">
        <v>38.0</v>
      </c>
    </row>
    <row r="47" ht="19.5" hidden="1" customHeight="1">
      <c r="A47" s="14">
        <v>7.0</v>
      </c>
      <c r="B47" s="15">
        <v>45963.0</v>
      </c>
      <c r="C47" s="16" t="s">
        <v>46</v>
      </c>
      <c r="D47" s="17">
        <v>2.0</v>
      </c>
      <c r="E47" s="18">
        <v>0.37916666666666665</v>
      </c>
      <c r="F47" s="34">
        <v>0.4388888888888889</v>
      </c>
      <c r="G47" s="33" t="s">
        <v>146</v>
      </c>
      <c r="H47" s="14" t="s">
        <v>147</v>
      </c>
      <c r="I47" s="14" t="s">
        <v>59</v>
      </c>
      <c r="J47" s="21" t="s">
        <v>53</v>
      </c>
      <c r="K47" s="22" t="s">
        <v>109</v>
      </c>
      <c r="L47" s="23" t="s">
        <v>38</v>
      </c>
      <c r="M47" s="24" t="s">
        <v>39</v>
      </c>
      <c r="N47" s="25" t="s">
        <v>148</v>
      </c>
      <c r="O47" s="26" t="s">
        <v>30</v>
      </c>
      <c r="P47" s="14">
        <v>9.0</v>
      </c>
      <c r="Q47" s="14">
        <v>0.0</v>
      </c>
      <c r="R47" s="27">
        <v>0.0</v>
      </c>
      <c r="S47" s="14">
        <v>0.0</v>
      </c>
      <c r="T47" s="28">
        <v>9.0</v>
      </c>
      <c r="U47" s="14">
        <v>0.0</v>
      </c>
      <c r="V47" s="14">
        <v>0.0</v>
      </c>
      <c r="W47" s="14">
        <v>0.0</v>
      </c>
      <c r="X47" s="35" t="s">
        <v>149</v>
      </c>
      <c r="Y47" s="30" t="s">
        <v>61</v>
      </c>
      <c r="Z47" s="36">
        <v>2.048175950113E12</v>
      </c>
      <c r="AA47" s="32" t="s">
        <v>33</v>
      </c>
      <c r="AB47" s="33">
        <v>34.0</v>
      </c>
    </row>
    <row r="48" ht="19.5" hidden="1" customHeight="1">
      <c r="A48" s="14">
        <v>8.0</v>
      </c>
      <c r="B48" s="15">
        <v>45963.0</v>
      </c>
      <c r="C48" s="16" t="s">
        <v>46</v>
      </c>
      <c r="D48" s="17">
        <v>1.0</v>
      </c>
      <c r="E48" s="18">
        <v>0.41597222222222224</v>
      </c>
      <c r="F48" s="34">
        <v>0.4284722222222222</v>
      </c>
      <c r="G48" s="33">
        <v>43.0</v>
      </c>
      <c r="H48" s="14" t="s">
        <v>150</v>
      </c>
      <c r="I48" s="14" t="s">
        <v>48</v>
      </c>
      <c r="J48" s="21" t="s">
        <v>87</v>
      </c>
      <c r="K48" s="22" t="s">
        <v>63</v>
      </c>
      <c r="L48" s="23" t="s">
        <v>54</v>
      </c>
      <c r="M48" s="24" t="s">
        <v>131</v>
      </c>
      <c r="N48" s="25" t="s">
        <v>148</v>
      </c>
      <c r="O48" s="26" t="s">
        <v>30</v>
      </c>
      <c r="P48" s="14">
        <v>2.0</v>
      </c>
      <c r="Q48" s="14">
        <v>0.0</v>
      </c>
      <c r="R48" s="27">
        <v>0.0</v>
      </c>
      <c r="S48" s="14">
        <v>0.0</v>
      </c>
      <c r="T48" s="28">
        <v>2.0</v>
      </c>
      <c r="U48" s="14">
        <v>0.0</v>
      </c>
      <c r="V48" s="14">
        <v>0.0</v>
      </c>
      <c r="W48" s="14">
        <v>0.0</v>
      </c>
      <c r="X48" s="35" t="s">
        <v>151</v>
      </c>
      <c r="Y48" s="30" t="s">
        <v>61</v>
      </c>
      <c r="Z48" s="36">
        <v>1.973588750206E12</v>
      </c>
      <c r="AA48" s="32" t="s">
        <v>127</v>
      </c>
      <c r="AB48" s="33">
        <v>35.0</v>
      </c>
    </row>
    <row r="49" ht="19.5" hidden="1" customHeight="1">
      <c r="A49" s="14">
        <v>9.0</v>
      </c>
      <c r="B49" s="15">
        <v>45963.0</v>
      </c>
      <c r="C49" s="16" t="s">
        <v>34</v>
      </c>
      <c r="D49" s="17">
        <v>1.0</v>
      </c>
      <c r="E49" s="18">
        <v>0.43680555555555556</v>
      </c>
      <c r="F49" s="34">
        <v>0.4375</v>
      </c>
      <c r="G49" s="33">
        <v>52.0</v>
      </c>
      <c r="H49" s="14">
        <v>1137.0</v>
      </c>
      <c r="I49" s="14" t="s">
        <v>88</v>
      </c>
      <c r="J49" s="21" t="s">
        <v>87</v>
      </c>
      <c r="K49" s="22" t="s">
        <v>91</v>
      </c>
      <c r="L49" s="23" t="s">
        <v>54</v>
      </c>
      <c r="M49" s="24" t="s">
        <v>64</v>
      </c>
      <c r="N49" s="25" t="s">
        <v>83</v>
      </c>
      <c r="O49" s="26" t="s">
        <v>30</v>
      </c>
      <c r="P49" s="14">
        <v>1.0</v>
      </c>
      <c r="Q49" s="14">
        <v>0.0</v>
      </c>
      <c r="R49" s="27">
        <v>0.0</v>
      </c>
      <c r="S49" s="14">
        <v>0.0</v>
      </c>
      <c r="T49" s="28">
        <v>1.0</v>
      </c>
      <c r="U49" s="14">
        <v>0.0</v>
      </c>
      <c r="V49" s="14">
        <v>0.0</v>
      </c>
      <c r="W49" s="14">
        <v>0.0</v>
      </c>
      <c r="X49" s="35" t="s">
        <v>152</v>
      </c>
      <c r="Y49" s="30" t="s">
        <v>32</v>
      </c>
      <c r="Z49" s="36">
        <v>2.920888840904E12</v>
      </c>
      <c r="AA49" s="32" t="s">
        <v>33</v>
      </c>
      <c r="AB49" s="33">
        <v>61.0</v>
      </c>
    </row>
    <row r="50" ht="19.5" hidden="1" customHeight="1">
      <c r="A50" s="14">
        <v>10.0</v>
      </c>
      <c r="B50" s="15">
        <v>45963.0</v>
      </c>
      <c r="C50" s="16" t="s">
        <v>46</v>
      </c>
      <c r="D50" s="17">
        <v>1.0</v>
      </c>
      <c r="E50" s="18">
        <v>0.43819444444444444</v>
      </c>
      <c r="F50" s="34">
        <v>0.4722222222222222</v>
      </c>
      <c r="G50" s="33">
        <v>21.0</v>
      </c>
      <c r="H50" s="14">
        <v>1131.0</v>
      </c>
      <c r="I50" s="14" t="s">
        <v>52</v>
      </c>
      <c r="J50" s="21" t="s">
        <v>37</v>
      </c>
      <c r="K50" s="22" t="s">
        <v>63</v>
      </c>
      <c r="L50" s="23" t="s">
        <v>54</v>
      </c>
      <c r="M50" s="24" t="s">
        <v>67</v>
      </c>
      <c r="N50" s="25" t="s">
        <v>83</v>
      </c>
      <c r="O50" s="26" t="s">
        <v>30</v>
      </c>
      <c r="P50" s="14">
        <v>1.0</v>
      </c>
      <c r="Q50" s="14">
        <v>0.0</v>
      </c>
      <c r="R50" s="27">
        <v>0.0</v>
      </c>
      <c r="S50" s="14">
        <v>0.0</v>
      </c>
      <c r="T50" s="28">
        <v>1.0</v>
      </c>
      <c r="U50" s="14">
        <v>0.0</v>
      </c>
      <c r="V50" s="14">
        <v>0.0</v>
      </c>
      <c r="W50" s="14">
        <v>0.0</v>
      </c>
      <c r="X50" s="35" t="s">
        <v>153</v>
      </c>
      <c r="Y50" s="30" t="s">
        <v>61</v>
      </c>
      <c r="Z50" s="36">
        <v>1.661501420101E12</v>
      </c>
      <c r="AA50" s="32" t="s">
        <v>127</v>
      </c>
      <c r="AB50" s="33">
        <v>36.0</v>
      </c>
    </row>
    <row r="51" ht="19.5" hidden="1" customHeight="1">
      <c r="A51" s="14">
        <v>11.0</v>
      </c>
      <c r="B51" s="15">
        <v>45963.0</v>
      </c>
      <c r="C51" s="16" t="s">
        <v>46</v>
      </c>
      <c r="D51" s="17">
        <v>1.0</v>
      </c>
      <c r="E51" s="18">
        <v>0.46111111111111114</v>
      </c>
      <c r="F51" s="34">
        <v>0.4798611111111111</v>
      </c>
      <c r="G51" s="33">
        <v>24.0</v>
      </c>
      <c r="H51" s="14" t="s">
        <v>62</v>
      </c>
      <c r="I51" s="14" t="s">
        <v>88</v>
      </c>
      <c r="J51" s="21" t="s">
        <v>49</v>
      </c>
      <c r="K51" s="22" t="s">
        <v>63</v>
      </c>
      <c r="L51" s="23" t="s">
        <v>54</v>
      </c>
      <c r="M51" s="24" t="s">
        <v>67</v>
      </c>
      <c r="N51" s="25" t="s">
        <v>148</v>
      </c>
      <c r="O51" s="26" t="s">
        <v>30</v>
      </c>
      <c r="P51" s="14">
        <v>1.0</v>
      </c>
      <c r="Q51" s="14">
        <v>0.0</v>
      </c>
      <c r="R51" s="27">
        <v>0.0</v>
      </c>
      <c r="S51" s="14">
        <v>0.0</v>
      </c>
      <c r="T51" s="28">
        <v>1.0</v>
      </c>
      <c r="U51" s="14">
        <v>0.0</v>
      </c>
      <c r="V51" s="14">
        <v>0.0</v>
      </c>
      <c r="W51" s="14">
        <v>0.0</v>
      </c>
      <c r="X51" s="35" t="s">
        <v>154</v>
      </c>
      <c r="Y51" s="30" t="s">
        <v>32</v>
      </c>
      <c r="Z51" s="36">
        <v>2.062772610921E12</v>
      </c>
      <c r="AA51" s="32" t="s">
        <v>33</v>
      </c>
      <c r="AB51" s="33">
        <v>34.0</v>
      </c>
    </row>
    <row r="52" ht="19.5" hidden="1" customHeight="1">
      <c r="A52" s="14">
        <v>12.0</v>
      </c>
      <c r="B52" s="15">
        <v>45963.0</v>
      </c>
      <c r="C52" s="16" t="s">
        <v>46</v>
      </c>
      <c r="D52" s="17">
        <v>1.0</v>
      </c>
      <c r="E52" s="18">
        <v>0.47638888888888886</v>
      </c>
      <c r="F52" s="34">
        <v>0.5166666666666667</v>
      </c>
      <c r="G52" s="33">
        <v>21.2</v>
      </c>
      <c r="H52" s="14">
        <v>1131.0</v>
      </c>
      <c r="I52" s="14" t="s">
        <v>52</v>
      </c>
      <c r="J52" s="21" t="s">
        <v>37</v>
      </c>
      <c r="K52" s="22" t="s">
        <v>42</v>
      </c>
      <c r="L52" s="23" t="s">
        <v>54</v>
      </c>
      <c r="M52" s="24" t="s">
        <v>64</v>
      </c>
      <c r="N52" s="25" t="s">
        <v>148</v>
      </c>
      <c r="O52" s="26" t="s">
        <v>30</v>
      </c>
      <c r="P52" s="14">
        <v>1.0</v>
      </c>
      <c r="Q52" s="14">
        <v>0.0</v>
      </c>
      <c r="R52" s="27">
        <v>0.0</v>
      </c>
      <c r="S52" s="14">
        <v>0.0</v>
      </c>
      <c r="T52" s="28">
        <v>1.0</v>
      </c>
      <c r="U52" s="14">
        <v>0.0</v>
      </c>
      <c r="V52" s="14">
        <v>0.0</v>
      </c>
      <c r="W52" s="14">
        <v>0.0</v>
      </c>
      <c r="X52" s="35" t="s">
        <v>155</v>
      </c>
      <c r="Y52" s="30" t="s">
        <v>85</v>
      </c>
      <c r="Z52" s="36">
        <v>1.877373710101E12</v>
      </c>
      <c r="AA52" s="32" t="s">
        <v>33</v>
      </c>
      <c r="AB52" s="33">
        <v>40.0</v>
      </c>
    </row>
    <row r="53" ht="19.5" hidden="1" customHeight="1">
      <c r="A53" s="14">
        <v>13.0</v>
      </c>
      <c r="B53" s="15">
        <v>45963.0</v>
      </c>
      <c r="C53" s="16" t="s">
        <v>46</v>
      </c>
      <c r="D53" s="17">
        <v>1.0</v>
      </c>
      <c r="E53" s="18">
        <v>0.5277777777777778</v>
      </c>
      <c r="F53" s="34">
        <v>0.5604166666666667</v>
      </c>
      <c r="G53" s="20">
        <v>45746.0</v>
      </c>
      <c r="H53" s="14" t="s">
        <v>147</v>
      </c>
      <c r="I53" s="14" t="s">
        <v>52</v>
      </c>
      <c r="J53" s="21" t="s">
        <v>37</v>
      </c>
      <c r="K53" s="22" t="s">
        <v>89</v>
      </c>
      <c r="L53" s="23" t="s">
        <v>54</v>
      </c>
      <c r="M53" s="24" t="s">
        <v>156</v>
      </c>
      <c r="N53" s="25" t="s">
        <v>83</v>
      </c>
      <c r="O53" s="26" t="s">
        <v>30</v>
      </c>
      <c r="P53" s="14">
        <v>3.0</v>
      </c>
      <c r="Q53" s="14">
        <v>0.0</v>
      </c>
      <c r="R53" s="27">
        <v>0.0</v>
      </c>
      <c r="S53" s="14">
        <v>0.0</v>
      </c>
      <c r="T53" s="28">
        <v>3.0</v>
      </c>
      <c r="U53" s="14">
        <v>0.0</v>
      </c>
      <c r="V53" s="14">
        <v>0.0</v>
      </c>
      <c r="W53" s="14">
        <v>0.0</v>
      </c>
      <c r="X53" s="29" t="s">
        <v>157</v>
      </c>
      <c r="Y53" s="30" t="s">
        <v>115</v>
      </c>
      <c r="Z53" s="26">
        <v>3.018972550101E12</v>
      </c>
      <c r="AA53" s="32" t="s">
        <v>33</v>
      </c>
      <c r="AB53" s="25">
        <v>28.0</v>
      </c>
    </row>
    <row r="54" ht="19.5" hidden="1" customHeight="1">
      <c r="A54" s="14"/>
      <c r="B54" s="15">
        <v>45963.0</v>
      </c>
      <c r="C54" s="16"/>
      <c r="D54" s="17"/>
      <c r="E54" s="18"/>
      <c r="F54" s="19"/>
      <c r="G54" s="33"/>
      <c r="H54" s="14"/>
      <c r="I54" s="14"/>
      <c r="J54" s="21"/>
      <c r="K54" s="22" t="s">
        <v>63</v>
      </c>
      <c r="L54" s="23"/>
      <c r="M54" s="24"/>
      <c r="N54" s="25"/>
      <c r="O54" s="26" t="s">
        <v>30</v>
      </c>
      <c r="P54" s="14">
        <v>0.0</v>
      </c>
      <c r="Q54" s="14">
        <v>0.0</v>
      </c>
      <c r="R54" s="27">
        <v>0.0</v>
      </c>
      <c r="S54" s="14">
        <v>1.0</v>
      </c>
      <c r="T54" s="28">
        <v>0.0</v>
      </c>
      <c r="U54" s="14">
        <v>0.0</v>
      </c>
      <c r="V54" s="14">
        <v>0.0</v>
      </c>
      <c r="W54" s="14">
        <v>0.0</v>
      </c>
      <c r="X54" s="29" t="s">
        <v>158</v>
      </c>
      <c r="Y54" s="30" t="s">
        <v>85</v>
      </c>
      <c r="Z54" s="26">
        <v>1.846337380806E12</v>
      </c>
      <c r="AA54" s="32" t="s">
        <v>33</v>
      </c>
      <c r="AB54" s="25">
        <v>36.0</v>
      </c>
    </row>
    <row r="55" ht="19.5" hidden="1" customHeight="1">
      <c r="A55" s="14">
        <v>14.0</v>
      </c>
      <c r="B55" s="15">
        <v>45963.0</v>
      </c>
      <c r="C55" s="16" t="s">
        <v>46</v>
      </c>
      <c r="D55" s="17">
        <v>2.0</v>
      </c>
      <c r="E55" s="18">
        <v>0.5763888888888888</v>
      </c>
      <c r="F55" s="34">
        <v>0.5902777777777778</v>
      </c>
      <c r="G55" s="33">
        <v>19.0</v>
      </c>
      <c r="H55" s="14" t="s">
        <v>150</v>
      </c>
      <c r="I55" s="14" t="s">
        <v>48</v>
      </c>
      <c r="J55" s="21" t="s">
        <v>87</v>
      </c>
      <c r="K55" s="22" t="s">
        <v>81</v>
      </c>
      <c r="L55" s="23" t="s">
        <v>38</v>
      </c>
      <c r="M55" s="24" t="s">
        <v>39</v>
      </c>
      <c r="N55" s="25" t="s">
        <v>159</v>
      </c>
      <c r="O55" s="26" t="s">
        <v>77</v>
      </c>
      <c r="P55" s="14">
        <v>0.0</v>
      </c>
      <c r="Q55" s="14">
        <v>0.0</v>
      </c>
      <c r="R55" s="27">
        <v>0.0</v>
      </c>
      <c r="S55" s="14">
        <v>0.0</v>
      </c>
      <c r="T55" s="28">
        <v>0.0</v>
      </c>
      <c r="U55" s="14">
        <v>0.0</v>
      </c>
      <c r="V55" s="14">
        <v>0.0</v>
      </c>
      <c r="W55" s="14">
        <v>0.0</v>
      </c>
      <c r="X55" s="29" t="s">
        <v>30</v>
      </c>
      <c r="Y55" s="30" t="s">
        <v>44</v>
      </c>
      <c r="Z55" s="26" t="s">
        <v>45</v>
      </c>
      <c r="AA55" s="32" t="s">
        <v>45</v>
      </c>
      <c r="AB55" s="25" t="s">
        <v>45</v>
      </c>
    </row>
    <row r="56" ht="19.5" hidden="1" customHeight="1">
      <c r="A56" s="14">
        <v>15.0</v>
      </c>
      <c r="B56" s="15">
        <v>45963.0</v>
      </c>
      <c r="C56" s="16" t="s">
        <v>46</v>
      </c>
      <c r="D56" s="17">
        <v>1.0</v>
      </c>
      <c r="E56" s="18">
        <v>0.6194444444444445</v>
      </c>
      <c r="F56" s="34">
        <v>0.6458333333333334</v>
      </c>
      <c r="G56" s="33">
        <v>24.0</v>
      </c>
      <c r="H56" s="14" t="s">
        <v>62</v>
      </c>
      <c r="I56" s="14" t="s">
        <v>88</v>
      </c>
      <c r="J56" s="21" t="s">
        <v>49</v>
      </c>
      <c r="K56" s="22" t="s">
        <v>63</v>
      </c>
      <c r="L56" s="23" t="s">
        <v>54</v>
      </c>
      <c r="M56" s="24" t="s">
        <v>67</v>
      </c>
      <c r="N56" s="25" t="s">
        <v>159</v>
      </c>
      <c r="O56" s="26" t="s">
        <v>30</v>
      </c>
      <c r="P56" s="14">
        <v>1.0</v>
      </c>
      <c r="Q56" s="14">
        <v>0.0</v>
      </c>
      <c r="R56" s="27">
        <v>0.0</v>
      </c>
      <c r="S56" s="14">
        <v>0.0</v>
      </c>
      <c r="T56" s="28">
        <v>1.0</v>
      </c>
      <c r="U56" s="14">
        <v>0.0</v>
      </c>
      <c r="V56" s="14">
        <v>0.0</v>
      </c>
      <c r="W56" s="14">
        <v>0.0</v>
      </c>
      <c r="X56" s="35" t="s">
        <v>160</v>
      </c>
      <c r="Y56" s="30" t="s">
        <v>61</v>
      </c>
      <c r="Z56" s="35">
        <v>3.052104160203E12</v>
      </c>
      <c r="AA56" s="32" t="s">
        <v>33</v>
      </c>
      <c r="AB56" s="25">
        <v>23.0</v>
      </c>
    </row>
    <row r="57" ht="19.5" hidden="1" customHeight="1">
      <c r="A57" s="14">
        <v>16.0</v>
      </c>
      <c r="B57" s="15">
        <v>45963.0</v>
      </c>
      <c r="C57" s="16" t="s">
        <v>71</v>
      </c>
      <c r="D57" s="17">
        <v>1.0</v>
      </c>
      <c r="E57" s="18">
        <v>0.6368055555555555</v>
      </c>
      <c r="F57" s="34">
        <v>0.675</v>
      </c>
      <c r="G57" s="33">
        <v>195.0</v>
      </c>
      <c r="H57" s="14" t="s">
        <v>72</v>
      </c>
      <c r="I57" s="14" t="s">
        <v>73</v>
      </c>
      <c r="J57" s="21" t="s">
        <v>87</v>
      </c>
      <c r="K57" s="22" t="s">
        <v>42</v>
      </c>
      <c r="L57" s="23" t="s">
        <v>38</v>
      </c>
      <c r="M57" s="24" t="s">
        <v>82</v>
      </c>
      <c r="N57" s="25" t="s">
        <v>161</v>
      </c>
      <c r="O57" s="26" t="s">
        <v>30</v>
      </c>
      <c r="P57" s="14">
        <v>1.0</v>
      </c>
      <c r="Q57" s="14">
        <v>0.0</v>
      </c>
      <c r="R57" s="27">
        <v>0.0</v>
      </c>
      <c r="S57" s="14">
        <v>0.0</v>
      </c>
      <c r="T57" s="28">
        <v>1.0</v>
      </c>
      <c r="U57" s="14">
        <v>0.0</v>
      </c>
      <c r="V57" s="14">
        <v>0.0</v>
      </c>
      <c r="W57" s="14">
        <v>0.0</v>
      </c>
      <c r="X57" s="29" t="s">
        <v>30</v>
      </c>
      <c r="Y57" s="30" t="s">
        <v>44</v>
      </c>
      <c r="Z57" s="26" t="s">
        <v>45</v>
      </c>
      <c r="AA57" s="32" t="s">
        <v>45</v>
      </c>
      <c r="AB57" s="25" t="s">
        <v>45</v>
      </c>
    </row>
    <row r="58" ht="19.5" hidden="1" customHeight="1">
      <c r="A58" s="14"/>
      <c r="B58" s="15">
        <v>45963.0</v>
      </c>
      <c r="C58" s="16"/>
      <c r="D58" s="17"/>
      <c r="E58" s="18"/>
      <c r="F58" s="19"/>
      <c r="G58" s="33"/>
      <c r="H58" s="14"/>
      <c r="I58" s="14"/>
      <c r="J58" s="21"/>
      <c r="K58" s="22" t="s">
        <v>63</v>
      </c>
      <c r="L58" s="23"/>
      <c r="M58" s="24"/>
      <c r="N58" s="25"/>
      <c r="O58" s="26" t="s">
        <v>30</v>
      </c>
      <c r="P58" s="14">
        <v>4.0</v>
      </c>
      <c r="Q58" s="14">
        <v>0.0</v>
      </c>
      <c r="R58" s="27">
        <v>0.0</v>
      </c>
      <c r="S58" s="14">
        <v>0.0</v>
      </c>
      <c r="T58" s="28">
        <v>4.0</v>
      </c>
      <c r="U58" s="14">
        <v>0.0</v>
      </c>
      <c r="V58" s="14">
        <v>0.0</v>
      </c>
      <c r="W58" s="14">
        <v>0.0</v>
      </c>
      <c r="X58" s="35" t="s">
        <v>162</v>
      </c>
      <c r="Y58" s="30" t="s">
        <v>44</v>
      </c>
      <c r="Z58" s="35">
        <v>2.423900801001E12</v>
      </c>
      <c r="AA58" s="32" t="s">
        <v>33</v>
      </c>
      <c r="AB58" s="25">
        <v>47.0</v>
      </c>
    </row>
    <row r="59" ht="19.5" hidden="1" customHeight="1">
      <c r="A59" s="14">
        <v>17.0</v>
      </c>
      <c r="B59" s="15">
        <v>45963.0</v>
      </c>
      <c r="C59" s="16" t="s">
        <v>46</v>
      </c>
      <c r="D59" s="17">
        <v>2.0</v>
      </c>
      <c r="E59" s="18">
        <v>0.6597222222222222</v>
      </c>
      <c r="F59" s="34">
        <v>0.7083333333333334</v>
      </c>
      <c r="G59" s="20">
        <v>45829.0</v>
      </c>
      <c r="H59" s="14">
        <v>1131.0</v>
      </c>
      <c r="I59" s="14" t="s">
        <v>52</v>
      </c>
      <c r="J59" s="21" t="s">
        <v>53</v>
      </c>
      <c r="K59" s="22" t="s">
        <v>100</v>
      </c>
      <c r="L59" s="23" t="s">
        <v>38</v>
      </c>
      <c r="M59" s="24" t="s">
        <v>39</v>
      </c>
      <c r="N59" s="25" t="s">
        <v>159</v>
      </c>
      <c r="O59" s="26" t="s">
        <v>30</v>
      </c>
      <c r="P59" s="14">
        <v>4.0</v>
      </c>
      <c r="Q59" s="14">
        <v>0.0</v>
      </c>
      <c r="R59" s="27">
        <v>0.0</v>
      </c>
      <c r="S59" s="14">
        <v>0.0</v>
      </c>
      <c r="T59" s="28">
        <v>4.0</v>
      </c>
      <c r="U59" s="14">
        <v>0.0</v>
      </c>
      <c r="V59" s="14">
        <v>0.0</v>
      </c>
      <c r="W59" s="14">
        <v>0.0</v>
      </c>
      <c r="X59" s="35" t="s">
        <v>163</v>
      </c>
      <c r="Y59" s="30" t="s">
        <v>61</v>
      </c>
      <c r="Z59" s="35">
        <v>2.824967340606E12</v>
      </c>
      <c r="AA59" s="32" t="s">
        <v>33</v>
      </c>
      <c r="AB59" s="25">
        <v>36.0</v>
      </c>
    </row>
    <row r="60" ht="19.5" hidden="1" customHeight="1">
      <c r="A60" s="14">
        <v>18.0</v>
      </c>
      <c r="B60" s="15">
        <v>45963.0</v>
      </c>
      <c r="C60" s="16" t="s">
        <v>46</v>
      </c>
      <c r="D60" s="17">
        <v>1.0</v>
      </c>
      <c r="E60" s="18">
        <v>0.6819444444444445</v>
      </c>
      <c r="F60" s="34">
        <v>0.6909722222222222</v>
      </c>
      <c r="G60" s="20">
        <v>45896.0</v>
      </c>
      <c r="H60" s="14" t="s">
        <v>147</v>
      </c>
      <c r="I60" s="14" t="s">
        <v>59</v>
      </c>
      <c r="J60" s="21" t="s">
        <v>37</v>
      </c>
      <c r="K60" s="22" t="s">
        <v>63</v>
      </c>
      <c r="L60" s="23" t="s">
        <v>54</v>
      </c>
      <c r="M60" s="24" t="s">
        <v>67</v>
      </c>
      <c r="N60" s="25" t="s">
        <v>40</v>
      </c>
      <c r="O60" s="26" t="s">
        <v>30</v>
      </c>
      <c r="P60" s="14">
        <v>7.0</v>
      </c>
      <c r="Q60" s="14">
        <v>0.0</v>
      </c>
      <c r="R60" s="27">
        <v>0.0</v>
      </c>
      <c r="S60" s="14">
        <v>0.0</v>
      </c>
      <c r="T60" s="28">
        <v>7.0</v>
      </c>
      <c r="U60" s="14">
        <v>0.0</v>
      </c>
      <c r="V60" s="14">
        <v>0.0</v>
      </c>
      <c r="W60" s="14">
        <v>0.0</v>
      </c>
      <c r="X60" s="35" t="s">
        <v>164</v>
      </c>
      <c r="Y60" s="30" t="s">
        <v>61</v>
      </c>
      <c r="Z60" s="35">
        <v>3.002827370101E12</v>
      </c>
      <c r="AA60" s="32" t="s">
        <v>33</v>
      </c>
      <c r="AB60" s="25">
        <v>27.0</v>
      </c>
    </row>
    <row r="61" ht="19.5" hidden="1" customHeight="1">
      <c r="A61" s="14">
        <v>19.0</v>
      </c>
      <c r="B61" s="15">
        <v>45963.0</v>
      </c>
      <c r="C61" s="16" t="s">
        <v>46</v>
      </c>
      <c r="D61" s="17">
        <v>1.0</v>
      </c>
      <c r="E61" s="18">
        <v>0.7263888888888889</v>
      </c>
      <c r="F61" s="34">
        <v>0.7861111111111111</v>
      </c>
      <c r="G61" s="33">
        <v>23.0</v>
      </c>
      <c r="H61" s="14" t="s">
        <v>62</v>
      </c>
      <c r="I61" s="14" t="s">
        <v>88</v>
      </c>
      <c r="J61" s="21" t="s">
        <v>87</v>
      </c>
      <c r="K61" s="22" t="s">
        <v>100</v>
      </c>
      <c r="L61" s="23" t="s">
        <v>54</v>
      </c>
      <c r="M61" s="24" t="s">
        <v>64</v>
      </c>
      <c r="N61" s="25" t="s">
        <v>165</v>
      </c>
      <c r="O61" s="26" t="s">
        <v>30</v>
      </c>
      <c r="P61" s="14">
        <v>1.0</v>
      </c>
      <c r="Q61" s="14">
        <v>0.0</v>
      </c>
      <c r="R61" s="27">
        <v>0.0</v>
      </c>
      <c r="S61" s="14">
        <v>0.0</v>
      </c>
      <c r="T61" s="28">
        <v>1.0</v>
      </c>
      <c r="U61" s="14">
        <v>0.0</v>
      </c>
      <c r="V61" s="14">
        <v>0.0</v>
      </c>
      <c r="W61" s="14">
        <v>0.0</v>
      </c>
      <c r="X61" s="35" t="s">
        <v>166</v>
      </c>
      <c r="Y61" s="30" t="s">
        <v>61</v>
      </c>
      <c r="Z61" s="35">
        <v>2.787147140205E12</v>
      </c>
      <c r="AA61" s="32" t="s">
        <v>33</v>
      </c>
      <c r="AB61" s="25">
        <v>21.0</v>
      </c>
    </row>
    <row r="62" ht="19.5" hidden="1" customHeight="1">
      <c r="A62" s="14">
        <v>20.0</v>
      </c>
      <c r="B62" s="15">
        <v>45963.0</v>
      </c>
      <c r="C62" s="16" t="s">
        <v>125</v>
      </c>
      <c r="D62" s="17">
        <v>1.0</v>
      </c>
      <c r="E62" s="18">
        <v>0.7340277777777777</v>
      </c>
      <c r="F62" s="34">
        <v>0.7472222222222222</v>
      </c>
      <c r="G62" s="33">
        <v>132.0</v>
      </c>
      <c r="H62" s="14" t="s">
        <v>167</v>
      </c>
      <c r="I62" s="14" t="s">
        <v>36</v>
      </c>
      <c r="J62" s="21" t="s">
        <v>53</v>
      </c>
      <c r="K62" s="22" t="s">
        <v>63</v>
      </c>
      <c r="L62" s="23" t="s">
        <v>54</v>
      </c>
      <c r="M62" s="24" t="s">
        <v>64</v>
      </c>
      <c r="N62" s="25" t="s">
        <v>135</v>
      </c>
      <c r="O62" s="26" t="s">
        <v>30</v>
      </c>
      <c r="P62" s="14">
        <v>7.0</v>
      </c>
      <c r="Q62" s="14">
        <v>0.0</v>
      </c>
      <c r="R62" s="27">
        <v>0.0</v>
      </c>
      <c r="S62" s="14">
        <v>0.0</v>
      </c>
      <c r="T62" s="28">
        <v>7.0</v>
      </c>
      <c r="U62" s="14">
        <v>0.0</v>
      </c>
      <c r="V62" s="14">
        <v>0.0</v>
      </c>
      <c r="W62" s="14">
        <v>0.0</v>
      </c>
      <c r="X62" s="35" t="s">
        <v>168</v>
      </c>
      <c r="Y62" s="30" t="s">
        <v>85</v>
      </c>
      <c r="Z62" s="35">
        <v>3.165980540504E12</v>
      </c>
      <c r="AA62" s="32" t="s">
        <v>33</v>
      </c>
      <c r="AB62" s="25">
        <v>23.0</v>
      </c>
    </row>
    <row r="63" ht="19.5" hidden="1" customHeight="1">
      <c r="A63" s="14">
        <v>1.0</v>
      </c>
      <c r="B63" s="15">
        <v>45964.0</v>
      </c>
      <c r="C63" s="16" t="s">
        <v>46</v>
      </c>
      <c r="D63" s="17">
        <v>1.0</v>
      </c>
      <c r="E63" s="18">
        <v>0.2520833333333333</v>
      </c>
      <c r="F63" s="34">
        <v>0.27569444444444446</v>
      </c>
      <c r="G63" s="33">
        <v>33.5</v>
      </c>
      <c r="H63" s="14" t="s">
        <v>139</v>
      </c>
      <c r="I63" s="14" t="s">
        <v>52</v>
      </c>
      <c r="J63" s="21" t="s">
        <v>53</v>
      </c>
      <c r="K63" s="22" t="s">
        <v>42</v>
      </c>
      <c r="L63" s="23" t="s">
        <v>54</v>
      </c>
      <c r="M63" s="24" t="s">
        <v>64</v>
      </c>
      <c r="N63" s="25" t="s">
        <v>169</v>
      </c>
      <c r="O63" s="26" t="s">
        <v>30</v>
      </c>
      <c r="P63" s="14">
        <v>1.0</v>
      </c>
      <c r="Q63" s="14">
        <v>0.0</v>
      </c>
      <c r="R63" s="27">
        <v>0.0</v>
      </c>
      <c r="S63" s="14">
        <v>0.0</v>
      </c>
      <c r="T63" s="28">
        <v>1.0</v>
      </c>
      <c r="U63" s="14">
        <v>0.0</v>
      </c>
      <c r="V63" s="14">
        <v>0.0</v>
      </c>
      <c r="W63" s="14">
        <v>0.0</v>
      </c>
      <c r="X63" s="29" t="s">
        <v>170</v>
      </c>
      <c r="Y63" s="30" t="s">
        <v>61</v>
      </c>
      <c r="Z63" s="26">
        <v>3.049002300116E12</v>
      </c>
      <c r="AA63" s="32" t="s">
        <v>33</v>
      </c>
      <c r="AB63" s="25">
        <v>29.0</v>
      </c>
    </row>
    <row r="64" ht="19.5" hidden="1" customHeight="1">
      <c r="A64" s="14">
        <v>2.0</v>
      </c>
      <c r="B64" s="15">
        <v>45964.0</v>
      </c>
      <c r="C64" s="16" t="s">
        <v>46</v>
      </c>
      <c r="D64" s="17">
        <v>1.0</v>
      </c>
      <c r="E64" s="18">
        <v>0.2701388888888889</v>
      </c>
      <c r="F64" s="34">
        <v>0.30625</v>
      </c>
      <c r="G64" s="33">
        <v>43.0</v>
      </c>
      <c r="H64" s="14" t="s">
        <v>94</v>
      </c>
      <c r="I64" s="14" t="s">
        <v>59</v>
      </c>
      <c r="J64" s="21" t="s">
        <v>53</v>
      </c>
      <c r="K64" s="22" t="s">
        <v>42</v>
      </c>
      <c r="L64" s="23" t="s">
        <v>54</v>
      </c>
      <c r="M64" s="24" t="s">
        <v>64</v>
      </c>
      <c r="N64" s="25" t="s">
        <v>169</v>
      </c>
      <c r="O64" s="26" t="s">
        <v>30</v>
      </c>
      <c r="P64" s="14">
        <v>1.0</v>
      </c>
      <c r="Q64" s="14">
        <v>0.0</v>
      </c>
      <c r="R64" s="27">
        <v>0.0</v>
      </c>
      <c r="S64" s="14">
        <v>0.0</v>
      </c>
      <c r="T64" s="28">
        <v>1.0</v>
      </c>
      <c r="U64" s="14">
        <v>0.0</v>
      </c>
      <c r="V64" s="14">
        <v>0.0</v>
      </c>
      <c r="W64" s="14">
        <v>0.0</v>
      </c>
      <c r="X64" s="35" t="s">
        <v>171</v>
      </c>
      <c r="Y64" s="30" t="s">
        <v>32</v>
      </c>
      <c r="Z64" s="35">
        <v>1.999200442211E12</v>
      </c>
      <c r="AA64" s="32" t="s">
        <v>33</v>
      </c>
      <c r="AB64" s="25">
        <v>40.0</v>
      </c>
    </row>
    <row r="65" ht="19.5" hidden="1" customHeight="1">
      <c r="A65" s="14">
        <v>3.0</v>
      </c>
      <c r="B65" s="15">
        <v>45964.0</v>
      </c>
      <c r="C65" s="16" t="s">
        <v>46</v>
      </c>
      <c r="D65" s="17">
        <v>1.0</v>
      </c>
      <c r="E65" s="18">
        <v>0.3798611111111111</v>
      </c>
      <c r="F65" s="34">
        <v>0.4027777777777778</v>
      </c>
      <c r="G65" s="20">
        <v>45799.0</v>
      </c>
      <c r="H65" s="14" t="s">
        <v>99</v>
      </c>
      <c r="I65" s="14" t="s">
        <v>52</v>
      </c>
      <c r="J65" s="21" t="s">
        <v>53</v>
      </c>
      <c r="K65" s="22" t="s">
        <v>91</v>
      </c>
      <c r="L65" s="23" t="s">
        <v>54</v>
      </c>
      <c r="M65" s="24" t="s">
        <v>156</v>
      </c>
      <c r="N65" s="25" t="s">
        <v>169</v>
      </c>
      <c r="O65" s="26" t="s">
        <v>30</v>
      </c>
      <c r="P65" s="14">
        <v>3.0</v>
      </c>
      <c r="Q65" s="14">
        <v>0.0</v>
      </c>
      <c r="R65" s="27">
        <v>0.0</v>
      </c>
      <c r="S65" s="14">
        <v>0.0</v>
      </c>
      <c r="T65" s="28">
        <v>3.0</v>
      </c>
      <c r="U65" s="14">
        <v>0.0</v>
      </c>
      <c r="V65" s="14">
        <v>0.0</v>
      </c>
      <c r="W65" s="14">
        <v>0.0</v>
      </c>
      <c r="X65" s="35" t="s">
        <v>172</v>
      </c>
      <c r="Y65" s="30" t="s">
        <v>61</v>
      </c>
      <c r="Z65" s="35">
        <v>2.737429650411E12</v>
      </c>
      <c r="AA65" s="32" t="s">
        <v>33</v>
      </c>
      <c r="AB65" s="25">
        <v>19.0</v>
      </c>
    </row>
    <row r="66" ht="19.5" hidden="1" customHeight="1">
      <c r="A66" s="14">
        <v>4.0</v>
      </c>
      <c r="B66" s="15">
        <v>45964.0</v>
      </c>
      <c r="C66" s="16" t="s">
        <v>46</v>
      </c>
      <c r="D66" s="17" t="s">
        <v>50</v>
      </c>
      <c r="E66" s="18">
        <v>0.3798611111111111</v>
      </c>
      <c r="F66" s="34">
        <v>0.6930555555555555</v>
      </c>
      <c r="G66" s="33">
        <v>11.0</v>
      </c>
      <c r="H66" s="14" t="s">
        <v>173</v>
      </c>
      <c r="I66" s="14" t="s">
        <v>88</v>
      </c>
      <c r="J66" s="21" t="s">
        <v>49</v>
      </c>
      <c r="K66" s="22" t="s">
        <v>75</v>
      </c>
      <c r="L66" s="23" t="s">
        <v>54</v>
      </c>
      <c r="M66" s="24" t="s">
        <v>174</v>
      </c>
      <c r="N66" s="25" t="s">
        <v>56</v>
      </c>
      <c r="O66" s="26" t="s">
        <v>175</v>
      </c>
      <c r="P66" s="14">
        <v>37.0</v>
      </c>
      <c r="Q66" s="14">
        <v>0.0</v>
      </c>
      <c r="R66" s="27">
        <v>0.0</v>
      </c>
      <c r="S66" s="14">
        <v>0.0</v>
      </c>
      <c r="T66" s="28">
        <v>37.0</v>
      </c>
      <c r="U66" s="14">
        <v>0.0</v>
      </c>
      <c r="V66" s="14">
        <v>0.0</v>
      </c>
      <c r="W66" s="14">
        <v>0.0</v>
      </c>
      <c r="X66" s="29" t="s">
        <v>30</v>
      </c>
      <c r="Y66" s="30" t="s">
        <v>44</v>
      </c>
      <c r="Z66" s="26" t="s">
        <v>45</v>
      </c>
      <c r="AA66" s="32" t="s">
        <v>45</v>
      </c>
      <c r="AB66" s="25" t="s">
        <v>45</v>
      </c>
    </row>
    <row r="67" ht="19.5" hidden="1" customHeight="1">
      <c r="A67" s="14">
        <v>5.0</v>
      </c>
      <c r="B67" s="15">
        <v>45964.0</v>
      </c>
      <c r="C67" s="16" t="s">
        <v>46</v>
      </c>
      <c r="D67" s="17" t="s">
        <v>50</v>
      </c>
      <c r="E67" s="18">
        <v>0.3798611111111111</v>
      </c>
      <c r="F67" s="34">
        <v>0.6944444444444444</v>
      </c>
      <c r="G67" s="33">
        <v>11.0</v>
      </c>
      <c r="H67" s="14" t="s">
        <v>150</v>
      </c>
      <c r="I67" s="14" t="s">
        <v>88</v>
      </c>
      <c r="J67" s="21" t="s">
        <v>49</v>
      </c>
      <c r="K67" s="22" t="s">
        <v>75</v>
      </c>
      <c r="L67" s="23" t="s">
        <v>54</v>
      </c>
      <c r="M67" s="24" t="s">
        <v>174</v>
      </c>
      <c r="N67" s="25" t="s">
        <v>56</v>
      </c>
      <c r="O67" s="26" t="s">
        <v>175</v>
      </c>
      <c r="P67" s="14">
        <v>25.0</v>
      </c>
      <c r="Q67" s="14">
        <v>0.0</v>
      </c>
      <c r="R67" s="27">
        <v>0.0</v>
      </c>
      <c r="S67" s="14">
        <v>0.0</v>
      </c>
      <c r="T67" s="28">
        <v>25.0</v>
      </c>
      <c r="U67" s="14">
        <v>0.0</v>
      </c>
      <c r="V67" s="14">
        <v>0.0</v>
      </c>
      <c r="W67" s="14">
        <v>0.0</v>
      </c>
      <c r="X67" s="29" t="s">
        <v>30</v>
      </c>
      <c r="Y67" s="30" t="s">
        <v>44</v>
      </c>
      <c r="Z67" s="26" t="s">
        <v>45</v>
      </c>
      <c r="AA67" s="32" t="s">
        <v>45</v>
      </c>
      <c r="AB67" s="25" t="s">
        <v>45</v>
      </c>
    </row>
    <row r="68" ht="19.5" hidden="1" customHeight="1">
      <c r="A68" s="14">
        <v>6.0</v>
      </c>
      <c r="B68" s="15">
        <v>45964.0</v>
      </c>
      <c r="C68" s="16" t="s">
        <v>46</v>
      </c>
      <c r="D68" s="17">
        <v>1.0</v>
      </c>
      <c r="E68" s="18">
        <v>0.3958333333333333</v>
      </c>
      <c r="F68" s="34">
        <v>0.4340277777777778</v>
      </c>
      <c r="G68" s="20">
        <v>45830.0</v>
      </c>
      <c r="H68" s="14" t="s">
        <v>99</v>
      </c>
      <c r="I68" s="14" t="s">
        <v>52</v>
      </c>
      <c r="J68" s="21" t="s">
        <v>53</v>
      </c>
      <c r="K68" s="22" t="s">
        <v>63</v>
      </c>
      <c r="L68" s="23" t="s">
        <v>54</v>
      </c>
      <c r="M68" s="24" t="s">
        <v>67</v>
      </c>
      <c r="N68" s="25" t="s">
        <v>40</v>
      </c>
      <c r="O68" s="26" t="s">
        <v>77</v>
      </c>
      <c r="P68" s="14">
        <v>2.0</v>
      </c>
      <c r="Q68" s="14">
        <v>0.0</v>
      </c>
      <c r="R68" s="27">
        <v>0.0</v>
      </c>
      <c r="S68" s="14">
        <v>0.0</v>
      </c>
      <c r="T68" s="28">
        <v>2.0</v>
      </c>
      <c r="U68" s="14">
        <v>0.0</v>
      </c>
      <c r="V68" s="14">
        <v>0.0</v>
      </c>
      <c r="W68" s="14">
        <v>0.0</v>
      </c>
      <c r="X68" s="29" t="s">
        <v>176</v>
      </c>
      <c r="Y68" s="30" t="s">
        <v>61</v>
      </c>
      <c r="Z68" s="26">
        <v>2.628575020101E12</v>
      </c>
      <c r="AA68" s="32" t="s">
        <v>33</v>
      </c>
      <c r="AB68" s="25">
        <v>43.0</v>
      </c>
    </row>
    <row r="69" ht="19.5" hidden="1" customHeight="1">
      <c r="A69" s="14">
        <v>7.0</v>
      </c>
      <c r="B69" s="15">
        <v>45964.0</v>
      </c>
      <c r="C69" s="16" t="s">
        <v>46</v>
      </c>
      <c r="D69" s="17">
        <v>1.0</v>
      </c>
      <c r="E69" s="18">
        <v>0.40069444444444446</v>
      </c>
      <c r="F69" s="34">
        <v>0.51875</v>
      </c>
      <c r="G69" s="20">
        <v>45834.0</v>
      </c>
      <c r="H69" s="14" t="s">
        <v>47</v>
      </c>
      <c r="I69" s="14" t="s">
        <v>59</v>
      </c>
      <c r="J69" s="21" t="s">
        <v>37</v>
      </c>
      <c r="K69" s="22" t="s">
        <v>29</v>
      </c>
      <c r="L69" s="23" t="s">
        <v>54</v>
      </c>
      <c r="M69" s="24" t="s">
        <v>64</v>
      </c>
      <c r="N69" s="25" t="s">
        <v>40</v>
      </c>
      <c r="O69" s="26" t="s">
        <v>30</v>
      </c>
      <c r="P69" s="14">
        <v>1.0</v>
      </c>
      <c r="Q69" s="14">
        <v>0.0</v>
      </c>
      <c r="R69" s="27">
        <v>0.0</v>
      </c>
      <c r="S69" s="14">
        <v>0.0</v>
      </c>
      <c r="T69" s="28">
        <v>1.0</v>
      </c>
      <c r="U69" s="14">
        <v>0.0</v>
      </c>
      <c r="V69" s="14">
        <v>0.0</v>
      </c>
      <c r="W69" s="14">
        <v>0.0</v>
      </c>
      <c r="X69" s="29" t="s">
        <v>177</v>
      </c>
      <c r="Y69" s="30" t="s">
        <v>32</v>
      </c>
      <c r="Z69" s="26">
        <v>1.809476590604E12</v>
      </c>
      <c r="AA69" s="32" t="s">
        <v>33</v>
      </c>
      <c r="AB69" s="25">
        <v>51.0</v>
      </c>
    </row>
    <row r="70" ht="19.5" hidden="1" customHeight="1">
      <c r="A70" s="14">
        <v>8.0</v>
      </c>
      <c r="B70" s="15">
        <v>45964.0</v>
      </c>
      <c r="C70" s="16" t="s">
        <v>34</v>
      </c>
      <c r="D70" s="17"/>
      <c r="E70" s="18">
        <v>0.4375</v>
      </c>
      <c r="F70" s="34">
        <v>0.5083333333333333</v>
      </c>
      <c r="G70" s="33" t="s">
        <v>178</v>
      </c>
      <c r="H70" s="14" t="s">
        <v>35</v>
      </c>
      <c r="I70" s="14" t="s">
        <v>88</v>
      </c>
      <c r="J70" s="21" t="s">
        <v>87</v>
      </c>
      <c r="K70" s="22" t="s">
        <v>179</v>
      </c>
      <c r="L70" s="23" t="s">
        <v>38</v>
      </c>
      <c r="M70" s="24" t="s">
        <v>180</v>
      </c>
      <c r="N70" s="25" t="s">
        <v>56</v>
      </c>
      <c r="O70" s="26" t="s">
        <v>30</v>
      </c>
      <c r="P70" s="14">
        <v>0.0</v>
      </c>
      <c r="Q70" s="14">
        <v>0.0</v>
      </c>
      <c r="R70" s="27">
        <v>1.0</v>
      </c>
      <c r="S70" s="14">
        <v>0.0</v>
      </c>
      <c r="T70" s="28">
        <v>0.0</v>
      </c>
      <c r="U70" s="14">
        <v>0.0</v>
      </c>
      <c r="V70" s="14">
        <v>0.0</v>
      </c>
      <c r="W70" s="14">
        <v>0.0</v>
      </c>
      <c r="X70" s="29" t="s">
        <v>30</v>
      </c>
      <c r="Y70" s="30" t="s">
        <v>44</v>
      </c>
      <c r="Z70" s="26" t="s">
        <v>45</v>
      </c>
      <c r="AA70" s="32" t="s">
        <v>45</v>
      </c>
      <c r="AB70" s="25" t="s">
        <v>45</v>
      </c>
    </row>
    <row r="71" ht="19.5" hidden="1" customHeight="1">
      <c r="A71" s="14">
        <v>9.0</v>
      </c>
      <c r="B71" s="15">
        <v>45964.0</v>
      </c>
      <c r="C71" s="16" t="s">
        <v>34</v>
      </c>
      <c r="D71" s="17">
        <v>1.0</v>
      </c>
      <c r="E71" s="18">
        <v>0.4465277777777778</v>
      </c>
      <c r="F71" s="34">
        <v>0.6770833333333334</v>
      </c>
      <c r="G71" s="33">
        <v>72.0</v>
      </c>
      <c r="H71" s="14" t="s">
        <v>181</v>
      </c>
      <c r="I71" s="14" t="s">
        <v>88</v>
      </c>
      <c r="J71" s="21" t="s">
        <v>49</v>
      </c>
      <c r="K71" s="22" t="s">
        <v>29</v>
      </c>
      <c r="L71" s="23" t="s">
        <v>38</v>
      </c>
      <c r="M71" s="24" t="s">
        <v>108</v>
      </c>
      <c r="N71" s="25" t="s">
        <v>182</v>
      </c>
      <c r="O71" s="26" t="s">
        <v>30</v>
      </c>
      <c r="P71" s="14">
        <v>1.0</v>
      </c>
      <c r="Q71" s="14">
        <v>0.0</v>
      </c>
      <c r="R71" s="27">
        <v>0.0</v>
      </c>
      <c r="S71" s="14">
        <v>0.0</v>
      </c>
      <c r="T71" s="28">
        <v>1.0</v>
      </c>
      <c r="U71" s="14">
        <v>0.0</v>
      </c>
      <c r="V71" s="14">
        <v>0.0</v>
      </c>
      <c r="W71" s="14">
        <v>0.0</v>
      </c>
      <c r="X71" s="37" t="s">
        <v>183</v>
      </c>
      <c r="Y71" s="30" t="s">
        <v>32</v>
      </c>
      <c r="Z71" s="37">
        <v>2.295635620501E12</v>
      </c>
      <c r="AA71" s="32" t="s">
        <v>33</v>
      </c>
      <c r="AB71" s="25" t="s">
        <v>45</v>
      </c>
    </row>
    <row r="72" ht="19.5" hidden="1" customHeight="1">
      <c r="A72" s="14">
        <v>10.0</v>
      </c>
      <c r="B72" s="15">
        <v>45964.0</v>
      </c>
      <c r="C72" s="16" t="s">
        <v>46</v>
      </c>
      <c r="D72" s="17">
        <v>1.0</v>
      </c>
      <c r="E72" s="18">
        <v>0.48055555555555557</v>
      </c>
      <c r="F72" s="34">
        <v>0.5</v>
      </c>
      <c r="G72" s="20">
        <v>45890.0</v>
      </c>
      <c r="H72" s="14" t="s">
        <v>99</v>
      </c>
      <c r="I72" s="14" t="s">
        <v>52</v>
      </c>
      <c r="J72" s="21" t="s">
        <v>53</v>
      </c>
      <c r="K72" s="22" t="s">
        <v>81</v>
      </c>
      <c r="L72" s="23" t="s">
        <v>54</v>
      </c>
      <c r="M72" s="24" t="s">
        <v>67</v>
      </c>
      <c r="N72" s="25" t="s">
        <v>40</v>
      </c>
      <c r="O72" s="26" t="s">
        <v>30</v>
      </c>
      <c r="P72" s="14">
        <v>1.0</v>
      </c>
      <c r="Q72" s="14">
        <v>0.0</v>
      </c>
      <c r="R72" s="27">
        <v>0.0</v>
      </c>
      <c r="S72" s="14">
        <v>0.0</v>
      </c>
      <c r="T72" s="28">
        <v>1.0</v>
      </c>
      <c r="U72" s="14">
        <v>0.0</v>
      </c>
      <c r="V72" s="14">
        <v>0.0</v>
      </c>
      <c r="W72" s="14">
        <v>0.0</v>
      </c>
      <c r="X72" s="29" t="s">
        <v>184</v>
      </c>
      <c r="Y72" s="30" t="s">
        <v>115</v>
      </c>
      <c r="Z72" s="26">
        <v>2.759406751213E12</v>
      </c>
      <c r="AA72" s="32" t="s">
        <v>33</v>
      </c>
      <c r="AB72" s="25">
        <v>29.0</v>
      </c>
    </row>
    <row r="73" ht="19.5" hidden="1" customHeight="1">
      <c r="A73" s="14">
        <v>11.0</v>
      </c>
      <c r="B73" s="15">
        <v>45964.0</v>
      </c>
      <c r="C73" s="16" t="s">
        <v>125</v>
      </c>
      <c r="D73" s="17">
        <v>1.0</v>
      </c>
      <c r="E73" s="18">
        <v>0.5166666666666667</v>
      </c>
      <c r="F73" s="34">
        <v>0.5479166666666667</v>
      </c>
      <c r="G73" s="33">
        <v>117.0</v>
      </c>
      <c r="H73" s="14" t="s">
        <v>126</v>
      </c>
      <c r="I73" s="14" t="s">
        <v>36</v>
      </c>
      <c r="J73" s="21" t="s">
        <v>53</v>
      </c>
      <c r="K73" s="22" t="s">
        <v>29</v>
      </c>
      <c r="L73" s="23" t="s">
        <v>38</v>
      </c>
      <c r="M73" s="24" t="s">
        <v>82</v>
      </c>
      <c r="N73" s="25" t="s">
        <v>83</v>
      </c>
      <c r="O73" s="26" t="s">
        <v>30</v>
      </c>
      <c r="P73" s="14">
        <v>0.0</v>
      </c>
      <c r="Q73" s="14">
        <v>0.0</v>
      </c>
      <c r="R73" s="27">
        <v>0.0</v>
      </c>
      <c r="S73" s="14">
        <v>1.0</v>
      </c>
      <c r="T73" s="28">
        <v>0.0</v>
      </c>
      <c r="U73" s="14">
        <v>0.0</v>
      </c>
      <c r="V73" s="14">
        <v>0.0</v>
      </c>
      <c r="W73" s="14">
        <v>0.0</v>
      </c>
      <c r="X73" s="29" t="s">
        <v>185</v>
      </c>
      <c r="Y73" s="30" t="s">
        <v>32</v>
      </c>
      <c r="Z73" s="26">
        <v>2.663265111002E12</v>
      </c>
      <c r="AA73" s="32" t="s">
        <v>33</v>
      </c>
      <c r="AB73" s="25">
        <v>49.0</v>
      </c>
    </row>
    <row r="74" ht="19.5" hidden="1" customHeight="1">
      <c r="A74" s="14">
        <v>12.0</v>
      </c>
      <c r="B74" s="15">
        <v>45964.0</v>
      </c>
      <c r="C74" s="16" t="s">
        <v>46</v>
      </c>
      <c r="D74" s="17">
        <v>1.0</v>
      </c>
      <c r="E74" s="18">
        <v>0.5958333333333333</v>
      </c>
      <c r="F74" s="34">
        <v>0.6680555555555555</v>
      </c>
      <c r="G74" s="33">
        <v>23.0</v>
      </c>
      <c r="H74" s="14" t="s">
        <v>99</v>
      </c>
      <c r="I74" s="14" t="s">
        <v>52</v>
      </c>
      <c r="J74" s="21" t="s">
        <v>53</v>
      </c>
      <c r="K74" s="22" t="s">
        <v>91</v>
      </c>
      <c r="L74" s="23" t="s">
        <v>54</v>
      </c>
      <c r="M74" s="24" t="s">
        <v>102</v>
      </c>
      <c r="N74" s="25" t="s">
        <v>186</v>
      </c>
      <c r="O74" s="26" t="s">
        <v>187</v>
      </c>
      <c r="P74" s="14">
        <v>45.0</v>
      </c>
      <c r="Q74" s="14">
        <v>0.0</v>
      </c>
      <c r="R74" s="27">
        <v>0.0</v>
      </c>
      <c r="S74" s="14">
        <v>0.0</v>
      </c>
      <c r="T74" s="28">
        <v>45.0</v>
      </c>
      <c r="U74" s="14">
        <v>0.0</v>
      </c>
      <c r="V74" s="14">
        <v>0.0</v>
      </c>
      <c r="W74" s="14">
        <v>0.0</v>
      </c>
      <c r="X74" s="38" t="s">
        <v>188</v>
      </c>
      <c r="Y74" s="30" t="s">
        <v>32</v>
      </c>
      <c r="Z74" s="38" t="s">
        <v>189</v>
      </c>
      <c r="AA74" s="32" t="s">
        <v>33</v>
      </c>
      <c r="AB74" s="25">
        <v>67.0</v>
      </c>
    </row>
    <row r="75" ht="19.5" hidden="1" customHeight="1">
      <c r="A75" s="14">
        <v>13.0</v>
      </c>
      <c r="B75" s="15">
        <v>45964.0</v>
      </c>
      <c r="C75" s="16" t="s">
        <v>46</v>
      </c>
      <c r="D75" s="17">
        <v>1.0</v>
      </c>
      <c r="E75" s="18">
        <v>0.6111111111111112</v>
      </c>
      <c r="F75" s="34">
        <v>0.6527777777777778</v>
      </c>
      <c r="G75" s="33">
        <v>22.0</v>
      </c>
      <c r="H75" s="14" t="s">
        <v>96</v>
      </c>
      <c r="I75" s="14" t="s">
        <v>88</v>
      </c>
      <c r="J75" s="21" t="s">
        <v>49</v>
      </c>
      <c r="K75" s="22" t="s">
        <v>63</v>
      </c>
      <c r="L75" s="23" t="s">
        <v>54</v>
      </c>
      <c r="M75" s="24" t="s">
        <v>64</v>
      </c>
      <c r="N75" s="25" t="s">
        <v>103</v>
      </c>
      <c r="O75" s="26" t="s">
        <v>30</v>
      </c>
      <c r="P75" s="14">
        <v>4.0</v>
      </c>
      <c r="Q75" s="14">
        <v>0.0</v>
      </c>
      <c r="R75" s="27">
        <v>0.0</v>
      </c>
      <c r="S75" s="14">
        <v>0.0</v>
      </c>
      <c r="T75" s="28">
        <v>4.0</v>
      </c>
      <c r="U75" s="14">
        <v>0.0</v>
      </c>
      <c r="V75" s="14">
        <v>0.0</v>
      </c>
      <c r="W75" s="14">
        <v>0.0</v>
      </c>
      <c r="X75" s="35" t="s">
        <v>190</v>
      </c>
      <c r="Y75" s="30" t="s">
        <v>32</v>
      </c>
      <c r="Z75" s="35" t="s">
        <v>191</v>
      </c>
      <c r="AA75" s="32" t="s">
        <v>33</v>
      </c>
      <c r="AB75" s="25">
        <v>48.0</v>
      </c>
    </row>
    <row r="76" ht="19.5" hidden="1" customHeight="1">
      <c r="A76" s="14">
        <v>14.0</v>
      </c>
      <c r="B76" s="15">
        <v>45964.0</v>
      </c>
      <c r="C76" s="16" t="s">
        <v>46</v>
      </c>
      <c r="D76" s="17">
        <v>1.0</v>
      </c>
      <c r="E76" s="18">
        <v>0.6159722222222223</v>
      </c>
      <c r="F76" s="34">
        <v>0.6402777777777777</v>
      </c>
      <c r="G76" s="33">
        <v>46.0</v>
      </c>
      <c r="H76" s="14" t="s">
        <v>47</v>
      </c>
      <c r="I76" s="14" t="s">
        <v>59</v>
      </c>
      <c r="J76" s="21" t="s">
        <v>53</v>
      </c>
      <c r="K76" s="22" t="s">
        <v>63</v>
      </c>
      <c r="L76" s="23" t="s">
        <v>54</v>
      </c>
      <c r="M76" s="24" t="s">
        <v>131</v>
      </c>
      <c r="N76" s="25" t="s">
        <v>103</v>
      </c>
      <c r="O76" s="26" t="s">
        <v>30</v>
      </c>
      <c r="P76" s="14">
        <v>3.0</v>
      </c>
      <c r="Q76" s="14">
        <v>0.0</v>
      </c>
      <c r="R76" s="27">
        <v>0.0</v>
      </c>
      <c r="S76" s="14">
        <v>0.0</v>
      </c>
      <c r="T76" s="28">
        <v>3.0</v>
      </c>
      <c r="U76" s="14">
        <v>0.0</v>
      </c>
      <c r="V76" s="14">
        <v>0.0</v>
      </c>
      <c r="W76" s="14">
        <v>0.0</v>
      </c>
      <c r="X76" s="35" t="s">
        <v>192</v>
      </c>
      <c r="Y76" s="30" t="s">
        <v>85</v>
      </c>
      <c r="Z76" s="35">
        <v>1.755994363101E12</v>
      </c>
      <c r="AA76" s="32" t="s">
        <v>33</v>
      </c>
      <c r="AB76" s="25">
        <v>69.0</v>
      </c>
    </row>
    <row r="77" ht="19.5" hidden="1" customHeight="1">
      <c r="A77" s="14">
        <v>15.0</v>
      </c>
      <c r="B77" s="15">
        <v>45964.0</v>
      </c>
      <c r="C77" s="16" t="s">
        <v>46</v>
      </c>
      <c r="D77" s="17">
        <v>1.0</v>
      </c>
      <c r="E77" s="18">
        <v>0.6479166666666667</v>
      </c>
      <c r="F77" s="34">
        <v>0.6597222222222222</v>
      </c>
      <c r="G77" s="33" t="s">
        <v>193</v>
      </c>
      <c r="H77" s="14" t="s">
        <v>47</v>
      </c>
      <c r="I77" s="14" t="s">
        <v>52</v>
      </c>
      <c r="J77" s="21" t="s">
        <v>53</v>
      </c>
      <c r="K77" s="22" t="s">
        <v>42</v>
      </c>
      <c r="L77" s="23" t="s">
        <v>54</v>
      </c>
      <c r="M77" s="24" t="s">
        <v>64</v>
      </c>
      <c r="N77" s="25" t="s">
        <v>103</v>
      </c>
      <c r="O77" s="26" t="s">
        <v>30</v>
      </c>
      <c r="P77" s="14">
        <v>3.0</v>
      </c>
      <c r="Q77" s="14">
        <v>0.0</v>
      </c>
      <c r="R77" s="27">
        <v>0.0</v>
      </c>
      <c r="S77" s="14">
        <v>0.0</v>
      </c>
      <c r="T77" s="28">
        <v>3.0</v>
      </c>
      <c r="U77" s="14">
        <v>0.0</v>
      </c>
      <c r="V77" s="14">
        <v>0.0</v>
      </c>
      <c r="W77" s="14">
        <v>0.0</v>
      </c>
      <c r="X77" s="35" t="s">
        <v>194</v>
      </c>
      <c r="Y77" s="30" t="s">
        <v>115</v>
      </c>
      <c r="Z77" s="35">
        <v>2.64011821061E12</v>
      </c>
      <c r="AA77" s="32" t="s">
        <v>33</v>
      </c>
      <c r="AB77" s="25">
        <v>43.0</v>
      </c>
    </row>
    <row r="78" ht="19.5" hidden="1" customHeight="1">
      <c r="A78" s="14">
        <v>16.0</v>
      </c>
      <c r="B78" s="15">
        <v>45964.0</v>
      </c>
      <c r="C78" s="16" t="s">
        <v>46</v>
      </c>
      <c r="D78" s="17">
        <v>1.0</v>
      </c>
      <c r="E78" s="18">
        <v>0.6506944444444445</v>
      </c>
      <c r="F78" s="34">
        <v>0.6798611111111111</v>
      </c>
      <c r="G78" s="33">
        <v>50.0</v>
      </c>
      <c r="H78" s="14" t="s">
        <v>94</v>
      </c>
      <c r="I78" s="14" t="s">
        <v>52</v>
      </c>
      <c r="J78" s="21" t="s">
        <v>53</v>
      </c>
      <c r="K78" s="22" t="s">
        <v>63</v>
      </c>
      <c r="L78" s="23" t="s">
        <v>54</v>
      </c>
      <c r="M78" s="24" t="s">
        <v>64</v>
      </c>
      <c r="N78" s="25" t="s">
        <v>103</v>
      </c>
      <c r="O78" s="26" t="s">
        <v>30</v>
      </c>
      <c r="P78" s="14">
        <v>1.0</v>
      </c>
      <c r="Q78" s="14">
        <v>0.0</v>
      </c>
      <c r="R78" s="27">
        <v>0.0</v>
      </c>
      <c r="S78" s="14">
        <v>0.0</v>
      </c>
      <c r="T78" s="28">
        <v>1.0</v>
      </c>
      <c r="U78" s="14">
        <v>0.0</v>
      </c>
      <c r="V78" s="14">
        <v>0.0</v>
      </c>
      <c r="W78" s="14">
        <v>0.0</v>
      </c>
      <c r="X78" s="35" t="s">
        <v>195</v>
      </c>
      <c r="Y78" s="30" t="s">
        <v>61</v>
      </c>
      <c r="Z78" s="35">
        <v>2.64340809092E12</v>
      </c>
      <c r="AA78" s="32" t="s">
        <v>33</v>
      </c>
      <c r="AB78" s="25">
        <v>62.0</v>
      </c>
    </row>
    <row r="79" ht="19.5" hidden="1" customHeight="1">
      <c r="A79" s="14">
        <v>17.0</v>
      </c>
      <c r="B79" s="15">
        <v>45964.0</v>
      </c>
      <c r="C79" s="16" t="s">
        <v>46</v>
      </c>
      <c r="D79" s="17">
        <v>1.0</v>
      </c>
      <c r="E79" s="18">
        <v>0.6944444444444444</v>
      </c>
      <c r="F79" s="34">
        <v>0.7923611111111111</v>
      </c>
      <c r="G79" s="33">
        <v>40.0</v>
      </c>
      <c r="H79" s="14" t="s">
        <v>98</v>
      </c>
      <c r="I79" s="14" t="s">
        <v>48</v>
      </c>
      <c r="J79" s="21" t="s">
        <v>74</v>
      </c>
      <c r="K79" s="22" t="s">
        <v>29</v>
      </c>
      <c r="L79" s="23" t="s">
        <v>38</v>
      </c>
      <c r="M79" s="24" t="s">
        <v>196</v>
      </c>
      <c r="N79" s="25" t="s">
        <v>56</v>
      </c>
      <c r="O79" s="26" t="s">
        <v>30</v>
      </c>
      <c r="P79" s="14">
        <v>1.0</v>
      </c>
      <c r="Q79" s="14">
        <v>0.0</v>
      </c>
      <c r="R79" s="27">
        <v>0.0</v>
      </c>
      <c r="S79" s="14">
        <v>0.0</v>
      </c>
      <c r="T79" s="28">
        <v>1.0</v>
      </c>
      <c r="U79" s="14">
        <v>0.0</v>
      </c>
      <c r="V79" s="14">
        <v>0.0</v>
      </c>
      <c r="W79" s="14">
        <v>0.0</v>
      </c>
      <c r="X79" s="35" t="s">
        <v>197</v>
      </c>
      <c r="Y79" s="30" t="s">
        <v>32</v>
      </c>
      <c r="Z79" s="35">
        <v>1.853766490412E12</v>
      </c>
      <c r="AA79" s="32" t="s">
        <v>33</v>
      </c>
      <c r="AB79" s="25">
        <v>36.0</v>
      </c>
    </row>
    <row r="80" ht="19.5" hidden="1" customHeight="1">
      <c r="A80" s="14">
        <v>18.0</v>
      </c>
      <c r="B80" s="15">
        <v>45964.0</v>
      </c>
      <c r="C80" s="16" t="s">
        <v>46</v>
      </c>
      <c r="D80" s="17">
        <v>1.0</v>
      </c>
      <c r="E80" s="18">
        <v>0.7305555555555555</v>
      </c>
      <c r="F80" s="34">
        <v>0.6652777777777777</v>
      </c>
      <c r="G80" s="20">
        <v>45772.0</v>
      </c>
      <c r="H80" s="14" t="s">
        <v>99</v>
      </c>
      <c r="I80" s="14" t="s">
        <v>52</v>
      </c>
      <c r="J80" s="21" t="s">
        <v>53</v>
      </c>
      <c r="K80" s="22" t="s">
        <v>63</v>
      </c>
      <c r="L80" s="23" t="s">
        <v>54</v>
      </c>
      <c r="M80" s="24" t="s">
        <v>67</v>
      </c>
      <c r="N80" s="25" t="s">
        <v>40</v>
      </c>
      <c r="O80" s="26" t="s">
        <v>30</v>
      </c>
      <c r="P80" s="14">
        <v>1.0</v>
      </c>
      <c r="Q80" s="14">
        <v>0.0</v>
      </c>
      <c r="R80" s="27">
        <v>0.0</v>
      </c>
      <c r="S80" s="14">
        <v>0.0</v>
      </c>
      <c r="T80" s="28">
        <v>1.0</v>
      </c>
      <c r="U80" s="14">
        <v>0.0</v>
      </c>
      <c r="V80" s="14">
        <v>0.0</v>
      </c>
      <c r="W80" s="14">
        <v>0.0</v>
      </c>
      <c r="X80" s="35" t="s">
        <v>198</v>
      </c>
      <c r="Y80" s="30" t="s">
        <v>32</v>
      </c>
      <c r="Z80" s="35">
        <v>1.704958090309E12</v>
      </c>
      <c r="AA80" s="32" t="s">
        <v>33</v>
      </c>
      <c r="AB80" s="25">
        <v>63.0</v>
      </c>
    </row>
    <row r="81" ht="19.5" hidden="1" customHeight="1">
      <c r="A81" s="14"/>
      <c r="B81" s="15">
        <v>45964.0</v>
      </c>
      <c r="C81" s="16"/>
      <c r="D81" s="17"/>
      <c r="E81" s="18"/>
      <c r="F81" s="19"/>
      <c r="G81" s="33"/>
      <c r="H81" s="14"/>
      <c r="I81" s="14"/>
      <c r="J81" s="21"/>
      <c r="K81" s="22" t="s">
        <v>42</v>
      </c>
      <c r="L81" s="23"/>
      <c r="M81" s="24"/>
      <c r="N81" s="25"/>
      <c r="O81" s="26" t="s">
        <v>30</v>
      </c>
      <c r="P81" s="14">
        <v>1.0</v>
      </c>
      <c r="Q81" s="14">
        <v>2.0</v>
      </c>
      <c r="R81" s="27">
        <v>0.0</v>
      </c>
      <c r="S81" s="14">
        <v>2.0</v>
      </c>
      <c r="T81" s="28">
        <v>3.0</v>
      </c>
      <c r="U81" s="14">
        <v>0.0</v>
      </c>
      <c r="V81" s="14">
        <v>0.0</v>
      </c>
      <c r="W81" s="14">
        <v>0.0</v>
      </c>
      <c r="X81" s="35" t="s">
        <v>199</v>
      </c>
      <c r="Y81" s="30" t="s">
        <v>32</v>
      </c>
      <c r="Z81" s="35" t="s">
        <v>200</v>
      </c>
      <c r="AA81" s="32" t="s">
        <v>33</v>
      </c>
      <c r="AB81" s="25">
        <v>57.0</v>
      </c>
    </row>
    <row r="82" ht="19.5" hidden="1" customHeight="1">
      <c r="A82" s="14">
        <v>19.0</v>
      </c>
      <c r="B82" s="15">
        <v>45964.0</v>
      </c>
      <c r="C82" s="16" t="s">
        <v>34</v>
      </c>
      <c r="D82" s="17">
        <v>2.0</v>
      </c>
      <c r="E82" s="18">
        <v>0.8208333333333333</v>
      </c>
      <c r="F82" s="19"/>
      <c r="G82" s="33">
        <v>65.0</v>
      </c>
      <c r="H82" s="14" t="s">
        <v>181</v>
      </c>
      <c r="I82" s="14" t="s">
        <v>36</v>
      </c>
      <c r="J82" s="21" t="s">
        <v>37</v>
      </c>
      <c r="K82" s="22" t="s">
        <v>91</v>
      </c>
      <c r="L82" s="23" t="s">
        <v>38</v>
      </c>
      <c r="M82" s="24" t="s">
        <v>39</v>
      </c>
      <c r="N82" s="25" t="s">
        <v>201</v>
      </c>
      <c r="O82" s="26" t="s">
        <v>30</v>
      </c>
      <c r="P82" s="14">
        <v>11.0</v>
      </c>
      <c r="Q82" s="14">
        <v>0.0</v>
      </c>
      <c r="R82" s="27">
        <v>0.0</v>
      </c>
      <c r="S82" s="14">
        <v>0.0</v>
      </c>
      <c r="T82" s="28">
        <v>11.0</v>
      </c>
      <c r="U82" s="14">
        <v>0.0</v>
      </c>
      <c r="V82" s="14">
        <v>0.0</v>
      </c>
      <c r="W82" s="14">
        <v>0.0</v>
      </c>
      <c r="X82" s="35" t="s">
        <v>202</v>
      </c>
      <c r="Y82" s="30" t="s">
        <v>32</v>
      </c>
      <c r="Z82" s="35" t="s">
        <v>203</v>
      </c>
      <c r="AA82" s="32" t="s">
        <v>33</v>
      </c>
      <c r="AB82" s="25">
        <v>58.0</v>
      </c>
    </row>
    <row r="83" ht="19.5" hidden="1" customHeight="1">
      <c r="A83" s="14">
        <v>1.0</v>
      </c>
      <c r="B83" s="15">
        <v>45965.0</v>
      </c>
      <c r="C83" s="16" t="s">
        <v>34</v>
      </c>
      <c r="D83" s="17">
        <v>1.0</v>
      </c>
      <c r="E83" s="18">
        <v>0.2298611111111111</v>
      </c>
      <c r="F83" s="34">
        <v>0.2534722222222222</v>
      </c>
      <c r="G83" s="33">
        <v>52.0</v>
      </c>
      <c r="H83" s="14">
        <v>1137.0</v>
      </c>
      <c r="I83" s="14" t="s">
        <v>88</v>
      </c>
      <c r="J83" s="21" t="s">
        <v>49</v>
      </c>
      <c r="K83" s="22" t="s">
        <v>63</v>
      </c>
      <c r="L83" s="23" t="s">
        <v>38</v>
      </c>
      <c r="M83" s="24" t="s">
        <v>140</v>
      </c>
      <c r="N83" s="25" t="s">
        <v>135</v>
      </c>
      <c r="O83" s="26" t="s">
        <v>30</v>
      </c>
      <c r="P83" s="14">
        <v>3.0</v>
      </c>
      <c r="Q83" s="14">
        <v>0.0</v>
      </c>
      <c r="R83" s="27">
        <v>0.0</v>
      </c>
      <c r="S83" s="14">
        <v>0.0</v>
      </c>
      <c r="T83" s="28">
        <v>3.0</v>
      </c>
      <c r="U83" s="14">
        <v>0.0</v>
      </c>
      <c r="V83" s="14">
        <v>0.0</v>
      </c>
      <c r="W83" s="14">
        <v>0.0</v>
      </c>
      <c r="X83" s="35" t="s">
        <v>204</v>
      </c>
      <c r="Y83" s="30" t="s">
        <v>61</v>
      </c>
      <c r="Z83" s="35">
        <v>2.690980542215E12</v>
      </c>
      <c r="AA83" s="32" t="s">
        <v>33</v>
      </c>
      <c r="AB83" s="25">
        <v>30.0</v>
      </c>
    </row>
    <row r="84" ht="19.5" hidden="1" customHeight="1">
      <c r="A84" s="14">
        <v>2.0</v>
      </c>
      <c r="B84" s="15">
        <v>45965.0</v>
      </c>
      <c r="C84" s="16" t="s">
        <v>46</v>
      </c>
      <c r="D84" s="17">
        <v>1.0</v>
      </c>
      <c r="E84" s="18">
        <v>0.2152777777777778</v>
      </c>
      <c r="F84" s="34">
        <v>0.3326388888888889</v>
      </c>
      <c r="G84" s="33">
        <v>13.0</v>
      </c>
      <c r="H84" s="14" t="s">
        <v>96</v>
      </c>
      <c r="I84" s="14" t="s">
        <v>48</v>
      </c>
      <c r="J84" s="21" t="s">
        <v>49</v>
      </c>
      <c r="K84" s="22" t="s">
        <v>29</v>
      </c>
      <c r="L84" s="23" t="s">
        <v>38</v>
      </c>
      <c r="M84" s="24" t="s">
        <v>39</v>
      </c>
      <c r="N84" s="25" t="s">
        <v>103</v>
      </c>
      <c r="O84" s="26" t="s">
        <v>30</v>
      </c>
      <c r="P84" s="14">
        <v>1.0</v>
      </c>
      <c r="Q84" s="14">
        <v>0.0</v>
      </c>
      <c r="R84" s="27">
        <v>0.0</v>
      </c>
      <c r="S84" s="14">
        <v>0.0</v>
      </c>
      <c r="T84" s="28">
        <v>1.0</v>
      </c>
      <c r="U84" s="14">
        <v>0.0</v>
      </c>
      <c r="V84" s="14">
        <v>0.0</v>
      </c>
      <c r="W84" s="14">
        <v>0.0</v>
      </c>
      <c r="X84" s="35" t="s">
        <v>205</v>
      </c>
      <c r="Y84" s="30" t="s">
        <v>32</v>
      </c>
      <c r="Z84" s="35">
        <v>1.613310921001E12</v>
      </c>
      <c r="AA84" s="32" t="s">
        <v>33</v>
      </c>
      <c r="AB84" s="25">
        <v>36.0</v>
      </c>
    </row>
    <row r="85" ht="19.5" hidden="1" customHeight="1">
      <c r="A85" s="14">
        <v>3.0</v>
      </c>
      <c r="B85" s="15">
        <v>45965.0</v>
      </c>
      <c r="C85" s="16"/>
      <c r="D85" s="17"/>
      <c r="E85" s="18"/>
      <c r="F85" s="19"/>
      <c r="G85" s="33"/>
      <c r="H85" s="14"/>
      <c r="I85" s="14"/>
      <c r="J85" s="21"/>
      <c r="K85" s="22" t="s">
        <v>29</v>
      </c>
      <c r="L85" s="23"/>
      <c r="M85" s="24"/>
      <c r="N85" s="25"/>
      <c r="O85" s="26" t="s">
        <v>30</v>
      </c>
      <c r="P85" s="14">
        <v>1.0</v>
      </c>
      <c r="Q85" s="14">
        <v>0.0</v>
      </c>
      <c r="R85" s="27">
        <v>0.0</v>
      </c>
      <c r="S85" s="14">
        <v>0.0</v>
      </c>
      <c r="T85" s="28">
        <v>1.0</v>
      </c>
      <c r="U85" s="14">
        <v>0.0</v>
      </c>
      <c r="V85" s="14">
        <v>0.0</v>
      </c>
      <c r="W85" s="14">
        <v>0.0</v>
      </c>
      <c r="X85" s="35" t="s">
        <v>206</v>
      </c>
      <c r="Y85" s="30" t="s">
        <v>32</v>
      </c>
      <c r="Z85" s="35">
        <v>1.744046031101E12</v>
      </c>
      <c r="AA85" s="32" t="s">
        <v>33</v>
      </c>
      <c r="AB85" s="25">
        <v>68.0</v>
      </c>
    </row>
    <row r="86" ht="19.5" hidden="1" customHeight="1">
      <c r="A86" s="14">
        <v>4.0</v>
      </c>
      <c r="B86" s="15">
        <v>45965.0</v>
      </c>
      <c r="C86" s="16" t="s">
        <v>34</v>
      </c>
      <c r="D86" s="17">
        <v>2.0</v>
      </c>
      <c r="E86" s="18">
        <v>0.28958333333333336</v>
      </c>
      <c r="F86" s="34">
        <v>0.3548611111111111</v>
      </c>
      <c r="G86" s="33">
        <v>34.0</v>
      </c>
      <c r="H86" s="14" t="s">
        <v>181</v>
      </c>
      <c r="I86" s="14" t="s">
        <v>88</v>
      </c>
      <c r="J86" s="21" t="s">
        <v>87</v>
      </c>
      <c r="K86" s="22" t="s">
        <v>109</v>
      </c>
      <c r="L86" s="23" t="s">
        <v>38</v>
      </c>
      <c r="M86" s="24" t="s">
        <v>39</v>
      </c>
      <c r="N86" s="25" t="s">
        <v>83</v>
      </c>
      <c r="O86" s="26" t="s">
        <v>30</v>
      </c>
      <c r="P86" s="14">
        <v>1.0</v>
      </c>
      <c r="Q86" s="14">
        <v>0.0</v>
      </c>
      <c r="R86" s="27">
        <v>0.0</v>
      </c>
      <c r="S86" s="14">
        <v>0.0</v>
      </c>
      <c r="T86" s="28">
        <v>1.0</v>
      </c>
      <c r="U86" s="14">
        <v>0.0</v>
      </c>
      <c r="V86" s="14">
        <v>0.0</v>
      </c>
      <c r="W86" s="14">
        <v>0.0</v>
      </c>
      <c r="X86" s="35" t="s">
        <v>207</v>
      </c>
      <c r="Y86" s="30" t="s">
        <v>32</v>
      </c>
      <c r="Z86" s="35">
        <v>2.583495570101E12</v>
      </c>
      <c r="AA86" s="32" t="s">
        <v>33</v>
      </c>
      <c r="AB86" s="25">
        <v>42.0</v>
      </c>
    </row>
    <row r="87" ht="19.5" hidden="1" customHeight="1">
      <c r="A87" s="14">
        <v>5.0</v>
      </c>
      <c r="B87" s="15">
        <v>45965.0</v>
      </c>
      <c r="C87" s="16" t="s">
        <v>46</v>
      </c>
      <c r="D87" s="17">
        <v>1.0</v>
      </c>
      <c r="E87" s="18">
        <v>0.3055555555555556</v>
      </c>
      <c r="F87" s="34">
        <v>0.3416666666666667</v>
      </c>
      <c r="G87" s="33">
        <v>57.0</v>
      </c>
      <c r="H87" s="14" t="s">
        <v>139</v>
      </c>
      <c r="I87" s="14" t="s">
        <v>52</v>
      </c>
      <c r="J87" s="21" t="s">
        <v>37</v>
      </c>
      <c r="K87" s="22" t="s">
        <v>81</v>
      </c>
      <c r="L87" s="23" t="s">
        <v>54</v>
      </c>
      <c r="M87" s="24" t="s">
        <v>64</v>
      </c>
      <c r="N87" s="25" t="s">
        <v>103</v>
      </c>
      <c r="O87" s="26" t="s">
        <v>30</v>
      </c>
      <c r="P87" s="14">
        <v>2.0</v>
      </c>
      <c r="Q87" s="14">
        <v>0.0</v>
      </c>
      <c r="R87" s="27">
        <v>0.0</v>
      </c>
      <c r="S87" s="14">
        <v>0.0</v>
      </c>
      <c r="T87" s="28">
        <v>2.0</v>
      </c>
      <c r="U87" s="14">
        <v>0.0</v>
      </c>
      <c r="V87" s="14">
        <v>0.0</v>
      </c>
      <c r="W87" s="14">
        <v>0.0</v>
      </c>
      <c r="X87" s="35" t="s">
        <v>208</v>
      </c>
      <c r="Y87" s="30" t="s">
        <v>32</v>
      </c>
      <c r="Z87" s="35">
        <v>1.918531780304E12</v>
      </c>
      <c r="AA87" s="32" t="s">
        <v>33</v>
      </c>
      <c r="AB87" s="25">
        <v>53.0</v>
      </c>
    </row>
    <row r="88" ht="19.5" hidden="1" customHeight="1">
      <c r="A88" s="14">
        <v>6.0</v>
      </c>
      <c r="B88" s="15">
        <v>45965.0</v>
      </c>
      <c r="C88" s="16" t="s">
        <v>46</v>
      </c>
      <c r="D88" s="17">
        <v>1.0</v>
      </c>
      <c r="E88" s="18">
        <v>0.32013888888888886</v>
      </c>
      <c r="F88" s="34">
        <v>0.33055555555555555</v>
      </c>
      <c r="G88" s="20">
        <v>45858.0</v>
      </c>
      <c r="H88" s="14" t="s">
        <v>58</v>
      </c>
      <c r="I88" s="14" t="s">
        <v>88</v>
      </c>
      <c r="J88" s="21" t="s">
        <v>49</v>
      </c>
      <c r="K88" s="22" t="s">
        <v>63</v>
      </c>
      <c r="L88" s="23" t="s">
        <v>54</v>
      </c>
      <c r="M88" s="24" t="s">
        <v>64</v>
      </c>
      <c r="N88" s="25" t="s">
        <v>209</v>
      </c>
      <c r="O88" s="26" t="s">
        <v>30</v>
      </c>
      <c r="P88" s="14">
        <v>5.0</v>
      </c>
      <c r="Q88" s="14">
        <v>0.0</v>
      </c>
      <c r="R88" s="27">
        <v>0.0</v>
      </c>
      <c r="S88" s="14">
        <v>0.0</v>
      </c>
      <c r="T88" s="28">
        <v>5.0</v>
      </c>
      <c r="U88" s="14">
        <v>0.0</v>
      </c>
      <c r="V88" s="14">
        <v>0.0</v>
      </c>
      <c r="W88" s="14">
        <v>0.0</v>
      </c>
      <c r="X88" s="35" t="s">
        <v>210</v>
      </c>
      <c r="Y88" s="30" t="s">
        <v>61</v>
      </c>
      <c r="Z88" s="35">
        <v>3.189507740719E12</v>
      </c>
      <c r="AA88" s="32" t="s">
        <v>33</v>
      </c>
      <c r="AB88" s="25">
        <v>28.0</v>
      </c>
    </row>
    <row r="89" ht="19.5" hidden="1" customHeight="1">
      <c r="A89" s="14">
        <v>7.0</v>
      </c>
      <c r="B89" s="15">
        <v>45965.0</v>
      </c>
      <c r="C89" s="16" t="s">
        <v>46</v>
      </c>
      <c r="D89" s="17">
        <v>1.0</v>
      </c>
      <c r="E89" s="18">
        <v>0.3145833333333333</v>
      </c>
      <c r="F89" s="34">
        <v>0.35208333333333336</v>
      </c>
      <c r="G89" s="20">
        <v>45798.0</v>
      </c>
      <c r="H89" s="14" t="s">
        <v>96</v>
      </c>
      <c r="I89" s="14" t="s">
        <v>48</v>
      </c>
      <c r="J89" s="21" t="s">
        <v>49</v>
      </c>
      <c r="K89" s="22" t="s">
        <v>29</v>
      </c>
      <c r="L89" s="23" t="s">
        <v>38</v>
      </c>
      <c r="M89" s="24" t="s">
        <v>196</v>
      </c>
      <c r="N89" s="25" t="s">
        <v>169</v>
      </c>
      <c r="O89" s="35" t="s">
        <v>211</v>
      </c>
      <c r="P89" s="14">
        <v>1.0</v>
      </c>
      <c r="Q89" s="14">
        <v>0.0</v>
      </c>
      <c r="R89" s="27">
        <v>0.0</v>
      </c>
      <c r="S89" s="14">
        <v>0.0</v>
      </c>
      <c r="T89" s="28">
        <v>1.0</v>
      </c>
      <c r="U89" s="14">
        <v>0.0</v>
      </c>
      <c r="V89" s="14">
        <v>0.0</v>
      </c>
      <c r="W89" s="14">
        <v>0.0</v>
      </c>
      <c r="X89" s="35" t="s">
        <v>212</v>
      </c>
      <c r="Y89" s="30" t="s">
        <v>32</v>
      </c>
      <c r="Z89" s="35">
        <v>1.840300052211E12</v>
      </c>
      <c r="AA89" s="32" t="s">
        <v>33</v>
      </c>
      <c r="AB89" s="25">
        <v>37.0</v>
      </c>
    </row>
    <row r="90" ht="19.5" hidden="1" customHeight="1">
      <c r="A90" s="14">
        <v>8.0</v>
      </c>
      <c r="B90" s="15">
        <v>45965.0</v>
      </c>
      <c r="C90" s="16" t="s">
        <v>34</v>
      </c>
      <c r="D90" s="17">
        <v>1.0</v>
      </c>
      <c r="E90" s="18">
        <v>0.40069444444444446</v>
      </c>
      <c r="F90" s="34">
        <v>0.61875</v>
      </c>
      <c r="G90" s="33" t="s">
        <v>213</v>
      </c>
      <c r="H90" s="14">
        <v>1137.0</v>
      </c>
      <c r="I90" s="14" t="s">
        <v>36</v>
      </c>
      <c r="J90" s="21" t="s">
        <v>37</v>
      </c>
      <c r="K90" s="22" t="s">
        <v>91</v>
      </c>
      <c r="L90" s="23" t="s">
        <v>38</v>
      </c>
      <c r="M90" s="24" t="s">
        <v>108</v>
      </c>
      <c r="N90" s="25" t="s">
        <v>83</v>
      </c>
      <c r="O90" s="26"/>
      <c r="P90" s="14">
        <v>0.0</v>
      </c>
      <c r="Q90" s="14">
        <v>15.0</v>
      </c>
      <c r="R90" s="27">
        <v>1.0</v>
      </c>
      <c r="S90" s="14">
        <v>15.0</v>
      </c>
      <c r="T90" s="28">
        <v>16.0</v>
      </c>
      <c r="U90" s="14">
        <v>0.0</v>
      </c>
      <c r="V90" s="14">
        <v>0.0</v>
      </c>
      <c r="W90" s="14">
        <v>0.0</v>
      </c>
      <c r="X90" s="29" t="s">
        <v>214</v>
      </c>
      <c r="Y90" s="30" t="s">
        <v>115</v>
      </c>
      <c r="Z90" s="26">
        <v>3.564186771711E12</v>
      </c>
      <c r="AA90" s="32" t="s">
        <v>33</v>
      </c>
      <c r="AB90" s="25">
        <v>47.0</v>
      </c>
    </row>
    <row r="91" ht="19.5" hidden="1" customHeight="1">
      <c r="A91" s="14">
        <v>9.0</v>
      </c>
      <c r="B91" s="15">
        <v>45965.0</v>
      </c>
      <c r="C91" s="16" t="s">
        <v>46</v>
      </c>
      <c r="D91" s="17">
        <v>1.0</v>
      </c>
      <c r="E91" s="18">
        <v>0.5090277777777777</v>
      </c>
      <c r="F91" s="34">
        <v>0.5180555555555556</v>
      </c>
      <c r="G91" s="33">
        <v>26.0</v>
      </c>
      <c r="H91" s="14" t="s">
        <v>62</v>
      </c>
      <c r="I91" s="14" t="s">
        <v>52</v>
      </c>
      <c r="J91" s="21" t="s">
        <v>37</v>
      </c>
      <c r="K91" s="22" t="s">
        <v>100</v>
      </c>
      <c r="L91" s="23" t="s">
        <v>54</v>
      </c>
      <c r="M91" s="24" t="s">
        <v>64</v>
      </c>
      <c r="N91" s="25" t="s">
        <v>103</v>
      </c>
      <c r="O91" s="26" t="s">
        <v>30</v>
      </c>
      <c r="P91" s="14">
        <v>1.0</v>
      </c>
      <c r="Q91" s="14">
        <v>0.0</v>
      </c>
      <c r="R91" s="27">
        <v>0.0</v>
      </c>
      <c r="S91" s="14">
        <v>0.0</v>
      </c>
      <c r="T91" s="28">
        <v>1.0</v>
      </c>
      <c r="U91" s="14">
        <v>0.0</v>
      </c>
      <c r="V91" s="14">
        <v>0.0</v>
      </c>
      <c r="W91" s="14">
        <v>0.0</v>
      </c>
      <c r="X91" s="35" t="s">
        <v>215</v>
      </c>
      <c r="Y91" s="30" t="s">
        <v>85</v>
      </c>
      <c r="Z91" s="35">
        <v>1.749907822215E12</v>
      </c>
      <c r="AA91" s="32" t="s">
        <v>33</v>
      </c>
      <c r="AB91" s="25">
        <v>57.0</v>
      </c>
    </row>
    <row r="92" ht="19.5" hidden="1" customHeight="1">
      <c r="A92" s="14">
        <v>10.0</v>
      </c>
      <c r="B92" s="15">
        <v>45965.0</v>
      </c>
      <c r="C92" s="16" t="s">
        <v>46</v>
      </c>
      <c r="D92" s="17">
        <v>1.0</v>
      </c>
      <c r="E92" s="18">
        <v>0.5625</v>
      </c>
      <c r="F92" s="34">
        <v>0.10347222222222222</v>
      </c>
      <c r="G92" s="33">
        <v>32.0</v>
      </c>
      <c r="H92" s="14" t="s">
        <v>58</v>
      </c>
      <c r="I92" s="14" t="s">
        <v>88</v>
      </c>
      <c r="J92" s="21" t="s">
        <v>87</v>
      </c>
      <c r="K92" s="22" t="s">
        <v>63</v>
      </c>
      <c r="L92" s="23" t="s">
        <v>54</v>
      </c>
      <c r="M92" s="24" t="s">
        <v>102</v>
      </c>
      <c r="N92" s="25" t="s">
        <v>83</v>
      </c>
      <c r="O92" s="26"/>
      <c r="P92" s="14">
        <v>1.0</v>
      </c>
      <c r="Q92" s="14">
        <v>0.0</v>
      </c>
      <c r="R92" s="27">
        <v>0.0</v>
      </c>
      <c r="S92" s="14">
        <v>0.0</v>
      </c>
      <c r="T92" s="28">
        <v>1.0</v>
      </c>
      <c r="U92" s="14">
        <v>0.0</v>
      </c>
      <c r="V92" s="14">
        <v>0.0</v>
      </c>
      <c r="W92" s="14">
        <v>0.0</v>
      </c>
      <c r="X92" s="29" t="s">
        <v>44</v>
      </c>
      <c r="Y92" s="30" t="s">
        <v>44</v>
      </c>
      <c r="Z92" s="29" t="s">
        <v>44</v>
      </c>
      <c r="AA92" s="32" t="s">
        <v>45</v>
      </c>
      <c r="AB92" s="29" t="s">
        <v>44</v>
      </c>
    </row>
    <row r="93" ht="19.5" hidden="1" customHeight="1">
      <c r="A93" s="14">
        <v>11.0</v>
      </c>
      <c r="B93" s="15">
        <v>45965.0</v>
      </c>
      <c r="C93" s="16" t="s">
        <v>34</v>
      </c>
      <c r="D93" s="17">
        <v>1.0</v>
      </c>
      <c r="E93" s="18">
        <v>0.6916666666666667</v>
      </c>
      <c r="F93" s="34">
        <v>0.7458333333333333</v>
      </c>
      <c r="G93" s="33">
        <v>51.0</v>
      </c>
      <c r="H93" s="14" t="s">
        <v>181</v>
      </c>
      <c r="I93" s="14" t="s">
        <v>216</v>
      </c>
      <c r="J93" s="21" t="s">
        <v>87</v>
      </c>
      <c r="K93" s="22" t="s">
        <v>29</v>
      </c>
      <c r="L93" s="23" t="s">
        <v>38</v>
      </c>
      <c r="M93" s="24" t="s">
        <v>82</v>
      </c>
      <c r="N93" s="25" t="s">
        <v>159</v>
      </c>
      <c r="O93" s="26"/>
      <c r="P93" s="14">
        <v>1.0</v>
      </c>
      <c r="Q93" s="14">
        <v>0.0</v>
      </c>
      <c r="R93" s="27">
        <v>0.0</v>
      </c>
      <c r="S93" s="14">
        <v>0.0</v>
      </c>
      <c r="T93" s="28">
        <v>1.0</v>
      </c>
      <c r="U93" s="14">
        <v>0.0</v>
      </c>
      <c r="V93" s="14">
        <v>0.0</v>
      </c>
      <c r="W93" s="14">
        <v>0.0</v>
      </c>
      <c r="X93" s="35" t="s">
        <v>217</v>
      </c>
      <c r="Y93" s="30" t="s">
        <v>32</v>
      </c>
      <c r="Z93" s="35">
        <v>2.214435332212E12</v>
      </c>
      <c r="AA93" s="32" t="s">
        <v>33</v>
      </c>
      <c r="AB93" s="25">
        <v>32.0</v>
      </c>
    </row>
    <row r="94" ht="19.5" hidden="1" customHeight="1">
      <c r="A94" s="14">
        <v>12.0</v>
      </c>
      <c r="B94" s="15">
        <v>45965.0</v>
      </c>
      <c r="C94" s="16" t="s">
        <v>46</v>
      </c>
      <c r="D94" s="17">
        <v>1.0</v>
      </c>
      <c r="E94" s="18">
        <v>0.7006944444444444</v>
      </c>
      <c r="F94" s="34">
        <v>0.7430555555555556</v>
      </c>
      <c r="G94" s="33">
        <v>21.0</v>
      </c>
      <c r="H94" s="14" t="s">
        <v>62</v>
      </c>
      <c r="I94" s="14" t="s">
        <v>52</v>
      </c>
      <c r="J94" s="21" t="s">
        <v>37</v>
      </c>
      <c r="K94" s="22" t="s">
        <v>63</v>
      </c>
      <c r="L94" s="23" t="s">
        <v>54</v>
      </c>
      <c r="M94" s="24" t="s">
        <v>64</v>
      </c>
      <c r="N94" s="25" t="s">
        <v>159</v>
      </c>
      <c r="O94" s="26"/>
      <c r="P94" s="14">
        <v>4.0</v>
      </c>
      <c r="Q94" s="14">
        <v>0.0</v>
      </c>
      <c r="R94" s="27">
        <v>0.0</v>
      </c>
      <c r="S94" s="14">
        <v>0.0</v>
      </c>
      <c r="T94" s="28">
        <v>4.0</v>
      </c>
      <c r="U94" s="14">
        <v>0.0</v>
      </c>
      <c r="V94" s="14">
        <v>0.0</v>
      </c>
      <c r="W94" s="14">
        <v>0.0</v>
      </c>
      <c r="X94" s="29" t="s">
        <v>218</v>
      </c>
      <c r="Y94" s="30" t="s">
        <v>32</v>
      </c>
      <c r="Z94" s="26">
        <v>2.445025520901E12</v>
      </c>
      <c r="AA94" s="32" t="s">
        <v>33</v>
      </c>
      <c r="AB94" s="25">
        <v>47.0</v>
      </c>
    </row>
    <row r="95" ht="19.5" hidden="1" customHeight="1">
      <c r="A95" s="14">
        <v>1.0</v>
      </c>
      <c r="B95" s="15">
        <v>45966.0</v>
      </c>
      <c r="C95" s="16" t="s">
        <v>34</v>
      </c>
      <c r="D95" s="17">
        <v>1.0</v>
      </c>
      <c r="E95" s="18">
        <v>0.5104166666666666</v>
      </c>
      <c r="F95" s="34">
        <v>0.0625</v>
      </c>
      <c r="G95" s="33">
        <v>42.0</v>
      </c>
      <c r="H95" s="14" t="s">
        <v>35</v>
      </c>
      <c r="I95" s="14" t="s">
        <v>88</v>
      </c>
      <c r="J95" s="21" t="s">
        <v>49</v>
      </c>
      <c r="K95" s="22" t="s">
        <v>29</v>
      </c>
      <c r="L95" s="23" t="s">
        <v>54</v>
      </c>
      <c r="M95" s="24" t="s">
        <v>64</v>
      </c>
      <c r="N95" s="25" t="s">
        <v>219</v>
      </c>
      <c r="O95" s="26"/>
      <c r="P95" s="14">
        <v>1.0</v>
      </c>
      <c r="Q95" s="14">
        <v>0.0</v>
      </c>
      <c r="R95" s="27">
        <v>0.0</v>
      </c>
      <c r="S95" s="14">
        <v>0.0</v>
      </c>
      <c r="T95" s="28">
        <v>1.0</v>
      </c>
      <c r="U95" s="14">
        <v>0.0</v>
      </c>
      <c r="V95" s="14">
        <v>0.0</v>
      </c>
      <c r="W95" s="14">
        <v>0.0</v>
      </c>
      <c r="X95" s="29" t="s">
        <v>220</v>
      </c>
      <c r="Y95" s="30" t="s">
        <v>32</v>
      </c>
      <c r="Z95" s="26">
        <v>2.666000770101E12</v>
      </c>
      <c r="AA95" s="32" t="s">
        <v>33</v>
      </c>
      <c r="AB95" s="25">
        <v>42.0</v>
      </c>
    </row>
    <row r="96" ht="19.5" hidden="1" customHeight="1">
      <c r="A96" s="14">
        <v>2.0</v>
      </c>
      <c r="B96" s="15">
        <v>45966.0</v>
      </c>
      <c r="C96" s="16" t="s">
        <v>46</v>
      </c>
      <c r="D96" s="17">
        <v>1.0</v>
      </c>
      <c r="E96" s="18">
        <v>0.20694444444444443</v>
      </c>
      <c r="F96" s="34">
        <v>0.24930555555555556</v>
      </c>
      <c r="G96" s="33">
        <v>19.0</v>
      </c>
      <c r="H96" s="14" t="s">
        <v>58</v>
      </c>
      <c r="I96" s="14" t="s">
        <v>88</v>
      </c>
      <c r="J96" s="21" t="s">
        <v>87</v>
      </c>
      <c r="K96" s="22" t="s">
        <v>29</v>
      </c>
      <c r="L96" s="23" t="s">
        <v>38</v>
      </c>
      <c r="M96" s="24" t="s">
        <v>108</v>
      </c>
      <c r="N96" s="25" t="s">
        <v>221</v>
      </c>
      <c r="O96" s="26"/>
      <c r="P96" s="14">
        <v>1.0</v>
      </c>
      <c r="Q96" s="14">
        <v>0.0</v>
      </c>
      <c r="R96" s="27">
        <v>0.0</v>
      </c>
      <c r="S96" s="14">
        <v>0.0</v>
      </c>
      <c r="T96" s="28">
        <v>1.0</v>
      </c>
      <c r="U96" s="14">
        <v>0.0</v>
      </c>
      <c r="V96" s="14">
        <v>0.0</v>
      </c>
      <c r="W96" s="14">
        <v>0.0</v>
      </c>
      <c r="X96" s="35" t="s">
        <v>222</v>
      </c>
      <c r="Y96" s="30" t="s">
        <v>32</v>
      </c>
      <c r="Z96" s="35">
        <v>2.182912480203E12</v>
      </c>
      <c r="AA96" s="32" t="s">
        <v>33</v>
      </c>
      <c r="AB96" s="25">
        <v>43.0</v>
      </c>
    </row>
    <row r="97" ht="19.5" hidden="1" customHeight="1">
      <c r="A97" s="14">
        <v>3.0</v>
      </c>
      <c r="B97" s="15">
        <v>45966.0</v>
      </c>
      <c r="C97" s="16" t="s">
        <v>46</v>
      </c>
      <c r="D97" s="17">
        <v>1.0</v>
      </c>
      <c r="E97" s="39" t="s">
        <v>223</v>
      </c>
      <c r="F97" s="34">
        <v>0.5395833333333333</v>
      </c>
      <c r="G97" s="33">
        <v>37.5</v>
      </c>
      <c r="H97" s="14" t="s">
        <v>62</v>
      </c>
      <c r="I97" s="14" t="s">
        <v>224</v>
      </c>
      <c r="J97" s="21" t="s">
        <v>87</v>
      </c>
      <c r="K97" s="22" t="s">
        <v>81</v>
      </c>
      <c r="L97" s="23" t="s">
        <v>38</v>
      </c>
      <c r="M97" s="24" t="s">
        <v>108</v>
      </c>
      <c r="N97" s="25" t="s">
        <v>225</v>
      </c>
      <c r="O97" s="26"/>
      <c r="P97" s="14">
        <v>0.0</v>
      </c>
      <c r="Q97" s="14">
        <v>0.0</v>
      </c>
      <c r="R97" s="27">
        <v>1.0</v>
      </c>
      <c r="S97" s="14">
        <v>0.0</v>
      </c>
      <c r="T97" s="28">
        <v>0.0</v>
      </c>
      <c r="U97" s="14">
        <v>0.0</v>
      </c>
      <c r="V97" s="14">
        <v>0.0</v>
      </c>
      <c r="W97" s="14">
        <v>0.0</v>
      </c>
      <c r="X97" s="29" t="s">
        <v>226</v>
      </c>
      <c r="Y97" s="30" t="s">
        <v>115</v>
      </c>
      <c r="Z97" s="29">
        <v>4.144837740115E12</v>
      </c>
      <c r="AA97" s="32" t="s">
        <v>45</v>
      </c>
      <c r="AB97" s="29" t="s">
        <v>44</v>
      </c>
    </row>
    <row r="98" ht="19.5" hidden="1" customHeight="1">
      <c r="A98" s="14">
        <v>4.0</v>
      </c>
      <c r="B98" s="15">
        <v>45966.0</v>
      </c>
      <c r="C98" s="16" t="s">
        <v>46</v>
      </c>
      <c r="D98" s="17">
        <v>1.0</v>
      </c>
      <c r="E98" s="18">
        <v>0.3020833333333333</v>
      </c>
      <c r="F98" s="34">
        <v>0.32222222222222224</v>
      </c>
      <c r="G98" s="33">
        <v>50.0</v>
      </c>
      <c r="H98" s="14" t="s">
        <v>96</v>
      </c>
      <c r="I98" s="14" t="s">
        <v>52</v>
      </c>
      <c r="J98" s="21" t="s">
        <v>53</v>
      </c>
      <c r="K98" s="22" t="s">
        <v>81</v>
      </c>
      <c r="L98" s="23" t="s">
        <v>54</v>
      </c>
      <c r="M98" s="24" t="s">
        <v>64</v>
      </c>
      <c r="N98" s="25" t="s">
        <v>103</v>
      </c>
      <c r="O98" s="26"/>
      <c r="P98" s="14">
        <v>0.0</v>
      </c>
      <c r="Q98" s="14">
        <v>0.0</v>
      </c>
      <c r="R98" s="27">
        <v>0.0</v>
      </c>
      <c r="S98" s="14">
        <v>0.0</v>
      </c>
      <c r="T98" s="28">
        <v>3.0</v>
      </c>
      <c r="U98" s="14">
        <v>0.0</v>
      </c>
      <c r="V98" s="14">
        <v>0.0</v>
      </c>
      <c r="W98" s="14">
        <v>0.0</v>
      </c>
      <c r="X98" s="29" t="s">
        <v>227</v>
      </c>
      <c r="Y98" s="30" t="s">
        <v>61</v>
      </c>
      <c r="Z98" s="26">
        <v>2.82691734102E12</v>
      </c>
      <c r="AA98" s="32" t="s">
        <v>33</v>
      </c>
      <c r="AB98" s="25">
        <v>30.0</v>
      </c>
    </row>
    <row r="99" ht="19.5" hidden="1" customHeight="1">
      <c r="A99" s="14">
        <v>5.0</v>
      </c>
      <c r="B99" s="15">
        <v>45966.0</v>
      </c>
      <c r="C99" s="16" t="s">
        <v>46</v>
      </c>
      <c r="D99" s="17" t="s">
        <v>50</v>
      </c>
      <c r="E99" s="18">
        <v>0.40347222222222223</v>
      </c>
      <c r="F99" s="34">
        <v>0.8701388888888889</v>
      </c>
      <c r="G99" s="33">
        <v>201.0</v>
      </c>
      <c r="H99" s="14" t="s">
        <v>173</v>
      </c>
      <c r="I99" s="14" t="s">
        <v>228</v>
      </c>
      <c r="J99" s="21" t="s">
        <v>37</v>
      </c>
      <c r="K99" s="22" t="s">
        <v>75</v>
      </c>
      <c r="L99" s="23" t="s">
        <v>54</v>
      </c>
      <c r="M99" s="24" t="s">
        <v>174</v>
      </c>
      <c r="N99" s="25" t="s">
        <v>229</v>
      </c>
      <c r="O99" s="26"/>
      <c r="P99" s="14">
        <v>0.0</v>
      </c>
      <c r="Q99" s="14">
        <v>0.0</v>
      </c>
      <c r="R99" s="27">
        <v>0.0</v>
      </c>
      <c r="S99" s="14">
        <v>0.0</v>
      </c>
      <c r="T99" s="28">
        <v>0.0</v>
      </c>
      <c r="U99" s="14">
        <v>0.0</v>
      </c>
      <c r="V99" s="14">
        <v>0.0</v>
      </c>
      <c r="W99" s="14">
        <v>0.0</v>
      </c>
      <c r="X99" s="29" t="s">
        <v>44</v>
      </c>
      <c r="Y99" s="30" t="s">
        <v>44</v>
      </c>
      <c r="Z99" s="29" t="s">
        <v>44</v>
      </c>
      <c r="AA99" s="32" t="s">
        <v>45</v>
      </c>
      <c r="AB99" s="29" t="s">
        <v>44</v>
      </c>
    </row>
    <row r="100" ht="19.5" hidden="1" customHeight="1">
      <c r="A100" s="14">
        <v>6.0</v>
      </c>
      <c r="B100" s="15">
        <v>45966.0</v>
      </c>
      <c r="C100" s="16" t="s">
        <v>46</v>
      </c>
      <c r="D100" s="17" t="s">
        <v>50</v>
      </c>
      <c r="E100" s="18">
        <v>0.4041666666666667</v>
      </c>
      <c r="F100" s="34">
        <v>0.8701388888888889</v>
      </c>
      <c r="G100" s="33">
        <v>201.0</v>
      </c>
      <c r="H100" s="14" t="s">
        <v>150</v>
      </c>
      <c r="I100" s="14" t="s">
        <v>228</v>
      </c>
      <c r="J100" s="21" t="s">
        <v>37</v>
      </c>
      <c r="K100" s="22" t="s">
        <v>75</v>
      </c>
      <c r="L100" s="23" t="s">
        <v>54</v>
      </c>
      <c r="M100" s="24" t="s">
        <v>174</v>
      </c>
      <c r="N100" s="25" t="s">
        <v>229</v>
      </c>
      <c r="O100" s="26"/>
      <c r="P100" s="14">
        <v>0.0</v>
      </c>
      <c r="Q100" s="14">
        <v>0.0</v>
      </c>
      <c r="R100" s="27">
        <v>0.0</v>
      </c>
      <c r="S100" s="14">
        <v>0.0</v>
      </c>
      <c r="T100" s="28">
        <v>0.0</v>
      </c>
      <c r="U100" s="14">
        <v>0.0</v>
      </c>
      <c r="V100" s="14">
        <v>0.0</v>
      </c>
      <c r="W100" s="14">
        <v>0.0</v>
      </c>
      <c r="X100" s="29" t="s">
        <v>44</v>
      </c>
      <c r="Y100" s="30" t="s">
        <v>44</v>
      </c>
      <c r="Z100" s="29" t="s">
        <v>44</v>
      </c>
      <c r="AA100" s="32" t="s">
        <v>45</v>
      </c>
      <c r="AB100" s="29" t="s">
        <v>44</v>
      </c>
    </row>
    <row r="101" ht="19.5" hidden="1" customHeight="1">
      <c r="A101" s="14">
        <v>7.0</v>
      </c>
      <c r="B101" s="15">
        <v>45966.0</v>
      </c>
      <c r="C101" s="16" t="s">
        <v>46</v>
      </c>
      <c r="D101" s="17">
        <v>1.0</v>
      </c>
      <c r="E101" s="18">
        <v>0.43125</v>
      </c>
      <c r="F101" s="34">
        <v>0.4708333333333333</v>
      </c>
      <c r="G101" s="33">
        <v>50.0</v>
      </c>
      <c r="H101" s="14" t="s">
        <v>96</v>
      </c>
      <c r="I101" s="14" t="s">
        <v>52</v>
      </c>
      <c r="J101" s="21" t="s">
        <v>53</v>
      </c>
      <c r="K101" s="22" t="s">
        <v>100</v>
      </c>
      <c r="L101" s="23" t="s">
        <v>38</v>
      </c>
      <c r="M101" s="24" t="s">
        <v>60</v>
      </c>
      <c r="N101" s="25" t="s">
        <v>230</v>
      </c>
      <c r="O101" s="26"/>
      <c r="P101" s="14">
        <v>4.0</v>
      </c>
      <c r="Q101" s="14">
        <v>0.0</v>
      </c>
      <c r="R101" s="27">
        <v>0.0</v>
      </c>
      <c r="S101" s="14">
        <v>0.0</v>
      </c>
      <c r="T101" s="28">
        <v>4.0</v>
      </c>
      <c r="U101" s="14">
        <v>0.0</v>
      </c>
      <c r="V101" s="14">
        <v>0.0</v>
      </c>
      <c r="W101" s="14">
        <v>0.0</v>
      </c>
      <c r="X101" s="29" t="s">
        <v>231</v>
      </c>
      <c r="Y101" s="30" t="s">
        <v>85</v>
      </c>
      <c r="Z101" s="26">
        <v>1.665235690112E12</v>
      </c>
      <c r="AA101" s="32" t="s">
        <v>33</v>
      </c>
      <c r="AB101" s="25">
        <v>46.0</v>
      </c>
    </row>
    <row r="102" ht="19.5" hidden="1" customHeight="1">
      <c r="A102" s="14">
        <v>8.0</v>
      </c>
      <c r="B102" s="15">
        <v>45966.0</v>
      </c>
      <c r="C102" s="16" t="s">
        <v>46</v>
      </c>
      <c r="D102" s="17">
        <v>1.0</v>
      </c>
      <c r="E102" s="18">
        <v>0.4652777777777778</v>
      </c>
      <c r="F102" s="34">
        <v>0.49444444444444446</v>
      </c>
      <c r="G102" s="33">
        <v>29.0</v>
      </c>
      <c r="H102" s="14" t="s">
        <v>58</v>
      </c>
      <c r="I102" s="14" t="s">
        <v>88</v>
      </c>
      <c r="J102" s="21" t="s">
        <v>49</v>
      </c>
      <c r="K102" s="22" t="s">
        <v>81</v>
      </c>
      <c r="L102" s="23" t="s">
        <v>54</v>
      </c>
      <c r="M102" s="24" t="s">
        <v>64</v>
      </c>
      <c r="N102" s="25" t="s">
        <v>40</v>
      </c>
      <c r="O102" s="26"/>
      <c r="P102" s="14">
        <v>1.0</v>
      </c>
      <c r="Q102" s="14">
        <v>0.0</v>
      </c>
      <c r="R102" s="27">
        <v>0.0</v>
      </c>
      <c r="S102" s="14">
        <v>0.0</v>
      </c>
      <c r="T102" s="28">
        <v>1.0</v>
      </c>
      <c r="U102" s="14">
        <v>0.0</v>
      </c>
      <c r="V102" s="14">
        <v>0.0</v>
      </c>
      <c r="W102" s="14">
        <v>0.0</v>
      </c>
      <c r="X102" s="35" t="s">
        <v>232</v>
      </c>
      <c r="Y102" s="30" t="s">
        <v>32</v>
      </c>
      <c r="Z102" s="35">
        <v>1.785499590301E12</v>
      </c>
      <c r="AA102" s="32" t="s">
        <v>33</v>
      </c>
      <c r="AB102" s="25">
        <v>55.0</v>
      </c>
    </row>
    <row r="103" ht="19.5" hidden="1" customHeight="1">
      <c r="A103" s="14">
        <v>9.0</v>
      </c>
      <c r="B103" s="15">
        <v>45966.0</v>
      </c>
      <c r="C103" s="16" t="s">
        <v>46</v>
      </c>
      <c r="D103" s="17" t="s">
        <v>50</v>
      </c>
      <c r="E103" s="18">
        <v>0.2923611111111111</v>
      </c>
      <c r="F103" s="18">
        <v>0.73125</v>
      </c>
      <c r="G103" s="33">
        <v>76.2</v>
      </c>
      <c r="H103" s="14" t="s">
        <v>94</v>
      </c>
      <c r="I103" s="14" t="s">
        <v>233</v>
      </c>
      <c r="J103" s="21" t="s">
        <v>53</v>
      </c>
      <c r="K103" s="22" t="s">
        <v>75</v>
      </c>
      <c r="L103" s="23" t="s">
        <v>54</v>
      </c>
      <c r="M103" s="24" t="s">
        <v>76</v>
      </c>
      <c r="N103" s="25" t="s">
        <v>234</v>
      </c>
      <c r="O103" s="26"/>
      <c r="P103" s="14">
        <v>0.0</v>
      </c>
      <c r="Q103" s="14">
        <v>0.0</v>
      </c>
      <c r="R103" s="27">
        <v>0.0</v>
      </c>
      <c r="S103" s="14">
        <v>0.0</v>
      </c>
      <c r="T103" s="28">
        <v>0.0</v>
      </c>
      <c r="U103" s="14">
        <v>0.0</v>
      </c>
      <c r="V103" s="14">
        <v>0.0</v>
      </c>
      <c r="W103" s="14">
        <v>0.0</v>
      </c>
      <c r="X103" s="29" t="s">
        <v>44</v>
      </c>
      <c r="Y103" s="30" t="s">
        <v>44</v>
      </c>
      <c r="Z103" s="26" t="s">
        <v>44</v>
      </c>
      <c r="AA103" s="32" t="s">
        <v>45</v>
      </c>
      <c r="AB103" s="25" t="s">
        <v>44</v>
      </c>
    </row>
    <row r="104" ht="19.5" hidden="1" customHeight="1">
      <c r="A104" s="14">
        <v>10.0</v>
      </c>
      <c r="B104" s="15">
        <v>45966.0</v>
      </c>
      <c r="C104" s="16" t="s">
        <v>46</v>
      </c>
      <c r="D104" s="17">
        <v>1.0</v>
      </c>
      <c r="E104" s="18">
        <v>0.5090277777777777</v>
      </c>
      <c r="F104" s="34">
        <v>0.5104166666666666</v>
      </c>
      <c r="G104" s="33">
        <v>0.0</v>
      </c>
      <c r="H104" s="14">
        <v>1104.0</v>
      </c>
      <c r="I104" s="14" t="s">
        <v>143</v>
      </c>
      <c r="J104" s="21" t="s">
        <v>144</v>
      </c>
      <c r="K104" s="22" t="s">
        <v>42</v>
      </c>
      <c r="L104" s="23" t="s">
        <v>54</v>
      </c>
      <c r="M104" s="24" t="s">
        <v>235</v>
      </c>
      <c r="N104" s="25" t="s">
        <v>83</v>
      </c>
      <c r="O104" s="26"/>
      <c r="P104" s="14">
        <v>0.0</v>
      </c>
      <c r="Q104" s="14">
        <v>0.0</v>
      </c>
      <c r="R104" s="27">
        <v>0.0</v>
      </c>
      <c r="S104" s="14">
        <v>0.0</v>
      </c>
      <c r="T104" s="28">
        <v>0.0</v>
      </c>
      <c r="U104" s="14">
        <v>0.0</v>
      </c>
      <c r="V104" s="14">
        <v>0.0</v>
      </c>
      <c r="W104" s="14">
        <v>0.0</v>
      </c>
      <c r="X104" s="29" t="s">
        <v>44</v>
      </c>
      <c r="Y104" s="30" t="s">
        <v>44</v>
      </c>
      <c r="Z104" s="29" t="s">
        <v>44</v>
      </c>
      <c r="AA104" s="32" t="s">
        <v>45</v>
      </c>
      <c r="AB104" s="29" t="s">
        <v>44</v>
      </c>
    </row>
    <row r="105" ht="19.5" hidden="1" customHeight="1">
      <c r="A105" s="14">
        <v>11.0</v>
      </c>
      <c r="B105" s="15">
        <v>45966.0</v>
      </c>
      <c r="C105" s="16" t="s">
        <v>46</v>
      </c>
      <c r="D105" s="17">
        <v>1.0</v>
      </c>
      <c r="E105" s="18">
        <v>0.5090277777777777</v>
      </c>
      <c r="F105" s="34">
        <v>0.5104166666666666</v>
      </c>
      <c r="G105" s="33">
        <v>0.0</v>
      </c>
      <c r="H105" s="14">
        <v>1104.0</v>
      </c>
      <c r="I105" s="14" t="s">
        <v>143</v>
      </c>
      <c r="J105" s="21" t="s">
        <v>144</v>
      </c>
      <c r="K105" s="22" t="s">
        <v>100</v>
      </c>
      <c r="L105" s="23" t="s">
        <v>54</v>
      </c>
      <c r="M105" s="24" t="s">
        <v>235</v>
      </c>
      <c r="N105" s="25" t="s">
        <v>83</v>
      </c>
      <c r="O105" s="26"/>
      <c r="P105" s="14">
        <v>0.0</v>
      </c>
      <c r="Q105" s="14">
        <v>0.0</v>
      </c>
      <c r="R105" s="27">
        <v>0.0</v>
      </c>
      <c r="S105" s="14">
        <v>0.0</v>
      </c>
      <c r="T105" s="28">
        <v>0.0</v>
      </c>
      <c r="U105" s="14">
        <v>0.0</v>
      </c>
      <c r="V105" s="14">
        <v>0.0</v>
      </c>
      <c r="W105" s="14">
        <v>0.0</v>
      </c>
      <c r="X105" s="29" t="s">
        <v>44</v>
      </c>
      <c r="Y105" s="30" t="s">
        <v>44</v>
      </c>
      <c r="Z105" s="29" t="s">
        <v>44</v>
      </c>
      <c r="AA105" s="32" t="s">
        <v>45</v>
      </c>
      <c r="AB105" s="29" t="s">
        <v>44</v>
      </c>
    </row>
    <row r="106" ht="19.5" hidden="1" customHeight="1">
      <c r="A106" s="14">
        <v>12.0</v>
      </c>
      <c r="B106" s="15">
        <v>45966.0</v>
      </c>
      <c r="C106" s="16" t="s">
        <v>34</v>
      </c>
      <c r="D106" s="17">
        <v>1.0</v>
      </c>
      <c r="E106" s="18">
        <v>0.625</v>
      </c>
      <c r="F106" s="19"/>
      <c r="G106" s="33">
        <v>112.4</v>
      </c>
      <c r="H106" s="14" t="s">
        <v>35</v>
      </c>
      <c r="I106" s="14" t="s">
        <v>88</v>
      </c>
      <c r="J106" s="21" t="s">
        <v>87</v>
      </c>
      <c r="K106" s="22" t="s">
        <v>29</v>
      </c>
      <c r="L106" s="23" t="s">
        <v>38</v>
      </c>
      <c r="M106" s="24" t="s">
        <v>108</v>
      </c>
      <c r="N106" s="25" t="s">
        <v>236</v>
      </c>
      <c r="O106" s="26"/>
      <c r="P106" s="14">
        <v>0.0</v>
      </c>
      <c r="Q106" s="14">
        <v>0.0</v>
      </c>
      <c r="R106" s="27">
        <v>1.0</v>
      </c>
      <c r="S106" s="14">
        <v>0.0</v>
      </c>
      <c r="T106" s="28">
        <v>1.0</v>
      </c>
      <c r="U106" s="14">
        <v>0.0</v>
      </c>
      <c r="V106" s="14">
        <v>0.0</v>
      </c>
      <c r="W106" s="14">
        <v>0.0</v>
      </c>
      <c r="X106" s="29" t="s">
        <v>237</v>
      </c>
      <c r="Y106" s="30" t="s">
        <v>32</v>
      </c>
      <c r="Z106" s="26">
        <v>2.740160360101E12</v>
      </c>
      <c r="AA106" s="32" t="s">
        <v>33</v>
      </c>
      <c r="AB106" s="25" t="s">
        <v>44</v>
      </c>
    </row>
    <row r="107" ht="19.5" hidden="1" customHeight="1">
      <c r="A107" s="14"/>
      <c r="B107" s="15">
        <v>45966.0</v>
      </c>
      <c r="C107" s="16"/>
      <c r="D107" s="17"/>
      <c r="E107" s="18"/>
      <c r="F107" s="19"/>
      <c r="G107" s="33"/>
      <c r="H107" s="14"/>
      <c r="I107" s="14"/>
      <c r="J107" s="21"/>
      <c r="K107" s="22" t="s">
        <v>29</v>
      </c>
      <c r="L107" s="23"/>
      <c r="M107" s="24"/>
      <c r="N107" s="25"/>
      <c r="O107" s="26"/>
      <c r="P107" s="14">
        <v>1.0</v>
      </c>
      <c r="Q107" s="14">
        <v>0.0</v>
      </c>
      <c r="R107" s="27">
        <v>0.0</v>
      </c>
      <c r="S107" s="14">
        <v>0.0</v>
      </c>
      <c r="T107" s="28">
        <v>1.0</v>
      </c>
      <c r="U107" s="14">
        <v>0.0</v>
      </c>
      <c r="V107" s="14">
        <v>0.0</v>
      </c>
      <c r="W107" s="14">
        <v>0.0</v>
      </c>
      <c r="X107" s="29" t="s">
        <v>238</v>
      </c>
      <c r="Y107" s="30" t="s">
        <v>32</v>
      </c>
      <c r="Z107" s="26">
        <v>2.489888671907E12</v>
      </c>
      <c r="AA107" s="32" t="s">
        <v>33</v>
      </c>
      <c r="AB107" s="25">
        <v>43.0</v>
      </c>
    </row>
    <row r="108" ht="19.5" hidden="1" customHeight="1">
      <c r="A108" s="14">
        <v>13.0</v>
      </c>
      <c r="B108" s="15">
        <v>45966.0</v>
      </c>
      <c r="C108" s="16" t="s">
        <v>128</v>
      </c>
      <c r="D108" s="17">
        <v>2.0</v>
      </c>
      <c r="E108" s="18">
        <v>0.7034722222222223</v>
      </c>
      <c r="F108" s="19"/>
      <c r="G108" s="33">
        <v>109.0</v>
      </c>
      <c r="H108" s="14" t="s">
        <v>129</v>
      </c>
      <c r="I108" s="14" t="s">
        <v>48</v>
      </c>
      <c r="J108" s="21" t="s">
        <v>74</v>
      </c>
      <c r="K108" s="22" t="s">
        <v>239</v>
      </c>
      <c r="L108" s="23" t="s">
        <v>38</v>
      </c>
      <c r="M108" s="24" t="s">
        <v>39</v>
      </c>
      <c r="N108" s="25" t="s">
        <v>240</v>
      </c>
      <c r="O108" s="26"/>
      <c r="P108" s="14">
        <v>1.0</v>
      </c>
      <c r="Q108" s="14">
        <v>0.0</v>
      </c>
      <c r="R108" s="27">
        <v>0.0</v>
      </c>
      <c r="S108" s="14">
        <v>0.0</v>
      </c>
      <c r="T108" s="28">
        <v>1.0</v>
      </c>
      <c r="U108" s="14">
        <v>0.0</v>
      </c>
      <c r="V108" s="14">
        <v>0.0</v>
      </c>
      <c r="W108" s="14">
        <v>0.0</v>
      </c>
      <c r="X108" s="29" t="s">
        <v>241</v>
      </c>
      <c r="Y108" s="30" t="s">
        <v>61</v>
      </c>
      <c r="Z108" s="26">
        <v>2.441400300101E12</v>
      </c>
      <c r="AA108" s="32" t="s">
        <v>127</v>
      </c>
      <c r="AB108" s="25">
        <v>47.0</v>
      </c>
    </row>
    <row r="109" ht="19.5" hidden="1" customHeight="1">
      <c r="A109" s="14">
        <v>14.0</v>
      </c>
      <c r="B109" s="15">
        <v>45966.0</v>
      </c>
      <c r="C109" s="16" t="s">
        <v>46</v>
      </c>
      <c r="D109" s="17">
        <v>1.0</v>
      </c>
      <c r="E109" s="18">
        <v>0.7284722222222222</v>
      </c>
      <c r="F109" s="34">
        <v>0.7291666666666666</v>
      </c>
      <c r="G109" s="33">
        <v>0.0</v>
      </c>
      <c r="H109" s="14">
        <v>1121.0</v>
      </c>
      <c r="I109" s="14" t="s">
        <v>143</v>
      </c>
      <c r="J109" s="21" t="s">
        <v>74</v>
      </c>
      <c r="K109" s="22" t="s">
        <v>63</v>
      </c>
      <c r="L109" s="23" t="s">
        <v>54</v>
      </c>
      <c r="M109" s="24" t="s">
        <v>235</v>
      </c>
      <c r="N109" s="25" t="s">
        <v>242</v>
      </c>
      <c r="O109" s="26"/>
      <c r="P109" s="14">
        <v>0.0</v>
      </c>
      <c r="Q109" s="14">
        <v>0.0</v>
      </c>
      <c r="R109" s="27">
        <v>0.0</v>
      </c>
      <c r="S109" s="14">
        <v>0.0</v>
      </c>
      <c r="T109" s="28">
        <v>0.0</v>
      </c>
      <c r="U109" s="14">
        <v>0.0</v>
      </c>
      <c r="V109" s="14">
        <v>0.0</v>
      </c>
      <c r="W109" s="14">
        <v>0.0</v>
      </c>
      <c r="X109" s="29" t="s">
        <v>44</v>
      </c>
      <c r="Y109" s="30" t="s">
        <v>44</v>
      </c>
      <c r="Z109" s="26" t="s">
        <v>44</v>
      </c>
      <c r="AA109" s="32" t="s">
        <v>45</v>
      </c>
      <c r="AB109" s="25" t="s">
        <v>44</v>
      </c>
    </row>
    <row r="110" ht="19.5" hidden="1" customHeight="1">
      <c r="A110" s="14">
        <v>15.0</v>
      </c>
      <c r="B110" s="15">
        <v>45966.0</v>
      </c>
      <c r="C110" s="16" t="s">
        <v>46</v>
      </c>
      <c r="D110" s="17">
        <v>1.0</v>
      </c>
      <c r="E110" s="18">
        <v>0.7298611111111111</v>
      </c>
      <c r="F110" s="34">
        <v>0.7305555555555555</v>
      </c>
      <c r="G110" s="33">
        <v>0.0</v>
      </c>
      <c r="H110" s="14">
        <v>1121.0</v>
      </c>
      <c r="I110" s="14" t="s">
        <v>143</v>
      </c>
      <c r="J110" s="21" t="s">
        <v>74</v>
      </c>
      <c r="K110" s="22" t="s">
        <v>63</v>
      </c>
      <c r="L110" s="23" t="s">
        <v>54</v>
      </c>
      <c r="M110" s="24" t="s">
        <v>235</v>
      </c>
      <c r="N110" s="25" t="s">
        <v>242</v>
      </c>
      <c r="O110" s="26"/>
      <c r="P110" s="14">
        <v>0.0</v>
      </c>
      <c r="Q110" s="14">
        <v>0.0</v>
      </c>
      <c r="R110" s="27">
        <v>0.0</v>
      </c>
      <c r="S110" s="14">
        <v>0.0</v>
      </c>
      <c r="T110" s="28">
        <v>0.0</v>
      </c>
      <c r="U110" s="33">
        <v>0.0</v>
      </c>
      <c r="V110" s="14">
        <v>0.0</v>
      </c>
      <c r="W110" s="14">
        <v>0.0</v>
      </c>
      <c r="X110" s="29" t="s">
        <v>44</v>
      </c>
      <c r="Y110" s="30" t="s">
        <v>44</v>
      </c>
      <c r="Z110" s="26" t="s">
        <v>44</v>
      </c>
      <c r="AA110" s="32" t="s">
        <v>45</v>
      </c>
      <c r="AB110" s="25" t="s">
        <v>44</v>
      </c>
    </row>
    <row r="111" ht="19.5" hidden="1" customHeight="1">
      <c r="A111" s="14">
        <v>16.0</v>
      </c>
      <c r="B111" s="15">
        <v>45966.0</v>
      </c>
      <c r="C111" s="16" t="s">
        <v>243</v>
      </c>
      <c r="D111" s="17">
        <v>1.0</v>
      </c>
      <c r="E111" s="18">
        <v>0.7951388888888888</v>
      </c>
      <c r="F111" s="34">
        <v>0.8090277777777778</v>
      </c>
      <c r="G111" s="33">
        <v>249.0</v>
      </c>
      <c r="H111" s="14" t="s">
        <v>244</v>
      </c>
      <c r="I111" s="14" t="s">
        <v>48</v>
      </c>
      <c r="J111" s="21" t="s">
        <v>49</v>
      </c>
      <c r="K111" s="22" t="s">
        <v>29</v>
      </c>
      <c r="L111" s="23" t="s">
        <v>54</v>
      </c>
      <c r="M111" s="24" t="s">
        <v>64</v>
      </c>
      <c r="N111" s="25" t="s">
        <v>245</v>
      </c>
      <c r="O111" s="26"/>
      <c r="P111" s="14">
        <v>2.0</v>
      </c>
      <c r="Q111" s="14">
        <v>0.0</v>
      </c>
      <c r="R111" s="27">
        <v>0.0</v>
      </c>
      <c r="S111" s="14">
        <v>0.0</v>
      </c>
      <c r="T111" s="28">
        <v>2.0</v>
      </c>
      <c r="U111" s="33">
        <v>0.0</v>
      </c>
      <c r="V111" s="14">
        <v>0.0</v>
      </c>
      <c r="W111" s="14">
        <v>0.0</v>
      </c>
      <c r="X111" s="29" t="s">
        <v>246</v>
      </c>
      <c r="Y111" s="30" t="s">
        <v>32</v>
      </c>
      <c r="Z111" s="26">
        <v>2.424246780101E12</v>
      </c>
      <c r="AA111" s="32" t="s">
        <v>33</v>
      </c>
      <c r="AB111" s="25">
        <v>42.0</v>
      </c>
    </row>
    <row r="112" ht="19.5" hidden="1" customHeight="1">
      <c r="A112" s="14">
        <v>17.0</v>
      </c>
      <c r="B112" s="15">
        <v>45966.0</v>
      </c>
      <c r="C112" s="16" t="s">
        <v>46</v>
      </c>
      <c r="D112" s="17">
        <v>1.0</v>
      </c>
      <c r="E112" s="18">
        <v>0.8465277777777778</v>
      </c>
      <c r="F112" s="34">
        <v>0.85</v>
      </c>
      <c r="G112" s="33">
        <v>0.0</v>
      </c>
      <c r="H112" s="14">
        <v>1121.0</v>
      </c>
      <c r="I112" s="14" t="s">
        <v>143</v>
      </c>
      <c r="J112" s="21" t="s">
        <v>144</v>
      </c>
      <c r="K112" s="22" t="s">
        <v>63</v>
      </c>
      <c r="L112" s="23" t="s">
        <v>54</v>
      </c>
      <c r="M112" s="24" t="s">
        <v>235</v>
      </c>
      <c r="N112" s="25" t="s">
        <v>247</v>
      </c>
      <c r="O112" s="26"/>
      <c r="P112" s="14">
        <v>0.0</v>
      </c>
      <c r="Q112" s="14">
        <v>0.0</v>
      </c>
      <c r="R112" s="27">
        <v>0.0</v>
      </c>
      <c r="S112" s="14">
        <v>0.0</v>
      </c>
      <c r="T112" s="28">
        <v>0.0</v>
      </c>
      <c r="U112" s="33">
        <v>0.0</v>
      </c>
      <c r="V112" s="14">
        <v>0.0</v>
      </c>
      <c r="W112" s="14">
        <v>0.0</v>
      </c>
      <c r="X112" s="29" t="s">
        <v>44</v>
      </c>
      <c r="Y112" s="30" t="s">
        <v>44</v>
      </c>
      <c r="Z112" s="26" t="s">
        <v>44</v>
      </c>
      <c r="AA112" s="32" t="s">
        <v>45</v>
      </c>
      <c r="AB112" s="26" t="s">
        <v>44</v>
      </c>
    </row>
    <row r="113" ht="19.5" hidden="1" customHeight="1">
      <c r="A113" s="14"/>
      <c r="B113" s="15">
        <v>45966.0</v>
      </c>
      <c r="C113" s="16"/>
      <c r="D113" s="17"/>
      <c r="E113" s="18"/>
      <c r="F113" s="19"/>
      <c r="G113" s="33"/>
      <c r="H113" s="14"/>
      <c r="I113" s="14"/>
      <c r="J113" s="21"/>
      <c r="K113" s="22" t="s">
        <v>89</v>
      </c>
      <c r="L113" s="23"/>
      <c r="M113" s="24"/>
      <c r="N113" s="25"/>
      <c r="O113" s="26"/>
      <c r="P113" s="14">
        <v>0.0</v>
      </c>
      <c r="Q113" s="14">
        <v>0.0</v>
      </c>
      <c r="R113" s="27">
        <v>1.0</v>
      </c>
      <c r="S113" s="14">
        <v>0.0</v>
      </c>
      <c r="T113" s="14">
        <v>0.0</v>
      </c>
      <c r="U113" s="14">
        <v>0.0</v>
      </c>
      <c r="V113" s="14">
        <v>0.0</v>
      </c>
      <c r="W113" s="14">
        <v>0.0</v>
      </c>
      <c r="X113" s="29" t="s">
        <v>248</v>
      </c>
      <c r="Y113" s="30" t="s">
        <v>115</v>
      </c>
      <c r="Z113" s="26">
        <v>2.337212232004E12</v>
      </c>
      <c r="AA113" s="32" t="s">
        <v>33</v>
      </c>
      <c r="AB113" s="25">
        <v>44.0</v>
      </c>
    </row>
    <row r="114" ht="19.5" hidden="1" customHeight="1">
      <c r="A114" s="14">
        <v>1.0</v>
      </c>
      <c r="B114" s="15">
        <v>45966.0</v>
      </c>
      <c r="C114" s="16" t="s">
        <v>243</v>
      </c>
      <c r="D114" s="17">
        <v>2.0</v>
      </c>
      <c r="E114" s="18">
        <v>0.9541666666666667</v>
      </c>
      <c r="F114" s="34">
        <v>0.020833333333333332</v>
      </c>
      <c r="G114" s="33">
        <v>261.0</v>
      </c>
      <c r="H114" s="14" t="s">
        <v>249</v>
      </c>
      <c r="I114" s="14" t="s">
        <v>48</v>
      </c>
      <c r="J114" s="21" t="s">
        <v>87</v>
      </c>
      <c r="K114" s="22" t="s">
        <v>250</v>
      </c>
      <c r="L114" s="23" t="s">
        <v>38</v>
      </c>
      <c r="M114" s="24" t="s">
        <v>39</v>
      </c>
      <c r="N114" s="25" t="s">
        <v>251</v>
      </c>
      <c r="O114" s="26"/>
      <c r="P114" s="14">
        <v>0.0</v>
      </c>
      <c r="Q114" s="14">
        <v>0.0</v>
      </c>
      <c r="R114" s="27">
        <v>0.0</v>
      </c>
      <c r="S114" s="14">
        <v>0.0</v>
      </c>
      <c r="T114" s="14">
        <v>0.0</v>
      </c>
      <c r="U114" s="14">
        <v>0.0</v>
      </c>
      <c r="V114" s="14">
        <v>0.0</v>
      </c>
      <c r="W114" s="14">
        <v>0.0</v>
      </c>
      <c r="X114" s="29" t="s">
        <v>44</v>
      </c>
      <c r="Y114" s="30" t="s">
        <v>44</v>
      </c>
      <c r="Z114" s="26" t="s">
        <v>44</v>
      </c>
      <c r="AA114" s="32" t="s">
        <v>45</v>
      </c>
      <c r="AB114" s="25" t="s">
        <v>44</v>
      </c>
    </row>
    <row r="115" ht="19.5" hidden="1" customHeight="1">
      <c r="A115" s="14">
        <v>2.0</v>
      </c>
      <c r="B115" s="15">
        <v>45966.0</v>
      </c>
      <c r="C115" s="16" t="s">
        <v>128</v>
      </c>
      <c r="D115" s="17">
        <v>1.0</v>
      </c>
      <c r="E115" s="18">
        <v>0.9770833333333333</v>
      </c>
      <c r="F115" s="34">
        <v>0.10069444444444445</v>
      </c>
      <c r="G115" s="33">
        <v>47.7</v>
      </c>
      <c r="H115" s="14" t="s">
        <v>252</v>
      </c>
      <c r="I115" s="14" t="s">
        <v>48</v>
      </c>
      <c r="J115" s="21" t="s">
        <v>87</v>
      </c>
      <c r="K115" s="22" t="s">
        <v>63</v>
      </c>
      <c r="L115" s="23" t="s">
        <v>38</v>
      </c>
      <c r="M115" s="24" t="s">
        <v>108</v>
      </c>
      <c r="N115" s="25" t="s">
        <v>40</v>
      </c>
      <c r="O115" s="26"/>
      <c r="P115" s="14">
        <v>0.0</v>
      </c>
      <c r="Q115" s="14">
        <v>1.0</v>
      </c>
      <c r="R115" s="27">
        <v>0.0</v>
      </c>
      <c r="S115" s="14">
        <v>0.0</v>
      </c>
      <c r="T115" s="14">
        <v>1.0</v>
      </c>
      <c r="U115" s="14">
        <v>0.0</v>
      </c>
      <c r="V115" s="14">
        <v>0.0</v>
      </c>
      <c r="W115" s="14">
        <v>0.0</v>
      </c>
      <c r="X115" s="29" t="s">
        <v>253</v>
      </c>
      <c r="Y115" s="30" t="s">
        <v>85</v>
      </c>
      <c r="Z115" s="26">
        <v>1.816918400506E12</v>
      </c>
      <c r="AA115" s="32" t="s">
        <v>33</v>
      </c>
      <c r="AB115" s="25">
        <v>60.0</v>
      </c>
    </row>
    <row r="116" ht="19.5" hidden="1" customHeight="1">
      <c r="A116" s="14">
        <v>1.0</v>
      </c>
      <c r="B116" s="15">
        <v>45967.0</v>
      </c>
      <c r="C116" s="16" t="s">
        <v>128</v>
      </c>
      <c r="D116" s="17">
        <v>1.0</v>
      </c>
      <c r="E116" s="18">
        <v>0.2361111111111111</v>
      </c>
      <c r="F116" s="34">
        <v>0.4048611111111111</v>
      </c>
      <c r="G116" s="33">
        <v>108.0</v>
      </c>
      <c r="H116" s="14">
        <v>1133.0</v>
      </c>
      <c r="I116" s="14" t="s">
        <v>48</v>
      </c>
      <c r="J116" s="21" t="s">
        <v>49</v>
      </c>
      <c r="K116" s="22" t="s">
        <v>29</v>
      </c>
      <c r="L116" s="23" t="s">
        <v>54</v>
      </c>
      <c r="M116" s="24" t="s">
        <v>64</v>
      </c>
      <c r="N116" s="25" t="s">
        <v>254</v>
      </c>
      <c r="O116" s="26"/>
      <c r="P116" s="14">
        <v>1.0</v>
      </c>
      <c r="Q116" s="14">
        <v>0.0</v>
      </c>
      <c r="R116" s="27">
        <v>0.0</v>
      </c>
      <c r="S116" s="14">
        <v>0.0</v>
      </c>
      <c r="T116" s="28">
        <v>1.0</v>
      </c>
      <c r="U116" s="33">
        <v>0.0</v>
      </c>
      <c r="V116" s="14">
        <v>0.0</v>
      </c>
      <c r="W116" s="14">
        <v>0.0</v>
      </c>
      <c r="X116" s="29" t="s">
        <v>255</v>
      </c>
      <c r="Y116" s="30" t="s">
        <v>32</v>
      </c>
      <c r="Z116" s="26">
        <v>1.677172190505E12</v>
      </c>
      <c r="AA116" s="32" t="s">
        <v>33</v>
      </c>
      <c r="AB116" s="25">
        <v>45.0</v>
      </c>
    </row>
    <row r="117" ht="19.5" hidden="1" customHeight="1">
      <c r="A117" s="14">
        <v>2.0</v>
      </c>
      <c r="B117" s="15">
        <v>45967.0</v>
      </c>
      <c r="C117" s="16" t="s">
        <v>125</v>
      </c>
      <c r="D117" s="17">
        <v>1.0</v>
      </c>
      <c r="E117" s="18">
        <v>0.24375</v>
      </c>
      <c r="F117" s="34">
        <v>0.2763888888888889</v>
      </c>
      <c r="G117" s="33">
        <v>136.7</v>
      </c>
      <c r="H117" s="14" t="s">
        <v>256</v>
      </c>
      <c r="I117" s="14" t="s">
        <v>36</v>
      </c>
      <c r="J117" s="21" t="s">
        <v>37</v>
      </c>
      <c r="K117" s="22" t="s">
        <v>81</v>
      </c>
      <c r="L117" s="23" t="s">
        <v>54</v>
      </c>
      <c r="M117" s="24" t="s">
        <v>64</v>
      </c>
      <c r="N117" s="25" t="s">
        <v>40</v>
      </c>
      <c r="O117" s="26"/>
      <c r="P117" s="14">
        <v>1.0</v>
      </c>
      <c r="Q117" s="14">
        <v>0.0</v>
      </c>
      <c r="R117" s="27">
        <v>0.0</v>
      </c>
      <c r="S117" s="14">
        <v>0.0</v>
      </c>
      <c r="T117" s="28">
        <v>1.0</v>
      </c>
      <c r="U117" s="33">
        <v>0.0</v>
      </c>
      <c r="V117" s="14">
        <v>0.0</v>
      </c>
      <c r="W117" s="14">
        <v>0.0</v>
      </c>
      <c r="X117" s="29" t="s">
        <v>257</v>
      </c>
      <c r="Y117" s="30" t="s">
        <v>32</v>
      </c>
      <c r="Z117" s="26">
        <v>1.6743539609005E13</v>
      </c>
      <c r="AA117" s="32" t="s">
        <v>33</v>
      </c>
      <c r="AB117" s="25">
        <v>68.0</v>
      </c>
    </row>
    <row r="118" ht="19.5" hidden="1" customHeight="1">
      <c r="A118" s="14">
        <v>3.0</v>
      </c>
      <c r="B118" s="15">
        <v>45967.0</v>
      </c>
      <c r="C118" s="16" t="s">
        <v>46</v>
      </c>
      <c r="D118" s="17">
        <v>1.0</v>
      </c>
      <c r="E118" s="18">
        <v>0.25416666666666665</v>
      </c>
      <c r="F118" s="34">
        <v>0.27847222222222223</v>
      </c>
      <c r="G118" s="33">
        <v>21.0</v>
      </c>
      <c r="H118" s="14" t="s">
        <v>97</v>
      </c>
      <c r="I118" s="14" t="s">
        <v>88</v>
      </c>
      <c r="J118" s="21" t="s">
        <v>49</v>
      </c>
      <c r="K118" s="22" t="s">
        <v>89</v>
      </c>
      <c r="L118" s="23" t="s">
        <v>38</v>
      </c>
      <c r="M118" s="24" t="s">
        <v>113</v>
      </c>
      <c r="N118" s="25" t="s">
        <v>159</v>
      </c>
      <c r="O118" s="26"/>
      <c r="P118" s="14">
        <v>1.0</v>
      </c>
      <c r="Q118" s="14">
        <v>0.0</v>
      </c>
      <c r="R118" s="27">
        <v>0.0</v>
      </c>
      <c r="S118" s="14">
        <v>0.0</v>
      </c>
      <c r="T118" s="28">
        <v>1.0</v>
      </c>
      <c r="U118" s="33">
        <v>0.0</v>
      </c>
      <c r="V118" s="14">
        <v>0.0</v>
      </c>
      <c r="W118" s="14">
        <v>0.0</v>
      </c>
      <c r="X118" s="29" t="s">
        <v>258</v>
      </c>
      <c r="Y118" s="30" t="s">
        <v>259</v>
      </c>
      <c r="Z118" s="26">
        <v>8.801454460101E12</v>
      </c>
      <c r="AA118" s="32" t="s">
        <v>33</v>
      </c>
      <c r="AB118" s="25">
        <v>24.0</v>
      </c>
    </row>
    <row r="119" ht="19.5" hidden="1" customHeight="1">
      <c r="A119" s="14">
        <v>4.0</v>
      </c>
      <c r="B119" s="15">
        <v>45967.0</v>
      </c>
      <c r="C119" s="16" t="s">
        <v>46</v>
      </c>
      <c r="D119" s="17">
        <v>1.0</v>
      </c>
      <c r="E119" s="18">
        <v>0.2722222222222222</v>
      </c>
      <c r="F119" s="34">
        <v>0.3277777777777778</v>
      </c>
      <c r="G119" s="33">
        <v>43.3</v>
      </c>
      <c r="H119" s="14" t="s">
        <v>62</v>
      </c>
      <c r="I119" s="14" t="s">
        <v>48</v>
      </c>
      <c r="J119" s="21" t="s">
        <v>49</v>
      </c>
      <c r="K119" s="22" t="s">
        <v>29</v>
      </c>
      <c r="L119" s="23" t="s">
        <v>54</v>
      </c>
      <c r="M119" s="24" t="s">
        <v>64</v>
      </c>
      <c r="N119" s="25" t="s">
        <v>40</v>
      </c>
      <c r="O119" s="26"/>
      <c r="P119" s="14">
        <v>1.0</v>
      </c>
      <c r="Q119" s="14">
        <v>0.0</v>
      </c>
      <c r="R119" s="27">
        <v>0.0</v>
      </c>
      <c r="S119" s="14">
        <v>0.0</v>
      </c>
      <c r="T119" s="28">
        <v>1.0</v>
      </c>
      <c r="U119" s="33">
        <v>0.0</v>
      </c>
      <c r="V119" s="14">
        <v>0.0</v>
      </c>
      <c r="W119" s="14">
        <v>0.0</v>
      </c>
      <c r="X119" s="29" t="s">
        <v>260</v>
      </c>
      <c r="Y119" s="30" t="s">
        <v>32</v>
      </c>
      <c r="Z119" s="26">
        <v>1.58487001171E12</v>
      </c>
      <c r="AA119" s="32" t="s">
        <v>33</v>
      </c>
      <c r="AB119" s="25">
        <v>47.0</v>
      </c>
    </row>
    <row r="120" ht="19.5" hidden="1" customHeight="1">
      <c r="A120" s="14">
        <v>5.0</v>
      </c>
      <c r="B120" s="15">
        <v>45967.0</v>
      </c>
      <c r="C120" s="16" t="s">
        <v>46</v>
      </c>
      <c r="D120" s="17">
        <v>1.0</v>
      </c>
      <c r="E120" s="18">
        <v>0.27847222222222223</v>
      </c>
      <c r="F120" s="34">
        <v>0.2847222222222222</v>
      </c>
      <c r="G120" s="33">
        <v>36.0</v>
      </c>
      <c r="H120" s="14" t="s">
        <v>58</v>
      </c>
      <c r="I120" s="14" t="s">
        <v>59</v>
      </c>
      <c r="J120" s="21" t="s">
        <v>53</v>
      </c>
      <c r="K120" s="22" t="s">
        <v>100</v>
      </c>
      <c r="L120" s="23" t="s">
        <v>54</v>
      </c>
      <c r="M120" s="24" t="s">
        <v>131</v>
      </c>
      <c r="N120" s="25" t="s">
        <v>159</v>
      </c>
      <c r="O120" s="26"/>
      <c r="P120" s="14">
        <v>1.0</v>
      </c>
      <c r="Q120" s="14">
        <v>0.0</v>
      </c>
      <c r="R120" s="27">
        <v>0.0</v>
      </c>
      <c r="S120" s="14">
        <v>0.0</v>
      </c>
      <c r="T120" s="28">
        <v>1.0</v>
      </c>
      <c r="U120" s="33">
        <v>0.0</v>
      </c>
      <c r="V120" s="14">
        <v>0.0</v>
      </c>
      <c r="W120" s="14">
        <v>1.0</v>
      </c>
      <c r="X120" s="29" t="s">
        <v>261</v>
      </c>
      <c r="Y120" s="30" t="s">
        <v>85</v>
      </c>
      <c r="Z120" s="26">
        <v>1.801606640116E12</v>
      </c>
      <c r="AA120" s="32" t="s">
        <v>33</v>
      </c>
      <c r="AB120" s="25">
        <v>55.0</v>
      </c>
    </row>
    <row r="121" ht="19.5" hidden="1" customHeight="1">
      <c r="A121" s="14">
        <v>6.0</v>
      </c>
      <c r="B121" s="15">
        <v>45967.0</v>
      </c>
      <c r="C121" s="16" t="s">
        <v>262</v>
      </c>
      <c r="D121" s="17">
        <v>1.0</v>
      </c>
      <c r="E121" s="18">
        <v>0.3194444444444444</v>
      </c>
      <c r="F121" s="34">
        <v>0.34375</v>
      </c>
      <c r="G121" s="33">
        <v>184.0</v>
      </c>
      <c r="H121" s="14" t="s">
        <v>263</v>
      </c>
      <c r="I121" s="14" t="s">
        <v>73</v>
      </c>
      <c r="J121" s="21" t="s">
        <v>87</v>
      </c>
      <c r="K121" s="22" t="s">
        <v>109</v>
      </c>
      <c r="L121" s="23" t="s">
        <v>54</v>
      </c>
      <c r="M121" s="24" t="s">
        <v>102</v>
      </c>
      <c r="N121" s="25" t="s">
        <v>159</v>
      </c>
      <c r="O121" s="26"/>
      <c r="P121" s="14">
        <v>20.0</v>
      </c>
      <c r="Q121" s="14">
        <v>0.0</v>
      </c>
      <c r="R121" s="27">
        <v>0.0</v>
      </c>
      <c r="S121" s="14">
        <v>0.0</v>
      </c>
      <c r="T121" s="28">
        <v>20.0</v>
      </c>
      <c r="U121" s="33">
        <v>0.0</v>
      </c>
      <c r="V121" s="14">
        <v>0.0</v>
      </c>
      <c r="W121" s="14">
        <v>0.0</v>
      </c>
      <c r="X121" s="25" t="s">
        <v>264</v>
      </c>
      <c r="Y121" s="30" t="s">
        <v>32</v>
      </c>
      <c r="Z121" s="25">
        <v>2.70599681141E12</v>
      </c>
      <c r="AA121" s="32" t="s">
        <v>33</v>
      </c>
      <c r="AB121" s="25">
        <v>30.0</v>
      </c>
    </row>
    <row r="122" ht="19.5" hidden="1" customHeight="1">
      <c r="A122" s="14">
        <v>7.0</v>
      </c>
      <c r="B122" s="15">
        <v>45967.0</v>
      </c>
      <c r="C122" s="16" t="s">
        <v>46</v>
      </c>
      <c r="D122" s="17">
        <v>1.0</v>
      </c>
      <c r="E122" s="18">
        <v>0.3541666666666667</v>
      </c>
      <c r="F122" s="34">
        <v>0.38819444444444445</v>
      </c>
      <c r="G122" s="20">
        <v>45860.0</v>
      </c>
      <c r="H122" s="14" t="s">
        <v>51</v>
      </c>
      <c r="I122" s="14" t="s">
        <v>52</v>
      </c>
      <c r="J122" s="21" t="s">
        <v>37</v>
      </c>
      <c r="K122" s="22" t="s">
        <v>109</v>
      </c>
      <c r="L122" s="23" t="s">
        <v>54</v>
      </c>
      <c r="M122" s="24" t="s">
        <v>156</v>
      </c>
      <c r="N122" s="25" t="s">
        <v>265</v>
      </c>
      <c r="O122" s="26"/>
      <c r="P122" s="14">
        <v>1.0</v>
      </c>
      <c r="Q122" s="14">
        <v>0.0</v>
      </c>
      <c r="R122" s="27">
        <v>0.0</v>
      </c>
      <c r="S122" s="14">
        <v>0.0</v>
      </c>
      <c r="T122" s="28">
        <v>1.0</v>
      </c>
      <c r="U122" s="33">
        <v>0.0</v>
      </c>
      <c r="V122" s="14">
        <v>0.0</v>
      </c>
      <c r="W122" s="14">
        <v>0.0</v>
      </c>
      <c r="X122" s="29" t="s">
        <v>266</v>
      </c>
      <c r="Y122" s="30" t="s">
        <v>32</v>
      </c>
      <c r="Z122" s="26">
        <v>2.757287220101E12</v>
      </c>
      <c r="AA122" s="32" t="s">
        <v>33</v>
      </c>
      <c r="AB122" s="25">
        <v>60.0</v>
      </c>
    </row>
    <row r="123" ht="19.5" hidden="1" customHeight="1">
      <c r="A123" s="14">
        <v>8.0</v>
      </c>
      <c r="B123" s="15">
        <v>45967.0</v>
      </c>
      <c r="C123" s="16" t="s">
        <v>46</v>
      </c>
      <c r="D123" s="17">
        <v>1.0</v>
      </c>
      <c r="E123" s="18">
        <v>0.35138888888888886</v>
      </c>
      <c r="F123" s="34">
        <v>0.36944444444444446</v>
      </c>
      <c r="G123" s="33">
        <v>46.0</v>
      </c>
      <c r="H123" s="14" t="s">
        <v>58</v>
      </c>
      <c r="I123" s="14" t="s">
        <v>59</v>
      </c>
      <c r="J123" s="21" t="s">
        <v>37</v>
      </c>
      <c r="K123" s="22" t="s">
        <v>267</v>
      </c>
      <c r="L123" s="23" t="s">
        <v>54</v>
      </c>
      <c r="M123" s="24" t="s">
        <v>64</v>
      </c>
      <c r="N123" s="25" t="s">
        <v>40</v>
      </c>
      <c r="O123" s="26"/>
      <c r="P123" s="14">
        <v>1.0</v>
      </c>
      <c r="Q123" s="14">
        <v>0.0</v>
      </c>
      <c r="R123" s="27">
        <v>0.0</v>
      </c>
      <c r="S123" s="14">
        <v>0.0</v>
      </c>
      <c r="T123" s="28">
        <v>1.0</v>
      </c>
      <c r="U123" s="33">
        <v>0.0</v>
      </c>
      <c r="V123" s="14">
        <v>0.0</v>
      </c>
      <c r="W123" s="14">
        <v>0.0</v>
      </c>
      <c r="X123" s="29" t="s">
        <v>268</v>
      </c>
      <c r="Y123" s="30" t="s">
        <v>115</v>
      </c>
      <c r="Z123" s="26">
        <v>3.231740510508E12</v>
      </c>
      <c r="AA123" s="32" t="s">
        <v>33</v>
      </c>
      <c r="AB123" s="25">
        <v>22.0</v>
      </c>
    </row>
    <row r="124" ht="19.5" hidden="1" customHeight="1">
      <c r="A124" s="14"/>
      <c r="B124" s="15">
        <v>45967.0</v>
      </c>
      <c r="C124" s="16"/>
      <c r="D124" s="17"/>
      <c r="E124" s="18"/>
      <c r="F124" s="19"/>
      <c r="G124" s="33"/>
      <c r="H124" s="14"/>
      <c r="I124" s="14"/>
      <c r="J124" s="21"/>
      <c r="K124" s="22" t="s">
        <v>42</v>
      </c>
      <c r="L124" s="23"/>
      <c r="M124" s="24"/>
      <c r="N124" s="25"/>
      <c r="O124" s="26"/>
      <c r="P124" s="14">
        <v>2.0</v>
      </c>
      <c r="Q124" s="14">
        <v>0.0</v>
      </c>
      <c r="R124" s="27">
        <v>0.0</v>
      </c>
      <c r="S124" s="14">
        <v>0.0</v>
      </c>
      <c r="T124" s="28">
        <v>2.0</v>
      </c>
      <c r="U124" s="33">
        <v>0.0</v>
      </c>
      <c r="V124" s="14">
        <v>0.0</v>
      </c>
      <c r="W124" s="14">
        <v>0.0</v>
      </c>
      <c r="X124" s="29" t="s">
        <v>269</v>
      </c>
      <c r="Y124" s="30" t="s">
        <v>32</v>
      </c>
      <c r="Z124" s="40">
        <v>1.984069830105E12</v>
      </c>
      <c r="AA124" s="32" t="s">
        <v>33</v>
      </c>
      <c r="AB124" s="25">
        <v>65.0</v>
      </c>
    </row>
    <row r="125" ht="19.5" hidden="1" customHeight="1">
      <c r="A125" s="14">
        <v>9.0</v>
      </c>
      <c r="B125" s="15">
        <v>45967.0</v>
      </c>
      <c r="C125" s="16" t="s">
        <v>46</v>
      </c>
      <c r="D125" s="17">
        <v>2.0</v>
      </c>
      <c r="E125" s="18">
        <v>0.3770833333333333</v>
      </c>
      <c r="F125" s="34">
        <v>0.43472222222222223</v>
      </c>
      <c r="G125" s="33">
        <v>43.3</v>
      </c>
      <c r="H125" s="14" t="s">
        <v>62</v>
      </c>
      <c r="I125" s="14" t="s">
        <v>48</v>
      </c>
      <c r="J125" s="21" t="s">
        <v>87</v>
      </c>
      <c r="K125" s="22" t="s">
        <v>42</v>
      </c>
      <c r="L125" s="23" t="s">
        <v>38</v>
      </c>
      <c r="M125" s="24" t="s">
        <v>39</v>
      </c>
      <c r="N125" s="25" t="s">
        <v>270</v>
      </c>
      <c r="O125" s="26"/>
      <c r="P125" s="14">
        <v>2.0</v>
      </c>
      <c r="Q125" s="14">
        <v>0.0</v>
      </c>
      <c r="R125" s="27">
        <v>0.0</v>
      </c>
      <c r="S125" s="14">
        <v>0.0</v>
      </c>
      <c r="T125" s="28">
        <v>2.0</v>
      </c>
      <c r="U125" s="33">
        <v>0.0</v>
      </c>
      <c r="V125" s="14">
        <v>0.0</v>
      </c>
      <c r="W125" s="14">
        <v>0.0</v>
      </c>
      <c r="X125" s="40" t="s">
        <v>271</v>
      </c>
      <c r="Y125" s="30" t="s">
        <v>32</v>
      </c>
      <c r="Z125" s="40">
        <v>2.422022172214E12</v>
      </c>
      <c r="AA125" s="32" t="s">
        <v>33</v>
      </c>
      <c r="AB125" s="25">
        <v>50.0</v>
      </c>
    </row>
    <row r="126" ht="19.5" hidden="1" customHeight="1">
      <c r="A126" s="14">
        <v>10.0</v>
      </c>
      <c r="B126" s="15">
        <v>45967.0</v>
      </c>
      <c r="C126" s="16" t="s">
        <v>46</v>
      </c>
      <c r="D126" s="17">
        <v>1.0</v>
      </c>
      <c r="E126" s="18">
        <v>0.39444444444444443</v>
      </c>
      <c r="F126" s="34">
        <v>0.40555555555555556</v>
      </c>
      <c r="G126" s="33">
        <v>59.0</v>
      </c>
      <c r="H126" s="14" t="s">
        <v>99</v>
      </c>
      <c r="I126" s="14" t="s">
        <v>52</v>
      </c>
      <c r="J126" s="21" t="s">
        <v>53</v>
      </c>
      <c r="K126" s="22" t="s">
        <v>109</v>
      </c>
      <c r="L126" s="23" t="s">
        <v>54</v>
      </c>
      <c r="M126" s="24" t="s">
        <v>64</v>
      </c>
      <c r="N126" s="25" t="s">
        <v>169</v>
      </c>
      <c r="O126" s="26"/>
      <c r="P126" s="14">
        <v>1.0</v>
      </c>
      <c r="Q126" s="14">
        <v>0.0</v>
      </c>
      <c r="R126" s="27">
        <v>0.0</v>
      </c>
      <c r="S126" s="14">
        <v>0.0</v>
      </c>
      <c r="T126" s="28">
        <v>1.0</v>
      </c>
      <c r="U126" s="33">
        <v>0.0</v>
      </c>
      <c r="V126" s="14">
        <v>0.0</v>
      </c>
      <c r="W126" s="14">
        <v>0.0</v>
      </c>
      <c r="X126" s="29" t="s">
        <v>272</v>
      </c>
      <c r="Y126" s="30" t="s">
        <v>32</v>
      </c>
      <c r="Z126" s="26">
        <v>3.121373030806E12</v>
      </c>
      <c r="AA126" s="32" t="s">
        <v>33</v>
      </c>
      <c r="AB126" s="25">
        <v>25.0</v>
      </c>
    </row>
    <row r="127" ht="19.5" hidden="1" customHeight="1">
      <c r="A127" s="14">
        <v>11.0</v>
      </c>
      <c r="B127" s="15">
        <v>45967.0</v>
      </c>
      <c r="C127" s="16" t="s">
        <v>128</v>
      </c>
      <c r="D127" s="17">
        <v>1.0</v>
      </c>
      <c r="E127" s="18">
        <v>0.4076388888888889</v>
      </c>
      <c r="F127" s="34">
        <v>0.4361111111111111</v>
      </c>
      <c r="G127" s="33">
        <v>109.0</v>
      </c>
      <c r="H127" s="14">
        <v>1133.0</v>
      </c>
      <c r="I127" s="14" t="s">
        <v>48</v>
      </c>
      <c r="J127" s="21" t="s">
        <v>49</v>
      </c>
      <c r="K127" s="22" t="s">
        <v>29</v>
      </c>
      <c r="L127" s="23" t="s">
        <v>54</v>
      </c>
      <c r="M127" s="24" t="s">
        <v>64</v>
      </c>
      <c r="N127" s="25" t="s">
        <v>159</v>
      </c>
      <c r="O127" s="26"/>
      <c r="P127" s="14">
        <v>1.0</v>
      </c>
      <c r="Q127" s="14">
        <v>0.0</v>
      </c>
      <c r="R127" s="27">
        <v>0.0</v>
      </c>
      <c r="S127" s="14">
        <v>0.0</v>
      </c>
      <c r="T127" s="28">
        <v>1.0</v>
      </c>
      <c r="U127" s="33">
        <v>0.0</v>
      </c>
      <c r="V127" s="14">
        <v>0.0</v>
      </c>
      <c r="W127" s="14">
        <v>0.0</v>
      </c>
      <c r="X127" s="29" t="s">
        <v>273</v>
      </c>
      <c r="Y127" s="30" t="s">
        <v>32</v>
      </c>
      <c r="Z127" s="35">
        <v>2.495668770115E12</v>
      </c>
      <c r="AA127" s="32" t="s">
        <v>33</v>
      </c>
      <c r="AB127" s="25">
        <v>53.0</v>
      </c>
    </row>
    <row r="128" ht="19.5" hidden="1" customHeight="1">
      <c r="A128" s="14">
        <v>12.0</v>
      </c>
      <c r="B128" s="15">
        <v>45967.0</v>
      </c>
      <c r="C128" s="16" t="s">
        <v>46</v>
      </c>
      <c r="D128" s="17">
        <v>1.0</v>
      </c>
      <c r="E128" s="18">
        <v>0.4548611111111111</v>
      </c>
      <c r="F128" s="34">
        <v>0.5006944444444444</v>
      </c>
      <c r="G128" s="33">
        <v>34.0</v>
      </c>
      <c r="H128" s="14" t="s">
        <v>62</v>
      </c>
      <c r="I128" s="14" t="s">
        <v>48</v>
      </c>
      <c r="J128" s="21" t="s">
        <v>49</v>
      </c>
      <c r="K128" s="22" t="s">
        <v>81</v>
      </c>
      <c r="L128" s="23" t="s">
        <v>38</v>
      </c>
      <c r="M128" s="24" t="s">
        <v>108</v>
      </c>
      <c r="N128" s="25" t="s">
        <v>274</v>
      </c>
      <c r="O128" s="26"/>
      <c r="P128" s="14">
        <v>0.0</v>
      </c>
      <c r="Q128" s="14">
        <v>0.0</v>
      </c>
      <c r="R128" s="27">
        <v>0.0</v>
      </c>
      <c r="S128" s="14">
        <v>0.0</v>
      </c>
      <c r="T128" s="28">
        <v>0.0</v>
      </c>
      <c r="U128" s="33">
        <v>0.0</v>
      </c>
      <c r="V128" s="14">
        <v>0.0</v>
      </c>
      <c r="W128" s="14">
        <v>0.0</v>
      </c>
      <c r="X128" s="29" t="s">
        <v>275</v>
      </c>
      <c r="Y128" s="41" t="s">
        <v>32</v>
      </c>
      <c r="Z128" s="29">
        <v>1.817376390208E12</v>
      </c>
      <c r="AA128" s="42" t="s">
        <v>33</v>
      </c>
      <c r="AB128" s="25">
        <v>35.0</v>
      </c>
    </row>
    <row r="129" ht="19.5" hidden="1" customHeight="1">
      <c r="A129" s="14">
        <v>13.0</v>
      </c>
      <c r="B129" s="15">
        <v>45967.0</v>
      </c>
      <c r="C129" s="16" t="s">
        <v>46</v>
      </c>
      <c r="D129" s="17" t="s">
        <v>50</v>
      </c>
      <c r="E129" s="18">
        <v>0.4548611111111111</v>
      </c>
      <c r="F129" s="34">
        <v>0.71875</v>
      </c>
      <c r="G129" s="33">
        <v>25.0</v>
      </c>
      <c r="H129" s="14" t="s">
        <v>58</v>
      </c>
      <c r="I129" s="14" t="s">
        <v>59</v>
      </c>
      <c r="J129" s="21" t="s">
        <v>53</v>
      </c>
      <c r="K129" s="22" t="s">
        <v>75</v>
      </c>
      <c r="L129" s="23" t="s">
        <v>54</v>
      </c>
      <c r="M129" s="24" t="s">
        <v>76</v>
      </c>
      <c r="N129" s="25" t="s">
        <v>276</v>
      </c>
      <c r="O129" s="26"/>
      <c r="P129" s="14"/>
      <c r="Q129" s="14"/>
      <c r="R129" s="27"/>
      <c r="S129" s="14"/>
      <c r="T129" s="28"/>
      <c r="U129" s="19"/>
      <c r="V129" s="14"/>
      <c r="W129" s="14"/>
      <c r="X129" s="29"/>
      <c r="Y129" s="30"/>
      <c r="Z129" s="26"/>
      <c r="AA129" s="32"/>
      <c r="AB129" s="25"/>
    </row>
    <row r="130" ht="19.5" hidden="1" customHeight="1">
      <c r="A130" s="14">
        <v>14.0</v>
      </c>
      <c r="B130" s="15">
        <v>45967.0</v>
      </c>
      <c r="C130" s="16" t="s">
        <v>46</v>
      </c>
      <c r="D130" s="17">
        <v>1.0</v>
      </c>
      <c r="E130" s="18">
        <v>0.4722222222222222</v>
      </c>
      <c r="F130" s="34">
        <v>0.49166666666666664</v>
      </c>
      <c r="G130" s="33">
        <v>24.0</v>
      </c>
      <c r="H130" s="14" t="s">
        <v>97</v>
      </c>
      <c r="I130" s="14" t="s">
        <v>88</v>
      </c>
      <c r="J130" s="21" t="s">
        <v>87</v>
      </c>
      <c r="K130" s="22" t="s">
        <v>42</v>
      </c>
      <c r="L130" s="23" t="s">
        <v>54</v>
      </c>
      <c r="M130" s="24" t="s">
        <v>64</v>
      </c>
      <c r="N130" s="25" t="s">
        <v>277</v>
      </c>
      <c r="O130" s="26"/>
      <c r="P130" s="14">
        <v>1.0</v>
      </c>
      <c r="Q130" s="14">
        <v>0.0</v>
      </c>
      <c r="R130" s="27">
        <v>0.0</v>
      </c>
      <c r="S130" s="14">
        <v>0.0</v>
      </c>
      <c r="T130" s="28">
        <v>1.0</v>
      </c>
      <c r="U130" s="33">
        <v>0.0</v>
      </c>
      <c r="V130" s="14">
        <v>0.0</v>
      </c>
      <c r="W130" s="14">
        <v>0.0</v>
      </c>
      <c r="X130" s="29" t="s">
        <v>278</v>
      </c>
      <c r="Y130" s="30" t="s">
        <v>85</v>
      </c>
      <c r="Z130" s="26">
        <v>2.145817990101E12</v>
      </c>
      <c r="AA130" s="32" t="s">
        <v>33</v>
      </c>
      <c r="AB130" s="25">
        <v>32.0</v>
      </c>
    </row>
    <row r="131" ht="19.5" hidden="1" customHeight="1">
      <c r="A131" s="14"/>
      <c r="B131" s="15">
        <v>45967.0</v>
      </c>
      <c r="C131" s="16"/>
      <c r="D131" s="17"/>
      <c r="E131" s="18"/>
      <c r="F131" s="19"/>
      <c r="G131" s="33"/>
      <c r="H131" s="14"/>
      <c r="I131" s="14"/>
      <c r="J131" s="21"/>
      <c r="K131" s="22" t="s">
        <v>100</v>
      </c>
      <c r="L131" s="23"/>
      <c r="M131" s="24"/>
      <c r="N131" s="25"/>
      <c r="O131" s="26"/>
      <c r="P131" s="14">
        <v>1.0</v>
      </c>
      <c r="Q131" s="14">
        <v>0.0</v>
      </c>
      <c r="R131" s="27">
        <v>0.0</v>
      </c>
      <c r="S131" s="14">
        <v>0.0</v>
      </c>
      <c r="T131" s="28">
        <v>1.0</v>
      </c>
      <c r="U131" s="33">
        <v>0.0</v>
      </c>
      <c r="V131" s="14">
        <v>0.0</v>
      </c>
      <c r="W131" s="14">
        <v>0.0</v>
      </c>
      <c r="X131" s="35" t="s">
        <v>279</v>
      </c>
      <c r="Y131" s="30" t="s">
        <v>61</v>
      </c>
      <c r="Z131" s="35">
        <v>2.195041050103E12</v>
      </c>
      <c r="AA131" s="32" t="s">
        <v>127</v>
      </c>
      <c r="AB131" s="25">
        <v>32.0</v>
      </c>
    </row>
    <row r="132" ht="19.5" hidden="1" customHeight="1">
      <c r="A132" s="14">
        <v>15.0</v>
      </c>
      <c r="B132" s="15">
        <v>45967.0</v>
      </c>
      <c r="C132" s="16" t="s">
        <v>46</v>
      </c>
      <c r="D132" s="17">
        <v>2.0</v>
      </c>
      <c r="E132" s="18">
        <v>0.5895833333333333</v>
      </c>
      <c r="F132" s="34">
        <v>0.6173611111111111</v>
      </c>
      <c r="G132" s="20">
        <v>45803.0</v>
      </c>
      <c r="H132" s="14" t="s">
        <v>51</v>
      </c>
      <c r="I132" s="14" t="s">
        <v>52</v>
      </c>
      <c r="J132" s="21" t="s">
        <v>53</v>
      </c>
      <c r="K132" s="22" t="s">
        <v>81</v>
      </c>
      <c r="L132" s="23" t="s">
        <v>38</v>
      </c>
      <c r="M132" s="24" t="s">
        <v>39</v>
      </c>
      <c r="N132" s="25" t="s">
        <v>280</v>
      </c>
      <c r="O132" s="26"/>
      <c r="P132" s="14">
        <v>3.0</v>
      </c>
      <c r="Q132" s="14">
        <v>0.0</v>
      </c>
      <c r="R132" s="27">
        <v>0.0</v>
      </c>
      <c r="S132" s="14">
        <v>0.0</v>
      </c>
      <c r="T132" s="28">
        <v>3.0</v>
      </c>
      <c r="U132" s="33">
        <v>0.0</v>
      </c>
      <c r="V132" s="14">
        <v>0.0</v>
      </c>
      <c r="W132" s="14">
        <v>0.0</v>
      </c>
      <c r="X132" s="35" t="s">
        <v>281</v>
      </c>
      <c r="Y132" s="30" t="s">
        <v>61</v>
      </c>
      <c r="Z132" s="35">
        <v>2.222540920901E12</v>
      </c>
      <c r="AA132" s="32" t="s">
        <v>33</v>
      </c>
      <c r="AB132" s="25">
        <v>34.0</v>
      </c>
    </row>
    <row r="133" ht="19.5" hidden="1" customHeight="1">
      <c r="A133" s="14">
        <v>16.0</v>
      </c>
      <c r="B133" s="15">
        <v>45967.0</v>
      </c>
      <c r="C133" s="16" t="s">
        <v>34</v>
      </c>
      <c r="D133" s="17">
        <v>1.0</v>
      </c>
      <c r="E133" s="18">
        <v>0.6638888888888889</v>
      </c>
      <c r="F133" s="34">
        <v>0.7027777777777777</v>
      </c>
      <c r="G133" s="33">
        <v>40.0</v>
      </c>
      <c r="H133" s="14" t="s">
        <v>181</v>
      </c>
      <c r="I133" s="14" t="s">
        <v>216</v>
      </c>
      <c r="J133" s="21" t="s">
        <v>49</v>
      </c>
      <c r="K133" s="22" t="s">
        <v>29</v>
      </c>
      <c r="L133" s="23" t="s">
        <v>38</v>
      </c>
      <c r="M133" s="24" t="s">
        <v>82</v>
      </c>
      <c r="N133" s="25" t="s">
        <v>159</v>
      </c>
      <c r="O133" s="26"/>
      <c r="P133" s="14">
        <v>1.0</v>
      </c>
      <c r="Q133" s="14">
        <v>0.0</v>
      </c>
      <c r="R133" s="27">
        <v>0.0</v>
      </c>
      <c r="S133" s="14">
        <v>0.0</v>
      </c>
      <c r="T133" s="28">
        <v>1.0</v>
      </c>
      <c r="U133" s="33">
        <v>0.0</v>
      </c>
      <c r="V133" s="14">
        <v>0.0</v>
      </c>
      <c r="W133" s="14">
        <v>0.0</v>
      </c>
      <c r="X133" s="29" t="s">
        <v>282</v>
      </c>
      <c r="Y133" s="30" t="s">
        <v>32</v>
      </c>
      <c r="Z133" s="26">
        <v>1.766257200501E12</v>
      </c>
      <c r="AA133" s="32" t="s">
        <v>33</v>
      </c>
      <c r="AB133" s="25">
        <v>65.0</v>
      </c>
    </row>
    <row r="134" ht="19.5" hidden="1" customHeight="1">
      <c r="A134" s="14">
        <v>17.0</v>
      </c>
      <c r="B134" s="15">
        <v>45967.0</v>
      </c>
      <c r="C134" s="16" t="s">
        <v>46</v>
      </c>
      <c r="D134" s="17">
        <v>1.0</v>
      </c>
      <c r="E134" s="18">
        <v>0.6347222222222222</v>
      </c>
      <c r="F134" s="34">
        <v>0.6520833333333333</v>
      </c>
      <c r="G134" s="33">
        <v>52.0</v>
      </c>
      <c r="H134" s="14" t="s">
        <v>99</v>
      </c>
      <c r="I134" s="14" t="s">
        <v>52</v>
      </c>
      <c r="J134" s="21" t="s">
        <v>53</v>
      </c>
      <c r="K134" s="22" t="s">
        <v>42</v>
      </c>
      <c r="L134" s="23" t="s">
        <v>54</v>
      </c>
      <c r="M134" s="24" t="s">
        <v>64</v>
      </c>
      <c r="N134" s="25" t="s">
        <v>283</v>
      </c>
      <c r="O134" s="26"/>
      <c r="P134" s="14">
        <v>2.0</v>
      </c>
      <c r="Q134" s="14">
        <v>0.0</v>
      </c>
      <c r="R134" s="27">
        <v>0.0</v>
      </c>
      <c r="S134" s="14">
        <v>0.0</v>
      </c>
      <c r="T134" s="28">
        <v>2.0</v>
      </c>
      <c r="U134" s="33">
        <v>0.0</v>
      </c>
      <c r="V134" s="14">
        <v>0.0</v>
      </c>
      <c r="W134" s="14">
        <v>0.0</v>
      </c>
      <c r="X134" s="29" t="s">
        <v>284</v>
      </c>
      <c r="Y134" s="30" t="s">
        <v>61</v>
      </c>
      <c r="Z134" s="26">
        <v>1.829518550719E12</v>
      </c>
      <c r="AA134" s="32" t="s">
        <v>33</v>
      </c>
      <c r="AB134" s="25">
        <v>36.0</v>
      </c>
    </row>
    <row r="135" ht="19.5" hidden="1" customHeight="1">
      <c r="A135" s="14">
        <v>19.0</v>
      </c>
      <c r="B135" s="15">
        <v>45967.0</v>
      </c>
      <c r="C135" s="16" t="s">
        <v>46</v>
      </c>
      <c r="D135" s="17">
        <v>1.0</v>
      </c>
      <c r="E135" s="18">
        <v>0.6395833333333333</v>
      </c>
      <c r="F135" s="34">
        <v>0.6819444444444445</v>
      </c>
      <c r="G135" s="33">
        <v>23.1</v>
      </c>
      <c r="H135" s="14" t="s">
        <v>51</v>
      </c>
      <c r="I135" s="14" t="s">
        <v>52</v>
      </c>
      <c r="J135" s="21" t="s">
        <v>37</v>
      </c>
      <c r="K135" s="22" t="s">
        <v>100</v>
      </c>
      <c r="L135" s="23" t="s">
        <v>54</v>
      </c>
      <c r="M135" s="24" t="s">
        <v>67</v>
      </c>
      <c r="N135" s="43" t="s">
        <v>40</v>
      </c>
      <c r="O135" s="26"/>
      <c r="P135" s="14">
        <v>1.0</v>
      </c>
      <c r="Q135" s="14">
        <v>0.0</v>
      </c>
      <c r="R135" s="27">
        <v>0.0</v>
      </c>
      <c r="S135" s="14">
        <v>0.0</v>
      </c>
      <c r="T135" s="28">
        <v>1.0</v>
      </c>
      <c r="U135" s="33">
        <v>0.0</v>
      </c>
      <c r="V135" s="14">
        <v>0.0</v>
      </c>
      <c r="W135" s="14">
        <v>0.0</v>
      </c>
      <c r="X135" s="43" t="s">
        <v>285</v>
      </c>
      <c r="Y135" s="30" t="s">
        <v>61</v>
      </c>
      <c r="Z135" s="43">
        <v>4.196360990101E12</v>
      </c>
      <c r="AA135" s="32" t="s">
        <v>33</v>
      </c>
      <c r="AB135" s="25">
        <v>43.0</v>
      </c>
    </row>
    <row r="136" ht="19.5" hidden="1" customHeight="1">
      <c r="A136" s="14"/>
      <c r="B136" s="15">
        <v>45967.0</v>
      </c>
      <c r="C136" s="16"/>
      <c r="D136" s="17"/>
      <c r="E136" s="18"/>
      <c r="F136" s="19"/>
      <c r="G136" s="20"/>
      <c r="H136" s="14"/>
      <c r="I136" s="14"/>
      <c r="J136" s="21"/>
      <c r="K136" s="22" t="s">
        <v>100</v>
      </c>
      <c r="L136" s="23"/>
      <c r="M136" s="24"/>
      <c r="N136" s="25"/>
      <c r="O136" s="26"/>
      <c r="P136" s="14">
        <v>1.0</v>
      </c>
      <c r="Q136" s="14">
        <v>0.0</v>
      </c>
      <c r="R136" s="27">
        <v>0.0</v>
      </c>
      <c r="S136" s="14">
        <v>0.0</v>
      </c>
      <c r="T136" s="28">
        <v>1.0</v>
      </c>
      <c r="U136" s="33">
        <v>0.0</v>
      </c>
      <c r="V136" s="14">
        <v>0.0</v>
      </c>
      <c r="W136" s="14">
        <v>0.0</v>
      </c>
      <c r="X136" s="29" t="s">
        <v>286</v>
      </c>
      <c r="Y136" s="30" t="s">
        <v>61</v>
      </c>
      <c r="Z136" s="26">
        <v>3.356293851901E12</v>
      </c>
      <c r="AA136" s="32" t="s">
        <v>33</v>
      </c>
      <c r="AB136" s="25">
        <v>22.0</v>
      </c>
    </row>
    <row r="137" ht="19.5" hidden="1" customHeight="1">
      <c r="A137" s="14"/>
      <c r="B137" s="15">
        <v>45967.0</v>
      </c>
      <c r="C137" s="16"/>
      <c r="D137" s="17"/>
      <c r="E137" s="18"/>
      <c r="F137" s="19"/>
      <c r="G137" s="20"/>
      <c r="H137" s="14"/>
      <c r="I137" s="14"/>
      <c r="J137" s="21"/>
      <c r="K137" s="22" t="s">
        <v>100</v>
      </c>
      <c r="L137" s="23"/>
      <c r="M137" s="24"/>
      <c r="N137" s="25"/>
      <c r="O137" s="26"/>
      <c r="P137" s="14">
        <v>1.0</v>
      </c>
      <c r="Q137" s="14">
        <v>0.0</v>
      </c>
      <c r="R137" s="27">
        <v>0.0</v>
      </c>
      <c r="S137" s="14">
        <v>0.0</v>
      </c>
      <c r="T137" s="28">
        <v>1.0</v>
      </c>
      <c r="U137" s="33">
        <v>0.0</v>
      </c>
      <c r="V137" s="14">
        <v>0.0</v>
      </c>
      <c r="W137" s="14">
        <v>0.0</v>
      </c>
      <c r="X137" s="29" t="s">
        <v>287</v>
      </c>
      <c r="Y137" s="30" t="s">
        <v>85</v>
      </c>
      <c r="Z137" s="26">
        <v>2.190635401804E12</v>
      </c>
      <c r="AA137" s="32" t="s">
        <v>33</v>
      </c>
      <c r="AB137" s="25">
        <v>60.0</v>
      </c>
    </row>
    <row r="138" ht="19.5" hidden="1" customHeight="1">
      <c r="A138" s="14">
        <v>20.0</v>
      </c>
      <c r="B138" s="15">
        <v>45967.0</v>
      </c>
      <c r="C138" s="16" t="s">
        <v>128</v>
      </c>
      <c r="D138" s="17">
        <v>3.0</v>
      </c>
      <c r="E138" s="18">
        <v>0.6326388888888889</v>
      </c>
      <c r="F138" s="34">
        <v>0.7430555555555556</v>
      </c>
      <c r="G138" s="33">
        <v>121.0</v>
      </c>
      <c r="H138" s="14">
        <v>1133.0</v>
      </c>
      <c r="I138" s="14" t="s">
        <v>48</v>
      </c>
      <c r="J138" s="21" t="s">
        <v>87</v>
      </c>
      <c r="K138" s="22" t="s">
        <v>81</v>
      </c>
      <c r="L138" s="23" t="s">
        <v>38</v>
      </c>
      <c r="M138" s="24" t="s">
        <v>288</v>
      </c>
      <c r="N138" s="25" t="s">
        <v>40</v>
      </c>
      <c r="O138" s="26"/>
      <c r="P138" s="14">
        <v>1.0</v>
      </c>
      <c r="Q138" s="14">
        <v>0.0</v>
      </c>
      <c r="R138" s="27">
        <v>0.0</v>
      </c>
      <c r="S138" s="14">
        <v>0.0</v>
      </c>
      <c r="T138" s="28">
        <v>1.0</v>
      </c>
      <c r="U138" s="33">
        <v>0.0</v>
      </c>
      <c r="V138" s="14">
        <v>0.0</v>
      </c>
      <c r="W138" s="14">
        <v>0.0</v>
      </c>
      <c r="X138" s="29" t="s">
        <v>289</v>
      </c>
      <c r="Y138" s="30" t="s">
        <v>32</v>
      </c>
      <c r="Z138" s="26">
        <v>2.142481861006E12</v>
      </c>
      <c r="AA138" s="32" t="s">
        <v>33</v>
      </c>
      <c r="AB138" s="25">
        <v>33.0</v>
      </c>
    </row>
    <row r="139" ht="19.5" hidden="1" customHeight="1">
      <c r="A139" s="14">
        <v>21.0</v>
      </c>
      <c r="B139" s="15">
        <v>45967.0</v>
      </c>
      <c r="C139" s="16" t="s">
        <v>71</v>
      </c>
      <c r="D139" s="17">
        <v>1.0</v>
      </c>
      <c r="E139" s="18">
        <v>0.6722222222222223</v>
      </c>
      <c r="F139" s="44">
        <v>3.8055555555555554</v>
      </c>
      <c r="G139" s="33">
        <v>185.0</v>
      </c>
      <c r="H139" s="14" t="s">
        <v>72</v>
      </c>
      <c r="I139" s="14" t="s">
        <v>52</v>
      </c>
      <c r="J139" s="21" t="s">
        <v>37</v>
      </c>
      <c r="K139" s="22" t="s">
        <v>29</v>
      </c>
      <c r="L139" s="23" t="s">
        <v>38</v>
      </c>
      <c r="M139" s="24" t="s">
        <v>82</v>
      </c>
      <c r="N139" s="25" t="s">
        <v>40</v>
      </c>
      <c r="O139" s="26"/>
      <c r="P139" s="14">
        <v>1.0</v>
      </c>
      <c r="Q139" s="14">
        <v>0.0</v>
      </c>
      <c r="R139" s="27">
        <v>0.0</v>
      </c>
      <c r="S139" s="14">
        <v>0.0</v>
      </c>
      <c r="T139" s="28">
        <v>1.0</v>
      </c>
      <c r="U139" s="33">
        <v>0.0</v>
      </c>
      <c r="V139" s="14">
        <v>0.0</v>
      </c>
      <c r="W139" s="14">
        <v>0.0</v>
      </c>
      <c r="X139" s="35" t="s">
        <v>290</v>
      </c>
      <c r="Y139" s="30" t="s">
        <v>61</v>
      </c>
      <c r="Z139" s="35">
        <v>2.987368610101E12</v>
      </c>
      <c r="AA139" s="32" t="s">
        <v>33</v>
      </c>
      <c r="AB139" s="25">
        <v>27.0</v>
      </c>
    </row>
    <row r="140" ht="19.5" hidden="1" customHeight="1">
      <c r="A140" s="14">
        <v>22.0</v>
      </c>
      <c r="B140" s="15">
        <v>45967.0</v>
      </c>
      <c r="C140" s="16" t="s">
        <v>34</v>
      </c>
      <c r="D140" s="17">
        <v>1.0</v>
      </c>
      <c r="E140" s="18">
        <v>0.6770833333333334</v>
      </c>
      <c r="F140" s="34">
        <v>0.6916666666666667</v>
      </c>
      <c r="G140" s="33">
        <v>61.0</v>
      </c>
      <c r="H140" s="14">
        <v>1137.0</v>
      </c>
      <c r="I140" s="14" t="s">
        <v>216</v>
      </c>
      <c r="J140" s="21" t="s">
        <v>49</v>
      </c>
      <c r="K140" s="22" t="s">
        <v>81</v>
      </c>
      <c r="L140" s="23" t="s">
        <v>54</v>
      </c>
      <c r="M140" s="24" t="s">
        <v>102</v>
      </c>
      <c r="N140" s="25" t="s">
        <v>40</v>
      </c>
      <c r="O140" s="26"/>
      <c r="P140" s="14">
        <v>1.0</v>
      </c>
      <c r="Q140" s="14">
        <v>0.0</v>
      </c>
      <c r="R140" s="27">
        <v>0.0</v>
      </c>
      <c r="S140" s="14">
        <v>0.0</v>
      </c>
      <c r="T140" s="28">
        <v>1.0</v>
      </c>
      <c r="U140" s="33">
        <v>0.0</v>
      </c>
      <c r="V140" s="14">
        <v>0.0</v>
      </c>
      <c r="W140" s="14">
        <v>0.0</v>
      </c>
      <c r="X140" s="29" t="s">
        <v>44</v>
      </c>
      <c r="Y140" s="29" t="s">
        <v>44</v>
      </c>
      <c r="Z140" s="29" t="s">
        <v>44</v>
      </c>
      <c r="AA140" s="29" t="s">
        <v>44</v>
      </c>
      <c r="AB140" s="29" t="s">
        <v>44</v>
      </c>
    </row>
    <row r="141" ht="19.5" hidden="1" customHeight="1">
      <c r="A141" s="14">
        <v>23.0</v>
      </c>
      <c r="B141" s="15">
        <v>45967.0</v>
      </c>
      <c r="C141" s="16" t="s">
        <v>46</v>
      </c>
      <c r="D141" s="17">
        <v>1.0</v>
      </c>
      <c r="E141" s="18">
        <v>0.6868055555555556</v>
      </c>
      <c r="F141" s="34">
        <v>0.7576388888888889</v>
      </c>
      <c r="G141" s="33">
        <v>61.0</v>
      </c>
      <c r="H141" s="14" t="s">
        <v>99</v>
      </c>
      <c r="I141" s="14" t="s">
        <v>52</v>
      </c>
      <c r="J141" s="21" t="s">
        <v>37</v>
      </c>
      <c r="K141" s="22" t="s">
        <v>91</v>
      </c>
      <c r="L141" s="23" t="s">
        <v>54</v>
      </c>
      <c r="M141" s="24" t="s">
        <v>64</v>
      </c>
      <c r="N141" s="25" t="s">
        <v>40</v>
      </c>
      <c r="O141" s="26"/>
      <c r="P141" s="14">
        <v>20.0</v>
      </c>
      <c r="Q141" s="14">
        <v>0.0</v>
      </c>
      <c r="R141" s="27">
        <v>0.0</v>
      </c>
      <c r="S141" s="14">
        <v>0.0</v>
      </c>
      <c r="T141" s="28">
        <v>20.0</v>
      </c>
      <c r="U141" s="33">
        <v>0.0</v>
      </c>
      <c r="V141" s="14">
        <v>0.0</v>
      </c>
      <c r="W141" s="14">
        <v>0.0</v>
      </c>
      <c r="X141" s="29" t="s">
        <v>44</v>
      </c>
      <c r="Y141" s="29" t="s">
        <v>44</v>
      </c>
      <c r="Z141" s="29" t="s">
        <v>44</v>
      </c>
      <c r="AA141" s="29" t="s">
        <v>44</v>
      </c>
      <c r="AB141" s="29" t="s">
        <v>44</v>
      </c>
    </row>
    <row r="142" ht="19.5" hidden="1" customHeight="1">
      <c r="A142" s="14"/>
      <c r="B142" s="15">
        <v>45967.0</v>
      </c>
      <c r="C142" s="16"/>
      <c r="D142" s="17"/>
      <c r="E142" s="18"/>
      <c r="F142" s="19"/>
      <c r="G142" s="20"/>
      <c r="H142" s="14"/>
      <c r="I142" s="14"/>
      <c r="J142" s="21"/>
      <c r="K142" s="22" t="s">
        <v>42</v>
      </c>
      <c r="L142" s="23"/>
      <c r="M142" s="24"/>
      <c r="N142" s="25"/>
      <c r="O142" s="26"/>
      <c r="P142" s="14">
        <v>2.0</v>
      </c>
      <c r="Q142" s="14">
        <v>0.0</v>
      </c>
      <c r="R142" s="27">
        <v>0.0</v>
      </c>
      <c r="S142" s="14">
        <v>0.0</v>
      </c>
      <c r="T142" s="28">
        <v>2.0</v>
      </c>
      <c r="U142" s="33">
        <v>0.0</v>
      </c>
      <c r="V142" s="14">
        <v>0.0</v>
      </c>
      <c r="W142" s="14">
        <v>0.0</v>
      </c>
      <c r="X142" s="29" t="s">
        <v>291</v>
      </c>
      <c r="Y142" s="30" t="s">
        <v>61</v>
      </c>
      <c r="Z142" s="26">
        <v>2.756559700207E12</v>
      </c>
      <c r="AA142" s="32" t="s">
        <v>33</v>
      </c>
      <c r="AB142" s="25">
        <v>45.0</v>
      </c>
    </row>
    <row r="143" ht="19.5" hidden="1" customHeight="1">
      <c r="A143" s="14">
        <v>24.0</v>
      </c>
      <c r="B143" s="15">
        <v>45967.0</v>
      </c>
      <c r="C143" s="16" t="s">
        <v>128</v>
      </c>
      <c r="D143" s="17">
        <v>2.0</v>
      </c>
      <c r="E143" s="18">
        <v>0.7145833333333333</v>
      </c>
      <c r="F143" s="34">
        <v>0.7472222222222222</v>
      </c>
      <c r="G143" s="33">
        <v>56.0</v>
      </c>
      <c r="H143" s="14" t="s">
        <v>252</v>
      </c>
      <c r="I143" s="14" t="s">
        <v>48</v>
      </c>
      <c r="J143" s="21" t="s">
        <v>87</v>
      </c>
      <c r="K143" s="22" t="s">
        <v>63</v>
      </c>
      <c r="L143" s="23" t="s">
        <v>38</v>
      </c>
      <c r="M143" s="24" t="s">
        <v>39</v>
      </c>
      <c r="N143" s="25" t="s">
        <v>292</v>
      </c>
      <c r="O143" s="26"/>
      <c r="P143" s="14">
        <v>1.0</v>
      </c>
      <c r="Q143" s="14">
        <v>0.0</v>
      </c>
      <c r="R143" s="27">
        <v>0.0</v>
      </c>
      <c r="S143" s="14">
        <v>0.0</v>
      </c>
      <c r="T143" s="28">
        <v>1.0</v>
      </c>
      <c r="U143" s="33">
        <v>0.0</v>
      </c>
      <c r="V143" s="14">
        <v>0.0</v>
      </c>
      <c r="W143" s="14">
        <v>0.0</v>
      </c>
      <c r="X143" s="29" t="s">
        <v>293</v>
      </c>
      <c r="Y143" s="30" t="s">
        <v>85</v>
      </c>
      <c r="Z143" s="26">
        <v>2.047341500601E12</v>
      </c>
      <c r="AA143" s="32" t="s">
        <v>33</v>
      </c>
      <c r="AB143" s="25">
        <v>47.0</v>
      </c>
    </row>
    <row r="144" ht="19.5" hidden="1" customHeight="1">
      <c r="A144" s="14">
        <v>25.0</v>
      </c>
      <c r="B144" s="15">
        <v>45967.0</v>
      </c>
      <c r="C144" s="16" t="s">
        <v>46</v>
      </c>
      <c r="D144" s="17">
        <v>1.0</v>
      </c>
      <c r="E144" s="18">
        <v>0.7166666666666667</v>
      </c>
      <c r="F144" s="34">
        <v>0.7361111111111112</v>
      </c>
      <c r="G144" s="45">
        <v>39100.0</v>
      </c>
      <c r="H144" s="14" t="s">
        <v>51</v>
      </c>
      <c r="I144" s="14" t="s">
        <v>52</v>
      </c>
      <c r="J144" s="21" t="s">
        <v>37</v>
      </c>
      <c r="K144" s="22" t="s">
        <v>42</v>
      </c>
      <c r="L144" s="23" t="s">
        <v>38</v>
      </c>
      <c r="M144" s="24" t="s">
        <v>60</v>
      </c>
      <c r="N144" s="25" t="s">
        <v>283</v>
      </c>
      <c r="O144" s="26"/>
      <c r="P144" s="14">
        <v>5.0</v>
      </c>
      <c r="Q144" s="14">
        <v>0.0</v>
      </c>
      <c r="R144" s="27">
        <v>0.0</v>
      </c>
      <c r="S144" s="14">
        <v>0.0</v>
      </c>
      <c r="T144" s="28">
        <v>5.0</v>
      </c>
      <c r="U144" s="33">
        <v>0.0</v>
      </c>
      <c r="V144" s="14">
        <v>0.0</v>
      </c>
      <c r="W144" s="14">
        <v>0.0</v>
      </c>
      <c r="X144" s="35" t="s">
        <v>290</v>
      </c>
      <c r="Y144" s="30" t="s">
        <v>61</v>
      </c>
      <c r="Z144" s="35">
        <v>2.987368610101E12</v>
      </c>
      <c r="AA144" s="32" t="s">
        <v>33</v>
      </c>
      <c r="AB144" s="25">
        <v>27.0</v>
      </c>
    </row>
    <row r="145" ht="19.5" hidden="1" customHeight="1">
      <c r="A145" s="14">
        <v>26.0</v>
      </c>
      <c r="B145" s="15">
        <v>45967.0</v>
      </c>
      <c r="C145" s="16" t="s">
        <v>46</v>
      </c>
      <c r="D145" s="17">
        <v>1.0</v>
      </c>
      <c r="E145" s="18">
        <v>0.7180555555555556</v>
      </c>
      <c r="F145" s="34">
        <v>0.7298611111111111</v>
      </c>
      <c r="G145" s="33">
        <v>29.0</v>
      </c>
      <c r="H145" s="14" t="s">
        <v>97</v>
      </c>
      <c r="I145" s="14" t="s">
        <v>88</v>
      </c>
      <c r="J145" s="21" t="s">
        <v>87</v>
      </c>
      <c r="K145" s="22" t="s">
        <v>29</v>
      </c>
      <c r="L145" s="23" t="s">
        <v>38</v>
      </c>
      <c r="M145" s="24" t="s">
        <v>140</v>
      </c>
      <c r="N145" s="25" t="s">
        <v>283</v>
      </c>
      <c r="O145" s="26"/>
      <c r="P145" s="14">
        <v>1.0</v>
      </c>
      <c r="Q145" s="14">
        <v>0.0</v>
      </c>
      <c r="R145" s="27">
        <v>0.0</v>
      </c>
      <c r="S145" s="14">
        <v>0.0</v>
      </c>
      <c r="T145" s="28">
        <v>1.0</v>
      </c>
      <c r="U145" s="33">
        <v>0.0</v>
      </c>
      <c r="V145" s="14">
        <v>0.0</v>
      </c>
      <c r="W145" s="14">
        <v>0.0</v>
      </c>
      <c r="X145" s="29" t="s">
        <v>44</v>
      </c>
      <c r="Y145" s="30" t="s">
        <v>44</v>
      </c>
      <c r="Z145" s="26" t="s">
        <v>44</v>
      </c>
      <c r="AA145" s="32" t="s">
        <v>45</v>
      </c>
      <c r="AB145" s="25" t="s">
        <v>44</v>
      </c>
    </row>
    <row r="146" ht="19.5" hidden="1" customHeight="1">
      <c r="A146" s="14">
        <v>27.0</v>
      </c>
      <c r="B146" s="15">
        <v>45967.0</v>
      </c>
      <c r="C146" s="16" t="s">
        <v>34</v>
      </c>
      <c r="D146" s="17">
        <v>1.0</v>
      </c>
      <c r="E146" s="18">
        <v>0.7236111111111111</v>
      </c>
      <c r="F146" s="34">
        <v>0.7340277777777777</v>
      </c>
      <c r="G146" s="33">
        <v>61.0</v>
      </c>
      <c r="H146" s="14">
        <v>1137.0</v>
      </c>
      <c r="I146" s="14" t="s">
        <v>88</v>
      </c>
      <c r="J146" s="21" t="s">
        <v>87</v>
      </c>
      <c r="K146" s="22" t="s">
        <v>89</v>
      </c>
      <c r="L146" s="23" t="s">
        <v>54</v>
      </c>
      <c r="M146" s="24" t="s">
        <v>294</v>
      </c>
      <c r="N146" s="25" t="s">
        <v>295</v>
      </c>
      <c r="O146" s="26"/>
      <c r="P146" s="14">
        <v>1.0</v>
      </c>
      <c r="Q146" s="14">
        <v>0.0</v>
      </c>
      <c r="R146" s="27">
        <v>0.0</v>
      </c>
      <c r="S146" s="14">
        <v>0.0</v>
      </c>
      <c r="T146" s="28">
        <v>1.0</v>
      </c>
      <c r="U146" s="33">
        <v>0.0</v>
      </c>
      <c r="V146" s="14">
        <v>0.0</v>
      </c>
      <c r="W146" s="14">
        <v>0.0</v>
      </c>
      <c r="X146" s="35" t="s">
        <v>296</v>
      </c>
      <c r="Y146" s="30" t="s">
        <v>259</v>
      </c>
      <c r="Z146" s="35">
        <v>2.506345970501E12</v>
      </c>
      <c r="AA146" s="32" t="s">
        <v>33</v>
      </c>
      <c r="AB146" s="25">
        <v>27.0</v>
      </c>
    </row>
    <row r="147" ht="19.5" hidden="1" customHeight="1">
      <c r="A147" s="14">
        <v>28.0</v>
      </c>
      <c r="B147" s="15">
        <v>45967.0</v>
      </c>
      <c r="C147" s="16" t="s">
        <v>46</v>
      </c>
      <c r="D147" s="17">
        <v>1.0</v>
      </c>
      <c r="E147" s="18">
        <v>0.7541666666666667</v>
      </c>
      <c r="F147" s="34">
        <v>0.7611111111111111</v>
      </c>
      <c r="G147" s="33">
        <v>0.0</v>
      </c>
      <c r="H147" s="14">
        <v>1104.0</v>
      </c>
      <c r="I147" s="14" t="s">
        <v>143</v>
      </c>
      <c r="J147" s="21" t="s">
        <v>74</v>
      </c>
      <c r="K147" s="22" t="s">
        <v>100</v>
      </c>
      <c r="L147" s="23" t="s">
        <v>54</v>
      </c>
      <c r="M147" s="24" t="s">
        <v>102</v>
      </c>
      <c r="N147" s="25" t="s">
        <v>297</v>
      </c>
      <c r="O147" s="26"/>
      <c r="P147" s="14">
        <v>1.0</v>
      </c>
      <c r="Q147" s="14">
        <v>0.0</v>
      </c>
      <c r="R147" s="27">
        <v>0.0</v>
      </c>
      <c r="S147" s="14">
        <v>0.0</v>
      </c>
      <c r="T147" s="28">
        <v>1.0</v>
      </c>
      <c r="U147" s="33">
        <v>0.0</v>
      </c>
      <c r="V147" s="14">
        <v>0.0</v>
      </c>
      <c r="W147" s="14">
        <v>0.0</v>
      </c>
      <c r="X147" s="29" t="s">
        <v>44</v>
      </c>
      <c r="Y147" s="30" t="s">
        <v>44</v>
      </c>
      <c r="Z147" s="26" t="s">
        <v>44</v>
      </c>
      <c r="AA147" s="32" t="s">
        <v>45</v>
      </c>
      <c r="AB147" s="25" t="s">
        <v>44</v>
      </c>
    </row>
    <row r="148" ht="19.5" hidden="1" customHeight="1">
      <c r="A148" s="14"/>
      <c r="B148" s="15">
        <v>45967.0</v>
      </c>
      <c r="C148" s="16"/>
      <c r="D148" s="17"/>
      <c r="E148" s="18"/>
      <c r="F148" s="19"/>
      <c r="G148" s="20"/>
      <c r="H148" s="14"/>
      <c r="I148" s="14"/>
      <c r="J148" s="21"/>
      <c r="K148" s="22" t="s">
        <v>29</v>
      </c>
      <c r="L148" s="23"/>
      <c r="M148" s="24"/>
      <c r="N148" s="25"/>
      <c r="O148" s="26"/>
      <c r="P148" s="14">
        <v>2.0</v>
      </c>
      <c r="Q148" s="14">
        <v>0.0</v>
      </c>
      <c r="R148" s="27">
        <v>0.0</v>
      </c>
      <c r="S148" s="14">
        <v>0.0</v>
      </c>
      <c r="T148" s="28">
        <v>2.0</v>
      </c>
      <c r="U148" s="33">
        <v>0.0</v>
      </c>
      <c r="V148" s="14">
        <v>0.0</v>
      </c>
      <c r="W148" s="14">
        <v>0.0</v>
      </c>
      <c r="X148" s="46" t="s">
        <v>298</v>
      </c>
      <c r="Y148" s="30" t="s">
        <v>32</v>
      </c>
      <c r="Z148" s="46">
        <v>2.503681021006E12</v>
      </c>
      <c r="AA148" s="32" t="s">
        <v>33</v>
      </c>
      <c r="AB148" s="25">
        <v>51.0</v>
      </c>
    </row>
    <row r="149" ht="22.5" hidden="1" customHeight="1">
      <c r="A149" s="14">
        <v>29.0</v>
      </c>
      <c r="B149" s="15">
        <v>45967.0</v>
      </c>
      <c r="C149" s="16" t="s">
        <v>128</v>
      </c>
      <c r="D149" s="17">
        <v>2.0</v>
      </c>
      <c r="E149" s="18">
        <v>0.7840277777777778</v>
      </c>
      <c r="F149" s="34">
        <v>0.75625</v>
      </c>
      <c r="G149" s="33">
        <v>110.0</v>
      </c>
      <c r="H149" s="14" t="s">
        <v>129</v>
      </c>
      <c r="I149" s="14" t="s">
        <v>299</v>
      </c>
      <c r="J149" s="21" t="s">
        <v>49</v>
      </c>
      <c r="K149" s="22" t="s">
        <v>29</v>
      </c>
      <c r="L149" s="23" t="s">
        <v>38</v>
      </c>
      <c r="M149" s="24" t="s">
        <v>39</v>
      </c>
      <c r="N149" s="25" t="s">
        <v>300</v>
      </c>
      <c r="O149" s="26"/>
      <c r="P149" s="14">
        <v>2.0</v>
      </c>
      <c r="Q149" s="14">
        <v>0.0</v>
      </c>
      <c r="R149" s="27">
        <v>0.0</v>
      </c>
      <c r="S149" s="14">
        <v>0.0</v>
      </c>
      <c r="T149" s="28">
        <v>2.0</v>
      </c>
      <c r="U149" s="33">
        <v>0.0</v>
      </c>
      <c r="V149" s="14">
        <v>0.0</v>
      </c>
      <c r="W149" s="14">
        <v>0.0</v>
      </c>
      <c r="X149" s="46" t="s">
        <v>301</v>
      </c>
      <c r="Y149" s="30" t="s">
        <v>32</v>
      </c>
      <c r="Z149" s="46">
        <v>2.462141630101E12</v>
      </c>
      <c r="AA149" s="32" t="s">
        <v>33</v>
      </c>
      <c r="AB149" s="25">
        <v>58.0</v>
      </c>
    </row>
    <row r="150" ht="19.5" hidden="1" customHeight="1">
      <c r="A150" s="14">
        <v>30.0</v>
      </c>
      <c r="B150" s="15">
        <v>45967.0</v>
      </c>
      <c r="C150" s="16" t="s">
        <v>125</v>
      </c>
      <c r="D150" s="17">
        <v>1.0</v>
      </c>
      <c r="E150" s="18">
        <v>0.8923611111111112</v>
      </c>
      <c r="F150" s="34">
        <v>0.11736111111111111</v>
      </c>
      <c r="G150" s="33">
        <v>98.0</v>
      </c>
      <c r="H150" s="14" t="s">
        <v>126</v>
      </c>
      <c r="I150" s="14" t="s">
        <v>36</v>
      </c>
      <c r="J150" s="21" t="s">
        <v>37</v>
      </c>
      <c r="K150" s="22" t="s">
        <v>29</v>
      </c>
      <c r="L150" s="23" t="s">
        <v>38</v>
      </c>
      <c r="M150" s="24" t="s">
        <v>113</v>
      </c>
      <c r="N150" s="25" t="s">
        <v>56</v>
      </c>
      <c r="O150" s="26" t="s">
        <v>44</v>
      </c>
      <c r="P150" s="14">
        <v>1.0</v>
      </c>
      <c r="Q150" s="14">
        <v>0.0</v>
      </c>
      <c r="R150" s="27">
        <v>0.0</v>
      </c>
      <c r="S150" s="14">
        <v>0.0</v>
      </c>
      <c r="T150" s="28">
        <v>1.0</v>
      </c>
      <c r="U150" s="33">
        <v>0.0</v>
      </c>
      <c r="V150" s="14">
        <v>0.0</v>
      </c>
      <c r="W150" s="14">
        <v>0.0</v>
      </c>
      <c r="X150" s="47" t="s">
        <v>302</v>
      </c>
      <c r="Y150" s="30" t="s">
        <v>32</v>
      </c>
      <c r="Z150" s="29">
        <v>2.442326790101E12</v>
      </c>
      <c r="AA150" s="32" t="s">
        <v>33</v>
      </c>
      <c r="AB150" s="25">
        <v>45.0</v>
      </c>
    </row>
    <row r="151" ht="19.5" hidden="1" customHeight="1">
      <c r="A151" s="14"/>
      <c r="B151" s="15">
        <v>45968.0</v>
      </c>
      <c r="C151" s="16"/>
      <c r="D151" s="17"/>
      <c r="E151" s="18"/>
      <c r="F151" s="19"/>
      <c r="G151" s="20"/>
      <c r="H151" s="14"/>
      <c r="I151" s="14"/>
      <c r="J151" s="21"/>
      <c r="K151" s="22" t="s">
        <v>29</v>
      </c>
      <c r="L151" s="23"/>
      <c r="M151" s="24"/>
      <c r="N151" s="25"/>
      <c r="O151" s="26" t="s">
        <v>44</v>
      </c>
      <c r="P151" s="14">
        <v>0.0</v>
      </c>
      <c r="Q151" s="14">
        <v>1.0</v>
      </c>
      <c r="R151" s="27">
        <v>0.0</v>
      </c>
      <c r="S151" s="14">
        <v>1.0</v>
      </c>
      <c r="T151" s="28">
        <v>0.0</v>
      </c>
      <c r="U151" s="33">
        <v>0.0</v>
      </c>
      <c r="V151" s="14">
        <v>0.0</v>
      </c>
      <c r="W151" s="14">
        <v>0.0</v>
      </c>
      <c r="X151" s="29" t="s">
        <v>303</v>
      </c>
      <c r="Y151" s="30" t="s">
        <v>32</v>
      </c>
      <c r="Z151" s="26">
        <v>3.052192860203E12</v>
      </c>
      <c r="AA151" s="32" t="s">
        <v>33</v>
      </c>
      <c r="AB151" s="25">
        <v>28.0</v>
      </c>
    </row>
    <row r="152" ht="19.5" hidden="1" customHeight="1">
      <c r="A152" s="14">
        <v>1.0</v>
      </c>
      <c r="B152" s="15">
        <v>45968.0</v>
      </c>
      <c r="C152" s="16" t="s">
        <v>46</v>
      </c>
      <c r="D152" s="17">
        <v>2.0</v>
      </c>
      <c r="E152" s="18">
        <v>0.013888888888888888</v>
      </c>
      <c r="F152" s="34">
        <v>0.11736111111111111</v>
      </c>
      <c r="G152" s="33">
        <v>73.0</v>
      </c>
      <c r="H152" s="14" t="s">
        <v>252</v>
      </c>
      <c r="I152" s="14" t="s">
        <v>48</v>
      </c>
      <c r="J152" s="21" t="s">
        <v>49</v>
      </c>
      <c r="K152" s="22" t="s">
        <v>81</v>
      </c>
      <c r="L152" s="23" t="s">
        <v>38</v>
      </c>
      <c r="M152" s="24" t="s">
        <v>39</v>
      </c>
      <c r="N152" s="25" t="s">
        <v>103</v>
      </c>
      <c r="O152" s="26" t="s">
        <v>44</v>
      </c>
      <c r="P152" s="14">
        <v>0.0</v>
      </c>
      <c r="Q152" s="14">
        <v>0.0</v>
      </c>
      <c r="R152" s="27">
        <v>2.0</v>
      </c>
      <c r="S152" s="14">
        <v>0.0</v>
      </c>
      <c r="T152" s="28">
        <v>0.0</v>
      </c>
      <c r="U152" s="33">
        <v>0.0</v>
      </c>
      <c r="V152" s="14">
        <v>0.0</v>
      </c>
      <c r="W152" s="14">
        <v>0.0</v>
      </c>
      <c r="X152" s="29" t="s">
        <v>304</v>
      </c>
      <c r="Y152" s="30" t="s">
        <v>44</v>
      </c>
      <c r="Z152" s="26" t="s">
        <v>44</v>
      </c>
      <c r="AA152" s="32" t="s">
        <v>33</v>
      </c>
      <c r="AB152" s="25">
        <v>22.0</v>
      </c>
    </row>
    <row r="153" ht="19.5" hidden="1" customHeight="1">
      <c r="A153" s="14">
        <v>2.0</v>
      </c>
      <c r="B153" s="15">
        <v>45968.0</v>
      </c>
      <c r="C153" s="16" t="s">
        <v>34</v>
      </c>
      <c r="D153" s="17">
        <v>1.0</v>
      </c>
      <c r="E153" s="18">
        <v>0.2465277777777778</v>
      </c>
      <c r="F153" s="34">
        <v>0.28958333333333336</v>
      </c>
      <c r="G153" s="33">
        <v>43.0</v>
      </c>
      <c r="H153" s="14">
        <v>1137.0</v>
      </c>
      <c r="I153" s="14" t="s">
        <v>216</v>
      </c>
      <c r="J153" s="21" t="s">
        <v>49</v>
      </c>
      <c r="K153" s="22" t="s">
        <v>29</v>
      </c>
      <c r="L153" s="23" t="s">
        <v>38</v>
      </c>
      <c r="M153" s="24" t="s">
        <v>82</v>
      </c>
      <c r="N153" s="25" t="s">
        <v>159</v>
      </c>
      <c r="O153" s="26" t="s">
        <v>44</v>
      </c>
      <c r="P153" s="14">
        <v>1.0</v>
      </c>
      <c r="Q153" s="14">
        <v>0.0</v>
      </c>
      <c r="R153" s="27">
        <v>0.0</v>
      </c>
      <c r="S153" s="14">
        <v>0.0</v>
      </c>
      <c r="T153" s="28">
        <v>1.0</v>
      </c>
      <c r="U153" s="33">
        <v>0.0</v>
      </c>
      <c r="V153" s="14">
        <v>0.0</v>
      </c>
      <c r="W153" s="14">
        <v>0.0</v>
      </c>
      <c r="X153" s="29" t="s">
        <v>305</v>
      </c>
      <c r="Y153" s="30" t="s">
        <v>32</v>
      </c>
      <c r="Z153" s="29">
        <v>2.651738411903E12</v>
      </c>
      <c r="AA153" s="32" t="s">
        <v>33</v>
      </c>
      <c r="AB153" s="29">
        <v>40.0</v>
      </c>
    </row>
    <row r="154" ht="19.5" hidden="1" customHeight="1">
      <c r="A154" s="14">
        <v>3.0</v>
      </c>
      <c r="B154" s="15">
        <v>45968.0</v>
      </c>
      <c r="C154" s="16" t="s">
        <v>46</v>
      </c>
      <c r="D154" s="17">
        <v>1.0</v>
      </c>
      <c r="E154" s="18">
        <v>0.3034722222222222</v>
      </c>
      <c r="F154" s="34">
        <v>0.4618055555555556</v>
      </c>
      <c r="G154" s="33">
        <v>64.0</v>
      </c>
      <c r="H154" s="14" t="s">
        <v>94</v>
      </c>
      <c r="I154" s="14" t="s">
        <v>233</v>
      </c>
      <c r="J154" s="21" t="s">
        <v>53</v>
      </c>
      <c r="K154" s="22" t="s">
        <v>29</v>
      </c>
      <c r="L154" s="23" t="s">
        <v>38</v>
      </c>
      <c r="M154" s="24" t="s">
        <v>82</v>
      </c>
      <c r="N154" s="25" t="s">
        <v>306</v>
      </c>
      <c r="O154" s="26" t="s">
        <v>44</v>
      </c>
      <c r="P154" s="14">
        <v>2.0</v>
      </c>
      <c r="Q154" s="14">
        <v>0.0</v>
      </c>
      <c r="R154" s="27">
        <v>0.0</v>
      </c>
      <c r="S154" s="14">
        <v>0.0</v>
      </c>
      <c r="T154" s="28">
        <v>2.0</v>
      </c>
      <c r="U154" s="33">
        <v>0.0</v>
      </c>
      <c r="V154" s="14">
        <v>0.0</v>
      </c>
      <c r="W154" s="14">
        <v>0.0</v>
      </c>
      <c r="X154" s="29" t="s">
        <v>307</v>
      </c>
      <c r="Y154" s="30" t="s">
        <v>32</v>
      </c>
      <c r="Z154" s="26">
        <v>2.664110880101E12</v>
      </c>
      <c r="AA154" s="32" t="s">
        <v>33</v>
      </c>
      <c r="AB154" s="25">
        <v>55.0</v>
      </c>
    </row>
    <row r="155" ht="19.5" hidden="1" customHeight="1">
      <c r="A155" s="14"/>
      <c r="B155" s="15">
        <v>45968.0</v>
      </c>
      <c r="C155" s="16"/>
      <c r="D155" s="17"/>
      <c r="E155" s="18"/>
      <c r="F155" s="19"/>
      <c r="G155" s="20"/>
      <c r="H155" s="14"/>
      <c r="I155" s="14"/>
      <c r="J155" s="21"/>
      <c r="K155" s="22" t="s">
        <v>29</v>
      </c>
      <c r="L155" s="23"/>
      <c r="M155" s="24"/>
      <c r="N155" s="25"/>
      <c r="O155" s="26" t="s">
        <v>44</v>
      </c>
      <c r="P155" s="14">
        <v>1.0</v>
      </c>
      <c r="Q155" s="14">
        <v>0.0</v>
      </c>
      <c r="R155" s="27">
        <v>0.0</v>
      </c>
      <c r="S155" s="14">
        <v>0.0</v>
      </c>
      <c r="T155" s="28">
        <v>1.0</v>
      </c>
      <c r="U155" s="33">
        <v>0.0</v>
      </c>
      <c r="V155" s="14">
        <v>0.0</v>
      </c>
      <c r="W155" s="14">
        <v>0.0</v>
      </c>
      <c r="X155" s="29" t="s">
        <v>308</v>
      </c>
      <c r="Y155" s="30" t="s">
        <v>32</v>
      </c>
      <c r="Z155" s="26">
        <v>2.44223332201103E14</v>
      </c>
      <c r="AA155" s="32" t="s">
        <v>33</v>
      </c>
      <c r="AB155" s="25">
        <v>47.0</v>
      </c>
    </row>
    <row r="156" ht="19.5" hidden="1" customHeight="1">
      <c r="A156" s="14">
        <v>4.0</v>
      </c>
      <c r="B156" s="15">
        <v>45968.0</v>
      </c>
      <c r="C156" s="16" t="s">
        <v>128</v>
      </c>
      <c r="D156" s="17">
        <v>2.0</v>
      </c>
      <c r="E156" s="18">
        <v>0.3020833333333333</v>
      </c>
      <c r="F156" s="34">
        <v>0.5798611111111112</v>
      </c>
      <c r="G156" s="33">
        <v>60.0</v>
      </c>
      <c r="H156" s="14" t="s">
        <v>252</v>
      </c>
      <c r="I156" s="14" t="s">
        <v>48</v>
      </c>
      <c r="J156" s="21" t="s">
        <v>49</v>
      </c>
      <c r="K156" s="22" t="s">
        <v>81</v>
      </c>
      <c r="L156" s="23" t="s">
        <v>38</v>
      </c>
      <c r="M156" s="24" t="s">
        <v>39</v>
      </c>
      <c r="N156" s="25" t="s">
        <v>245</v>
      </c>
      <c r="O156" s="26" t="s">
        <v>44</v>
      </c>
      <c r="P156" s="14">
        <v>0.0</v>
      </c>
      <c r="Q156" s="14">
        <v>2.0</v>
      </c>
      <c r="R156" s="27">
        <v>0.0</v>
      </c>
      <c r="S156" s="14">
        <v>0.0</v>
      </c>
      <c r="T156" s="28">
        <v>2.0</v>
      </c>
      <c r="U156" s="48">
        <v>0.0</v>
      </c>
      <c r="V156" s="14">
        <v>0.0</v>
      </c>
      <c r="W156" s="14">
        <v>0.0</v>
      </c>
      <c r="X156" s="29" t="s">
        <v>309</v>
      </c>
      <c r="Y156" s="30" t="s">
        <v>32</v>
      </c>
      <c r="Z156" s="26">
        <v>2.249007142105E12</v>
      </c>
      <c r="AA156" s="32" t="s">
        <v>33</v>
      </c>
      <c r="AB156" s="25">
        <v>47.0</v>
      </c>
    </row>
    <row r="157" ht="19.5" hidden="1" customHeight="1">
      <c r="A157" s="14"/>
      <c r="B157" s="15">
        <v>45968.0</v>
      </c>
      <c r="C157" s="16"/>
      <c r="D157" s="17"/>
      <c r="E157" s="18"/>
      <c r="F157" s="19"/>
      <c r="G157" s="20"/>
      <c r="H157" s="14"/>
      <c r="I157" s="14"/>
      <c r="J157" s="21"/>
      <c r="K157" s="22" t="s">
        <v>89</v>
      </c>
      <c r="L157" s="23"/>
      <c r="M157" s="24"/>
      <c r="N157" s="25"/>
      <c r="O157" s="26" t="s">
        <v>44</v>
      </c>
      <c r="P157" s="14"/>
      <c r="Q157" s="14"/>
      <c r="R157" s="27"/>
      <c r="S157" s="14"/>
      <c r="T157" s="28"/>
      <c r="U157" s="19"/>
      <c r="V157" s="14"/>
      <c r="W157" s="14"/>
      <c r="X157" s="29" t="s">
        <v>310</v>
      </c>
      <c r="Y157" s="30" t="s">
        <v>61</v>
      </c>
      <c r="Z157" s="26">
        <v>3.142773740501E12</v>
      </c>
      <c r="AA157" s="32" t="s">
        <v>33</v>
      </c>
      <c r="AB157" s="25">
        <v>29.0</v>
      </c>
    </row>
    <row r="158" ht="19.5" hidden="1" customHeight="1">
      <c r="A158" s="14">
        <v>5.0</v>
      </c>
      <c r="B158" s="15">
        <v>45968.0</v>
      </c>
      <c r="C158" s="16" t="s">
        <v>46</v>
      </c>
      <c r="D158" s="17">
        <v>1.0</v>
      </c>
      <c r="E158" s="18">
        <v>0.3236111111111111</v>
      </c>
      <c r="F158" s="34">
        <v>0.3909722222222222</v>
      </c>
      <c r="G158" s="33">
        <v>26.5</v>
      </c>
      <c r="H158" s="14">
        <v>1131.0</v>
      </c>
      <c r="I158" s="14" t="s">
        <v>88</v>
      </c>
      <c r="J158" s="21" t="s">
        <v>87</v>
      </c>
      <c r="K158" s="22" t="s">
        <v>63</v>
      </c>
      <c r="L158" s="23" t="s">
        <v>38</v>
      </c>
      <c r="M158" s="24" t="s">
        <v>39</v>
      </c>
      <c r="N158" s="25" t="s">
        <v>40</v>
      </c>
      <c r="O158" s="26" t="s">
        <v>44</v>
      </c>
      <c r="P158" s="14">
        <v>0.0</v>
      </c>
      <c r="Q158" s="14">
        <v>0.0</v>
      </c>
      <c r="R158" s="27">
        <v>1.0</v>
      </c>
      <c r="S158" s="14">
        <v>0.0</v>
      </c>
      <c r="T158" s="28">
        <v>1.0</v>
      </c>
      <c r="U158" s="33">
        <v>0.0</v>
      </c>
      <c r="V158" s="14">
        <v>0.0</v>
      </c>
      <c r="W158" s="14">
        <v>0.0</v>
      </c>
      <c r="X158" s="29" t="s">
        <v>311</v>
      </c>
      <c r="Y158" s="30" t="s">
        <v>115</v>
      </c>
      <c r="Z158" s="26">
        <v>2.914086801013E12</v>
      </c>
      <c r="AA158" s="32" t="s">
        <v>127</v>
      </c>
      <c r="AB158" s="25">
        <v>30.0</v>
      </c>
    </row>
    <row r="159" ht="19.5" hidden="1" customHeight="1">
      <c r="A159" s="14">
        <v>6.0</v>
      </c>
      <c r="B159" s="15">
        <v>45968.0</v>
      </c>
      <c r="C159" s="16" t="s">
        <v>46</v>
      </c>
      <c r="D159" s="17">
        <v>1.0</v>
      </c>
      <c r="E159" s="18">
        <v>0.3020833333333333</v>
      </c>
      <c r="F159" s="34">
        <v>0.3263888888888889</v>
      </c>
      <c r="G159" s="33">
        <v>0.0</v>
      </c>
      <c r="H159" s="14">
        <v>1121.0</v>
      </c>
      <c r="I159" s="14" t="s">
        <v>143</v>
      </c>
      <c r="J159" s="21" t="s">
        <v>144</v>
      </c>
      <c r="K159" s="22" t="s">
        <v>100</v>
      </c>
      <c r="L159" s="23" t="s">
        <v>54</v>
      </c>
      <c r="M159" s="24" t="s">
        <v>235</v>
      </c>
      <c r="N159" s="25" t="s">
        <v>159</v>
      </c>
      <c r="O159" s="26" t="s">
        <v>44</v>
      </c>
      <c r="P159" s="14">
        <v>1.0</v>
      </c>
      <c r="Q159" s="14">
        <v>0.0</v>
      </c>
      <c r="R159" s="27">
        <v>0.0</v>
      </c>
      <c r="S159" s="14">
        <v>0.0</v>
      </c>
      <c r="T159" s="28">
        <v>1.0</v>
      </c>
      <c r="U159" s="33">
        <v>0.0</v>
      </c>
      <c r="V159" s="14">
        <v>0.0</v>
      </c>
      <c r="W159" s="14">
        <v>0.0</v>
      </c>
      <c r="X159" s="29" t="s">
        <v>44</v>
      </c>
      <c r="Y159" s="30" t="s">
        <v>44</v>
      </c>
      <c r="Z159" s="26" t="s">
        <v>44</v>
      </c>
      <c r="AA159" s="32" t="s">
        <v>45</v>
      </c>
      <c r="AB159" s="25" t="s">
        <v>44</v>
      </c>
    </row>
    <row r="160" ht="19.5" hidden="1" customHeight="1">
      <c r="A160" s="14">
        <v>7.0</v>
      </c>
      <c r="B160" s="15">
        <v>45968.0</v>
      </c>
      <c r="C160" s="16" t="s">
        <v>46</v>
      </c>
      <c r="D160" s="17">
        <v>1.0</v>
      </c>
      <c r="E160" s="18">
        <v>0.3020833333333333</v>
      </c>
      <c r="F160" s="34">
        <v>0.3263888888888889</v>
      </c>
      <c r="G160" s="33">
        <v>0.0</v>
      </c>
      <c r="H160" s="14">
        <v>1121.0</v>
      </c>
      <c r="I160" s="14" t="s">
        <v>143</v>
      </c>
      <c r="J160" s="21" t="s">
        <v>144</v>
      </c>
      <c r="K160" s="22" t="s">
        <v>100</v>
      </c>
      <c r="L160" s="23" t="s">
        <v>54</v>
      </c>
      <c r="M160" s="24" t="s">
        <v>235</v>
      </c>
      <c r="N160" s="25" t="s">
        <v>159</v>
      </c>
      <c r="O160" s="26" t="s">
        <v>44</v>
      </c>
      <c r="P160" s="14">
        <v>1.0</v>
      </c>
      <c r="Q160" s="14">
        <v>0.0</v>
      </c>
      <c r="R160" s="27">
        <v>0.0</v>
      </c>
      <c r="S160" s="14">
        <v>0.0</v>
      </c>
      <c r="T160" s="28">
        <v>1.0</v>
      </c>
      <c r="U160" s="33">
        <v>0.0</v>
      </c>
      <c r="V160" s="14">
        <v>0.0</v>
      </c>
      <c r="W160" s="14">
        <v>0.0</v>
      </c>
      <c r="X160" s="29" t="s">
        <v>44</v>
      </c>
      <c r="Y160" s="30" t="s">
        <v>44</v>
      </c>
      <c r="Z160" s="26" t="s">
        <v>44</v>
      </c>
      <c r="AA160" s="32" t="s">
        <v>45</v>
      </c>
      <c r="AB160" s="25" t="s">
        <v>44</v>
      </c>
    </row>
    <row r="161" ht="19.5" hidden="1" customHeight="1">
      <c r="A161" s="14">
        <v>8.0</v>
      </c>
      <c r="B161" s="15">
        <v>45968.0</v>
      </c>
      <c r="C161" s="16" t="s">
        <v>46</v>
      </c>
      <c r="D161" s="17">
        <v>1.0</v>
      </c>
      <c r="E161" s="18">
        <v>0.3020833333333333</v>
      </c>
      <c r="F161" s="34">
        <v>0.3263888888888889</v>
      </c>
      <c r="G161" s="33">
        <v>0.0</v>
      </c>
      <c r="H161" s="14">
        <v>1121.0</v>
      </c>
      <c r="I161" s="14" t="s">
        <v>143</v>
      </c>
      <c r="J161" s="21" t="s">
        <v>144</v>
      </c>
      <c r="K161" s="22" t="s">
        <v>109</v>
      </c>
      <c r="L161" s="23" t="s">
        <v>54</v>
      </c>
      <c r="M161" s="24" t="s">
        <v>235</v>
      </c>
      <c r="N161" s="25" t="s">
        <v>159</v>
      </c>
      <c r="O161" s="26" t="s">
        <v>44</v>
      </c>
      <c r="P161" s="14">
        <v>1.0</v>
      </c>
      <c r="Q161" s="14">
        <v>0.0</v>
      </c>
      <c r="R161" s="27">
        <v>0.0</v>
      </c>
      <c r="S161" s="14">
        <v>0.0</v>
      </c>
      <c r="T161" s="28">
        <v>1.0</v>
      </c>
      <c r="U161" s="33">
        <v>0.0</v>
      </c>
      <c r="V161" s="14">
        <v>0.0</v>
      </c>
      <c r="W161" s="14">
        <v>0.0</v>
      </c>
      <c r="X161" s="29" t="s">
        <v>44</v>
      </c>
      <c r="Y161" s="30" t="s">
        <v>44</v>
      </c>
      <c r="Z161" s="26" t="s">
        <v>44</v>
      </c>
      <c r="AA161" s="32" t="s">
        <v>45</v>
      </c>
      <c r="AB161" s="25" t="s">
        <v>44</v>
      </c>
    </row>
    <row r="162" ht="19.5" hidden="1" customHeight="1">
      <c r="A162" s="14">
        <v>9.0</v>
      </c>
      <c r="B162" s="15">
        <v>45968.0</v>
      </c>
      <c r="C162" s="16" t="s">
        <v>46</v>
      </c>
      <c r="D162" s="17">
        <v>1.0</v>
      </c>
      <c r="E162" s="18">
        <v>0.3020833333333333</v>
      </c>
      <c r="F162" s="34">
        <v>0.3263888888888889</v>
      </c>
      <c r="G162" s="33">
        <v>0.0</v>
      </c>
      <c r="H162" s="14">
        <v>1121.0</v>
      </c>
      <c r="I162" s="14" t="s">
        <v>143</v>
      </c>
      <c r="J162" s="21" t="s">
        <v>144</v>
      </c>
      <c r="K162" s="22" t="s">
        <v>100</v>
      </c>
      <c r="L162" s="23" t="s">
        <v>54</v>
      </c>
      <c r="M162" s="24" t="s">
        <v>235</v>
      </c>
      <c r="N162" s="25" t="s">
        <v>159</v>
      </c>
      <c r="O162" s="26" t="s">
        <v>44</v>
      </c>
      <c r="P162" s="14">
        <v>1.0</v>
      </c>
      <c r="Q162" s="14">
        <v>0.0</v>
      </c>
      <c r="R162" s="27">
        <v>0.0</v>
      </c>
      <c r="S162" s="14">
        <v>0.0</v>
      </c>
      <c r="T162" s="28">
        <v>1.0</v>
      </c>
      <c r="U162" s="33">
        <v>0.0</v>
      </c>
      <c r="V162" s="14">
        <v>0.0</v>
      </c>
      <c r="W162" s="14">
        <v>0.0</v>
      </c>
      <c r="X162" s="29" t="s">
        <v>44</v>
      </c>
      <c r="Y162" s="30" t="s">
        <v>44</v>
      </c>
      <c r="Z162" s="26" t="s">
        <v>44</v>
      </c>
      <c r="AA162" s="32" t="s">
        <v>45</v>
      </c>
      <c r="AB162" s="25" t="s">
        <v>44</v>
      </c>
    </row>
    <row r="163" ht="19.5" hidden="1" customHeight="1">
      <c r="A163" s="14">
        <v>10.0</v>
      </c>
      <c r="B163" s="15">
        <v>45968.0</v>
      </c>
      <c r="C163" s="16" t="s">
        <v>46</v>
      </c>
      <c r="D163" s="17">
        <v>1.0</v>
      </c>
      <c r="E163" s="18">
        <v>0.3020833333333333</v>
      </c>
      <c r="F163" s="34">
        <v>0.3263888888888889</v>
      </c>
      <c r="G163" s="33">
        <v>0.0</v>
      </c>
      <c r="H163" s="14">
        <v>1121.0</v>
      </c>
      <c r="I163" s="14" t="s">
        <v>143</v>
      </c>
      <c r="J163" s="21" t="s">
        <v>144</v>
      </c>
      <c r="K163" s="22" t="s">
        <v>100</v>
      </c>
      <c r="L163" s="23" t="s">
        <v>54</v>
      </c>
      <c r="M163" s="24" t="s">
        <v>235</v>
      </c>
      <c r="N163" s="25" t="s">
        <v>159</v>
      </c>
      <c r="O163" s="26" t="s">
        <v>44</v>
      </c>
      <c r="P163" s="14">
        <v>1.0</v>
      </c>
      <c r="Q163" s="14">
        <v>0.0</v>
      </c>
      <c r="R163" s="27">
        <v>0.0</v>
      </c>
      <c r="S163" s="14">
        <v>0.0</v>
      </c>
      <c r="T163" s="28">
        <v>10.0</v>
      </c>
      <c r="U163" s="33">
        <v>0.0</v>
      </c>
      <c r="V163" s="14">
        <v>0.0</v>
      </c>
      <c r="W163" s="14">
        <v>0.0</v>
      </c>
      <c r="X163" s="29" t="s">
        <v>44</v>
      </c>
      <c r="Y163" s="30" t="s">
        <v>44</v>
      </c>
      <c r="Z163" s="26" t="s">
        <v>44</v>
      </c>
      <c r="AA163" s="32" t="s">
        <v>45</v>
      </c>
      <c r="AB163" s="25" t="s">
        <v>44</v>
      </c>
    </row>
    <row r="164" ht="19.5" hidden="1" customHeight="1">
      <c r="A164" s="14">
        <v>11.0</v>
      </c>
      <c r="B164" s="15">
        <v>45968.0</v>
      </c>
      <c r="C164" s="16" t="s">
        <v>34</v>
      </c>
      <c r="D164" s="17">
        <v>1.0</v>
      </c>
      <c r="E164" s="18">
        <v>0.38819444444444445</v>
      </c>
      <c r="F164" s="34">
        <v>0.3958333333333333</v>
      </c>
      <c r="G164" s="33">
        <v>52.0</v>
      </c>
      <c r="H164" s="14">
        <v>1125.0</v>
      </c>
      <c r="I164" s="14" t="s">
        <v>216</v>
      </c>
      <c r="J164" s="21" t="s">
        <v>49</v>
      </c>
      <c r="K164" s="22" t="s">
        <v>81</v>
      </c>
      <c r="L164" s="23" t="s">
        <v>54</v>
      </c>
      <c r="M164" s="24" t="s">
        <v>64</v>
      </c>
      <c r="N164" s="25" t="s">
        <v>40</v>
      </c>
      <c r="O164" s="26" t="s">
        <v>44</v>
      </c>
      <c r="P164" s="14">
        <v>1.0</v>
      </c>
      <c r="Q164" s="14">
        <v>0.0</v>
      </c>
      <c r="R164" s="27">
        <v>0.0</v>
      </c>
      <c r="S164" s="14">
        <v>0.0</v>
      </c>
      <c r="T164" s="28">
        <v>1.0</v>
      </c>
      <c r="U164" s="33">
        <v>0.0</v>
      </c>
      <c r="V164" s="14">
        <v>0.0</v>
      </c>
      <c r="W164" s="14">
        <v>0.0</v>
      </c>
      <c r="X164" s="29" t="s">
        <v>312</v>
      </c>
      <c r="Y164" s="30" t="s">
        <v>32</v>
      </c>
      <c r="Z164" s="26">
        <v>2.242211830613E12</v>
      </c>
      <c r="AA164" s="32" t="s">
        <v>33</v>
      </c>
      <c r="AB164" s="25">
        <v>49.0</v>
      </c>
    </row>
    <row r="165" ht="19.5" hidden="1" customHeight="1">
      <c r="A165" s="14">
        <v>12.0</v>
      </c>
      <c r="B165" s="15">
        <v>45968.0</v>
      </c>
      <c r="C165" s="16" t="s">
        <v>46</v>
      </c>
      <c r="D165" s="17" t="s">
        <v>50</v>
      </c>
      <c r="E165" s="18">
        <v>0.3993055555555556</v>
      </c>
      <c r="F165" s="34">
        <v>0.5368055555555555</v>
      </c>
      <c r="G165" s="33">
        <v>42.0</v>
      </c>
      <c r="H165" s="14" t="s">
        <v>51</v>
      </c>
      <c r="I165" s="14" t="s">
        <v>59</v>
      </c>
      <c r="J165" s="21" t="s">
        <v>53</v>
      </c>
      <c r="K165" s="22" t="s">
        <v>75</v>
      </c>
      <c r="L165" s="23" t="s">
        <v>54</v>
      </c>
      <c r="M165" s="24" t="s">
        <v>76</v>
      </c>
      <c r="N165" s="25" t="s">
        <v>313</v>
      </c>
      <c r="O165" s="26" t="s">
        <v>44</v>
      </c>
      <c r="P165" s="14">
        <v>0.0</v>
      </c>
      <c r="Q165" s="14">
        <v>0.0</v>
      </c>
      <c r="R165" s="27">
        <v>0.0</v>
      </c>
      <c r="S165" s="14">
        <v>0.0</v>
      </c>
      <c r="T165" s="28">
        <v>0.0</v>
      </c>
      <c r="U165" s="33">
        <v>0.0</v>
      </c>
      <c r="V165" s="14">
        <v>0.0</v>
      </c>
      <c r="W165" s="14">
        <v>0.0</v>
      </c>
      <c r="X165" s="29" t="s">
        <v>44</v>
      </c>
      <c r="Y165" s="30" t="s">
        <v>44</v>
      </c>
      <c r="Z165" s="26" t="s">
        <v>44</v>
      </c>
      <c r="AA165" s="32" t="s">
        <v>45</v>
      </c>
      <c r="AB165" s="25" t="s">
        <v>44</v>
      </c>
    </row>
    <row r="166" ht="19.5" hidden="1" customHeight="1">
      <c r="A166" s="14">
        <v>13.0</v>
      </c>
      <c r="B166" s="15">
        <v>45968.0</v>
      </c>
      <c r="C166" s="16" t="s">
        <v>262</v>
      </c>
      <c r="D166" s="17" t="s">
        <v>50</v>
      </c>
      <c r="E166" s="18">
        <v>0.4097222222222222</v>
      </c>
      <c r="F166" s="34">
        <v>0.6458333333333334</v>
      </c>
      <c r="G166" s="33">
        <v>178.0</v>
      </c>
      <c r="H166" s="14" t="s">
        <v>263</v>
      </c>
      <c r="I166" s="14" t="s">
        <v>36</v>
      </c>
      <c r="J166" s="21" t="s">
        <v>37</v>
      </c>
      <c r="K166" s="22" t="s">
        <v>75</v>
      </c>
      <c r="L166" s="23" t="s">
        <v>54</v>
      </c>
      <c r="M166" s="24" t="s">
        <v>76</v>
      </c>
      <c r="N166" s="25" t="s">
        <v>314</v>
      </c>
      <c r="O166" s="26"/>
      <c r="P166" s="14">
        <v>0.0</v>
      </c>
      <c r="Q166" s="14">
        <v>0.0</v>
      </c>
      <c r="R166" s="27">
        <v>0.0</v>
      </c>
      <c r="S166" s="14">
        <v>0.0</v>
      </c>
      <c r="T166" s="28">
        <v>0.0</v>
      </c>
      <c r="U166" s="33">
        <v>0.0</v>
      </c>
      <c r="V166" s="14">
        <v>0.0</v>
      </c>
      <c r="W166" s="14">
        <v>0.0</v>
      </c>
      <c r="X166" s="29" t="s">
        <v>44</v>
      </c>
      <c r="Y166" s="30" t="s">
        <v>44</v>
      </c>
      <c r="Z166" s="26" t="s">
        <v>44</v>
      </c>
      <c r="AA166" s="32" t="s">
        <v>45</v>
      </c>
      <c r="AB166" s="25" t="s">
        <v>44</v>
      </c>
    </row>
    <row r="167" ht="19.5" hidden="1" customHeight="1">
      <c r="A167" s="14">
        <v>14.0</v>
      </c>
      <c r="B167" s="15">
        <v>45968.0</v>
      </c>
      <c r="C167" s="16" t="s">
        <v>125</v>
      </c>
      <c r="D167" s="17">
        <v>1.0</v>
      </c>
      <c r="E167" s="18">
        <v>0.4465277777777778</v>
      </c>
      <c r="F167" s="34">
        <v>0.4527777777777778</v>
      </c>
      <c r="G167" s="33">
        <v>132.0</v>
      </c>
      <c r="H167" s="14" t="s">
        <v>256</v>
      </c>
      <c r="I167" s="14" t="s">
        <v>36</v>
      </c>
      <c r="J167" s="21" t="s">
        <v>53</v>
      </c>
      <c r="K167" s="22" t="s">
        <v>42</v>
      </c>
      <c r="L167" s="23" t="s">
        <v>54</v>
      </c>
      <c r="M167" s="24" t="s">
        <v>131</v>
      </c>
      <c r="N167" s="25" t="s">
        <v>315</v>
      </c>
      <c r="O167" s="26" t="s">
        <v>44</v>
      </c>
      <c r="P167" s="14">
        <v>1.0</v>
      </c>
      <c r="Q167" s="14">
        <v>0.0</v>
      </c>
      <c r="R167" s="27">
        <v>0.0</v>
      </c>
      <c r="S167" s="14">
        <v>0.0</v>
      </c>
      <c r="T167" s="28">
        <v>1.0</v>
      </c>
      <c r="U167" s="33">
        <v>0.0</v>
      </c>
      <c r="V167" s="14">
        <v>0.0</v>
      </c>
      <c r="W167" s="14">
        <v>0.0</v>
      </c>
      <c r="X167" s="29" t="s">
        <v>316</v>
      </c>
      <c r="Y167" s="30" t="s">
        <v>61</v>
      </c>
      <c r="Z167" s="26"/>
      <c r="AA167" s="32" t="s">
        <v>33</v>
      </c>
      <c r="AB167" s="25">
        <v>34.0</v>
      </c>
    </row>
    <row r="168" ht="19.5" hidden="1" customHeight="1">
      <c r="A168" s="14">
        <v>15.0</v>
      </c>
      <c r="B168" s="15">
        <v>45968.0</v>
      </c>
      <c r="C168" s="16" t="s">
        <v>34</v>
      </c>
      <c r="D168" s="17">
        <v>1.0</v>
      </c>
      <c r="E168" s="18">
        <v>0.5868055555555556</v>
      </c>
      <c r="F168" s="34">
        <v>0.6888888888888889</v>
      </c>
      <c r="G168" s="33">
        <v>43.0</v>
      </c>
      <c r="H168" s="14">
        <v>1131.0</v>
      </c>
      <c r="I168" s="14" t="s">
        <v>216</v>
      </c>
      <c r="J168" s="21" t="s">
        <v>49</v>
      </c>
      <c r="K168" s="22" t="s">
        <v>100</v>
      </c>
      <c r="L168" s="23" t="s">
        <v>54</v>
      </c>
      <c r="M168" s="24" t="s">
        <v>64</v>
      </c>
      <c r="N168" s="25" t="s">
        <v>159</v>
      </c>
      <c r="O168" s="26" t="s">
        <v>44</v>
      </c>
      <c r="P168" s="14">
        <v>1.0</v>
      </c>
      <c r="Q168" s="14">
        <v>0.0</v>
      </c>
      <c r="R168" s="27">
        <v>0.0</v>
      </c>
      <c r="S168" s="14">
        <v>0.0</v>
      </c>
      <c r="T168" s="28">
        <v>1.0</v>
      </c>
      <c r="U168" s="33">
        <v>0.0</v>
      </c>
      <c r="V168" s="14">
        <v>0.0</v>
      </c>
      <c r="W168" s="14">
        <v>0.0</v>
      </c>
      <c r="X168" s="29" t="s">
        <v>317</v>
      </c>
      <c r="Y168" s="30" t="s">
        <v>61</v>
      </c>
      <c r="Z168" s="26">
        <v>2.944521320704E12</v>
      </c>
      <c r="AA168" s="32" t="s">
        <v>33</v>
      </c>
      <c r="AB168" s="25">
        <v>36.0</v>
      </c>
    </row>
    <row r="169" ht="19.5" hidden="1" customHeight="1">
      <c r="A169" s="14"/>
      <c r="B169" s="15">
        <v>45968.0</v>
      </c>
      <c r="C169" s="16"/>
      <c r="D169" s="17"/>
      <c r="E169" s="18"/>
      <c r="F169" s="19"/>
      <c r="G169" s="20"/>
      <c r="H169" s="14"/>
      <c r="I169" s="14"/>
      <c r="J169" s="21"/>
      <c r="K169" s="22" t="s">
        <v>100</v>
      </c>
      <c r="L169" s="23"/>
      <c r="M169" s="24"/>
      <c r="N169" s="25"/>
      <c r="O169" s="26" t="s">
        <v>44</v>
      </c>
      <c r="P169" s="14">
        <v>2.0</v>
      </c>
      <c r="Q169" s="14">
        <v>0.0</v>
      </c>
      <c r="R169" s="27">
        <v>0.0</v>
      </c>
      <c r="S169" s="14">
        <v>0.0</v>
      </c>
      <c r="T169" s="28">
        <v>2.0</v>
      </c>
      <c r="U169" s="33">
        <v>0.0</v>
      </c>
      <c r="V169" s="14">
        <v>0.0</v>
      </c>
      <c r="W169" s="14">
        <v>0.0</v>
      </c>
      <c r="X169" s="29" t="s">
        <v>318</v>
      </c>
      <c r="Y169" s="30" t="s">
        <v>61</v>
      </c>
      <c r="Z169" s="26">
        <v>1.674011291902E12</v>
      </c>
      <c r="AA169" s="32" t="s">
        <v>127</v>
      </c>
      <c r="AB169" s="25">
        <v>36.0</v>
      </c>
    </row>
    <row r="170" ht="19.5" hidden="1" customHeight="1">
      <c r="A170" s="14">
        <v>16.0</v>
      </c>
      <c r="B170" s="15">
        <v>45968.0</v>
      </c>
      <c r="C170" s="16" t="s">
        <v>46</v>
      </c>
      <c r="D170" s="17">
        <v>2.0</v>
      </c>
      <c r="E170" s="18">
        <v>0.5993055555555555</v>
      </c>
      <c r="F170" s="34">
        <v>0.6076388888888888</v>
      </c>
      <c r="G170" s="33">
        <v>23.0</v>
      </c>
      <c r="H170" s="14" t="s">
        <v>139</v>
      </c>
      <c r="I170" s="14" t="s">
        <v>52</v>
      </c>
      <c r="J170" s="21" t="s">
        <v>53</v>
      </c>
      <c r="K170" s="22" t="s">
        <v>100</v>
      </c>
      <c r="L170" s="23" t="s">
        <v>38</v>
      </c>
      <c r="M170" s="24" t="s">
        <v>39</v>
      </c>
      <c r="N170" s="25" t="s">
        <v>319</v>
      </c>
      <c r="O170" s="26" t="s">
        <v>44</v>
      </c>
      <c r="P170" s="14">
        <v>1.0</v>
      </c>
      <c r="Q170" s="14">
        <v>0.0</v>
      </c>
      <c r="R170" s="27">
        <v>0.0</v>
      </c>
      <c r="S170" s="14">
        <v>0.0</v>
      </c>
      <c r="T170" s="28">
        <v>1.0</v>
      </c>
      <c r="U170" s="33">
        <v>0.0</v>
      </c>
      <c r="V170" s="14">
        <v>0.0</v>
      </c>
      <c r="W170" s="14">
        <v>0.0</v>
      </c>
      <c r="X170" s="29" t="s">
        <v>320</v>
      </c>
      <c r="Y170" s="30" t="s">
        <v>61</v>
      </c>
      <c r="Z170" s="26">
        <v>2.882474341416E12</v>
      </c>
      <c r="AA170" s="32" t="s">
        <v>33</v>
      </c>
      <c r="AB170" s="25">
        <v>30.0</v>
      </c>
    </row>
    <row r="171" ht="19.5" hidden="1" customHeight="1">
      <c r="A171" s="14"/>
      <c r="B171" s="15">
        <v>45968.0</v>
      </c>
      <c r="C171" s="16"/>
      <c r="D171" s="17"/>
      <c r="E171" s="18"/>
      <c r="F171" s="19"/>
      <c r="G171" s="20"/>
      <c r="H171" s="14"/>
      <c r="I171" s="14"/>
      <c r="J171" s="21"/>
      <c r="K171" s="22" t="s">
        <v>100</v>
      </c>
      <c r="L171" s="23"/>
      <c r="M171" s="24"/>
      <c r="N171" s="25"/>
      <c r="O171" s="26" t="s">
        <v>44</v>
      </c>
      <c r="P171" s="14">
        <v>1.0</v>
      </c>
      <c r="Q171" s="14">
        <v>0.0</v>
      </c>
      <c r="R171" s="27">
        <v>0.0</v>
      </c>
      <c r="S171" s="14">
        <v>0.0</v>
      </c>
      <c r="T171" s="28">
        <v>1.0</v>
      </c>
      <c r="U171" s="33">
        <v>0.0</v>
      </c>
      <c r="V171" s="14">
        <v>0.0</v>
      </c>
      <c r="W171" s="14">
        <v>0.0</v>
      </c>
      <c r="X171" s="29" t="s">
        <v>44</v>
      </c>
      <c r="Y171" s="30" t="s">
        <v>44</v>
      </c>
      <c r="Z171" s="26" t="s">
        <v>44</v>
      </c>
      <c r="AA171" s="32" t="s">
        <v>45</v>
      </c>
      <c r="AB171" s="25" t="s">
        <v>44</v>
      </c>
    </row>
    <row r="172" ht="19.5" hidden="1" customHeight="1">
      <c r="A172" s="14">
        <v>17.0</v>
      </c>
      <c r="B172" s="15">
        <v>45968.0</v>
      </c>
      <c r="C172" s="16" t="s">
        <v>46</v>
      </c>
      <c r="D172" s="17">
        <v>2.0</v>
      </c>
      <c r="E172" s="18">
        <v>0.5451388888888888</v>
      </c>
      <c r="F172" s="34">
        <v>0.6833333333333333</v>
      </c>
      <c r="G172" s="33">
        <v>56.0</v>
      </c>
      <c r="H172" s="14" t="s">
        <v>94</v>
      </c>
      <c r="I172" s="14" t="s">
        <v>48</v>
      </c>
      <c r="J172" s="21" t="s">
        <v>49</v>
      </c>
      <c r="K172" s="22" t="s">
        <v>42</v>
      </c>
      <c r="L172" s="23" t="s">
        <v>38</v>
      </c>
      <c r="M172" s="24" t="s">
        <v>39</v>
      </c>
      <c r="N172" s="25" t="s">
        <v>321</v>
      </c>
      <c r="O172" s="26" t="s">
        <v>44</v>
      </c>
      <c r="P172" s="14">
        <v>2.0</v>
      </c>
      <c r="Q172" s="14">
        <v>0.0</v>
      </c>
      <c r="R172" s="27">
        <v>0.0</v>
      </c>
      <c r="S172" s="14">
        <v>1.0</v>
      </c>
      <c r="T172" s="28">
        <v>1.0</v>
      </c>
      <c r="U172" s="33">
        <v>0.0</v>
      </c>
      <c r="V172" s="14">
        <v>0.0</v>
      </c>
      <c r="W172" s="14">
        <v>0.0</v>
      </c>
      <c r="X172" s="35" t="s">
        <v>322</v>
      </c>
      <c r="Y172" s="30" t="s">
        <v>85</v>
      </c>
      <c r="Z172" s="35">
        <v>2.627858030207E12</v>
      </c>
      <c r="AA172" s="32" t="s">
        <v>33</v>
      </c>
      <c r="AB172" s="25">
        <v>60.0</v>
      </c>
    </row>
    <row r="173" ht="19.5" hidden="1" customHeight="1">
      <c r="A173" s="14">
        <v>18.0</v>
      </c>
      <c r="B173" s="15">
        <v>45968.0</v>
      </c>
      <c r="C173" s="16" t="s">
        <v>71</v>
      </c>
      <c r="D173" s="17" t="s">
        <v>50</v>
      </c>
      <c r="E173" s="18">
        <v>0.6354166666666666</v>
      </c>
      <c r="F173" s="34">
        <v>0.6826388888888889</v>
      </c>
      <c r="G173" s="33">
        <v>189.5</v>
      </c>
      <c r="H173" s="14">
        <v>1135.0</v>
      </c>
      <c r="I173" s="14" t="s">
        <v>52</v>
      </c>
      <c r="J173" s="21" t="s">
        <v>74</v>
      </c>
      <c r="K173" s="22" t="s">
        <v>75</v>
      </c>
      <c r="L173" s="23" t="s">
        <v>323</v>
      </c>
      <c r="M173" s="24" t="s">
        <v>324</v>
      </c>
      <c r="N173" s="25" t="s">
        <v>325</v>
      </c>
      <c r="O173" s="26" t="s">
        <v>44</v>
      </c>
      <c r="P173" s="14">
        <v>220.0</v>
      </c>
      <c r="Q173" s="14">
        <v>0.0</v>
      </c>
      <c r="R173" s="27">
        <v>0.0</v>
      </c>
      <c r="S173" s="14">
        <v>0.0</v>
      </c>
      <c r="T173" s="28">
        <v>220.0</v>
      </c>
      <c r="U173" s="33">
        <v>0.0</v>
      </c>
      <c r="V173" s="14">
        <v>0.0</v>
      </c>
      <c r="W173" s="14">
        <v>0.0</v>
      </c>
      <c r="X173" s="29" t="s">
        <v>44</v>
      </c>
      <c r="Y173" s="30" t="s">
        <v>44</v>
      </c>
      <c r="Z173" s="26" t="s">
        <v>44</v>
      </c>
      <c r="AA173" s="32" t="s">
        <v>45</v>
      </c>
      <c r="AB173" s="25" t="s">
        <v>44</v>
      </c>
    </row>
    <row r="174" ht="19.5" hidden="1" customHeight="1">
      <c r="A174" s="14"/>
      <c r="B174" s="15">
        <v>45968.0</v>
      </c>
      <c r="C174" s="16"/>
      <c r="D174" s="17"/>
      <c r="E174" s="18"/>
      <c r="F174" s="19"/>
      <c r="G174" s="33"/>
      <c r="H174" s="14"/>
      <c r="I174" s="14"/>
      <c r="J174" s="21"/>
      <c r="K174" s="22" t="s">
        <v>100</v>
      </c>
      <c r="L174" s="23"/>
      <c r="M174" s="24"/>
      <c r="N174" s="25"/>
      <c r="O174" s="26" t="s">
        <v>44</v>
      </c>
      <c r="P174" s="14">
        <v>1.0</v>
      </c>
      <c r="Q174" s="14">
        <v>0.0</v>
      </c>
      <c r="R174" s="27">
        <v>0.0</v>
      </c>
      <c r="S174" s="14">
        <v>0.0</v>
      </c>
      <c r="T174" s="28">
        <v>1.0</v>
      </c>
      <c r="U174" s="33">
        <v>0.0</v>
      </c>
      <c r="V174" s="14">
        <v>0.0</v>
      </c>
      <c r="W174" s="14">
        <v>0.0</v>
      </c>
      <c r="X174" s="29" t="s">
        <v>326</v>
      </c>
      <c r="Y174" s="30" t="s">
        <v>61</v>
      </c>
      <c r="Z174" s="26">
        <v>1.767132390304E12</v>
      </c>
      <c r="AA174" s="32" t="s">
        <v>33</v>
      </c>
      <c r="AB174" s="25">
        <v>47.0</v>
      </c>
    </row>
    <row r="175" ht="19.5" hidden="1" customHeight="1">
      <c r="A175" s="14">
        <v>19.0</v>
      </c>
      <c r="B175" s="15">
        <v>45968.0</v>
      </c>
      <c r="C175" s="16" t="s">
        <v>34</v>
      </c>
      <c r="D175" s="17">
        <v>2.0</v>
      </c>
      <c r="E175" s="18">
        <v>0.65625</v>
      </c>
      <c r="F175" s="34">
        <v>0.8958333333333334</v>
      </c>
      <c r="G175" s="33">
        <v>73.0</v>
      </c>
      <c r="H175" s="14" t="s">
        <v>35</v>
      </c>
      <c r="I175" s="14" t="s">
        <v>88</v>
      </c>
      <c r="J175" s="21" t="s">
        <v>74</v>
      </c>
      <c r="K175" s="22" t="s">
        <v>29</v>
      </c>
      <c r="L175" s="23" t="s">
        <v>38</v>
      </c>
      <c r="M175" s="24" t="s">
        <v>39</v>
      </c>
      <c r="N175" s="25" t="s">
        <v>325</v>
      </c>
      <c r="O175" s="26" t="s">
        <v>44</v>
      </c>
      <c r="P175" s="14">
        <v>1.0</v>
      </c>
      <c r="Q175" s="14">
        <v>0.0</v>
      </c>
      <c r="R175" s="27">
        <v>0.0</v>
      </c>
      <c r="S175" s="14">
        <v>0.0</v>
      </c>
      <c r="T175" s="28">
        <v>1.0</v>
      </c>
      <c r="U175" s="33">
        <v>0.0</v>
      </c>
      <c r="V175" s="14">
        <v>0.0</v>
      </c>
      <c r="W175" s="14">
        <v>0.0</v>
      </c>
      <c r="X175" s="29" t="s">
        <v>327</v>
      </c>
      <c r="Y175" s="30" t="s">
        <v>32</v>
      </c>
      <c r="Z175" s="26">
        <v>2.181378850503E12</v>
      </c>
      <c r="AA175" s="32" t="s">
        <v>33</v>
      </c>
      <c r="AB175" s="25">
        <v>41.0</v>
      </c>
    </row>
    <row r="176" ht="19.5" hidden="1" customHeight="1">
      <c r="A176" s="14"/>
      <c r="B176" s="15">
        <v>45968.0</v>
      </c>
      <c r="C176" s="16"/>
      <c r="D176" s="17"/>
      <c r="E176" s="18"/>
      <c r="F176" s="19"/>
      <c r="G176" s="33"/>
      <c r="H176" s="14"/>
      <c r="I176" s="14"/>
      <c r="J176" s="21"/>
      <c r="K176" s="22" t="s">
        <v>42</v>
      </c>
      <c r="L176" s="23"/>
      <c r="M176" s="24"/>
      <c r="N176" s="25"/>
      <c r="O176" s="26" t="s">
        <v>44</v>
      </c>
      <c r="P176" s="14">
        <v>2.0</v>
      </c>
      <c r="Q176" s="14">
        <v>0.0</v>
      </c>
      <c r="R176" s="27">
        <v>0.0</v>
      </c>
      <c r="S176" s="14">
        <v>0.0</v>
      </c>
      <c r="T176" s="28">
        <v>2.0</v>
      </c>
      <c r="U176" s="33">
        <v>0.0</v>
      </c>
      <c r="V176" s="14">
        <v>0.0</v>
      </c>
      <c r="W176" s="14">
        <v>0.0</v>
      </c>
      <c r="X176" s="29" t="s">
        <v>328</v>
      </c>
      <c r="Y176" s="30" t="s">
        <v>259</v>
      </c>
      <c r="Z176" s="26">
        <v>1.826848060101E12</v>
      </c>
      <c r="AA176" s="32" t="s">
        <v>33</v>
      </c>
      <c r="AB176" s="25" t="s">
        <v>44</v>
      </c>
    </row>
    <row r="177" ht="19.5" hidden="1" customHeight="1">
      <c r="A177" s="14">
        <v>20.0</v>
      </c>
      <c r="B177" s="15">
        <v>45968.0</v>
      </c>
      <c r="C177" s="16" t="s">
        <v>34</v>
      </c>
      <c r="D177" s="17">
        <v>2.0</v>
      </c>
      <c r="E177" s="18">
        <v>0.7048611111111112</v>
      </c>
      <c r="F177" s="34">
        <v>0.8</v>
      </c>
      <c r="G177" s="33">
        <v>45.0</v>
      </c>
      <c r="H177" s="14">
        <v>1131.0</v>
      </c>
      <c r="I177" s="14" t="s">
        <v>216</v>
      </c>
      <c r="J177" s="21" t="s">
        <v>49</v>
      </c>
      <c r="K177" s="22" t="s">
        <v>42</v>
      </c>
      <c r="L177" s="23" t="s">
        <v>38</v>
      </c>
      <c r="M177" s="24" t="s">
        <v>39</v>
      </c>
      <c r="N177" s="25" t="s">
        <v>329</v>
      </c>
      <c r="O177" s="26" t="s">
        <v>44</v>
      </c>
      <c r="P177" s="14">
        <v>1.0</v>
      </c>
      <c r="Q177" s="14">
        <v>0.0</v>
      </c>
      <c r="R177" s="27">
        <v>0.0</v>
      </c>
      <c r="S177" s="14">
        <v>0.0</v>
      </c>
      <c r="T177" s="28">
        <v>1.0</v>
      </c>
      <c r="U177" s="33">
        <v>0.0</v>
      </c>
      <c r="V177" s="14">
        <v>0.0</v>
      </c>
      <c r="W177" s="14">
        <v>0.0</v>
      </c>
      <c r="X177" s="29" t="s">
        <v>330</v>
      </c>
      <c r="Y177" s="30" t="s">
        <v>61</v>
      </c>
      <c r="Z177" s="26" t="s">
        <v>330</v>
      </c>
      <c r="AA177" s="32" t="s">
        <v>33</v>
      </c>
      <c r="AB177" s="25">
        <v>85.0</v>
      </c>
    </row>
    <row r="178" ht="19.5" hidden="1" customHeight="1">
      <c r="A178" s="14">
        <v>21.0</v>
      </c>
      <c r="B178" s="15">
        <v>45968.0</v>
      </c>
      <c r="C178" s="16" t="s">
        <v>46</v>
      </c>
      <c r="D178" s="17">
        <v>1.0</v>
      </c>
      <c r="E178" s="18">
        <v>0.7444444444444445</v>
      </c>
      <c r="F178" s="34">
        <v>0.7597222222222222</v>
      </c>
      <c r="G178" s="33">
        <v>61.0</v>
      </c>
      <c r="H178" s="14" t="s">
        <v>58</v>
      </c>
      <c r="I178" s="14" t="s">
        <v>52</v>
      </c>
      <c r="J178" s="21" t="s">
        <v>53</v>
      </c>
      <c r="K178" s="22" t="s">
        <v>42</v>
      </c>
      <c r="L178" s="23" t="s">
        <v>54</v>
      </c>
      <c r="M178" s="24" t="s">
        <v>64</v>
      </c>
      <c r="N178" s="25" t="s">
        <v>245</v>
      </c>
      <c r="O178" s="26" t="s">
        <v>44</v>
      </c>
      <c r="P178" s="14">
        <v>1.0</v>
      </c>
      <c r="Q178" s="14">
        <v>0.0</v>
      </c>
      <c r="R178" s="27">
        <v>0.0</v>
      </c>
      <c r="S178" s="14">
        <v>0.0</v>
      </c>
      <c r="T178" s="28">
        <v>1.0</v>
      </c>
      <c r="U178" s="33">
        <v>0.0</v>
      </c>
      <c r="V178" s="14">
        <v>0.0</v>
      </c>
      <c r="W178" s="14">
        <v>0.0</v>
      </c>
      <c r="X178" s="35" t="s">
        <v>331</v>
      </c>
      <c r="Y178" s="30" t="s">
        <v>61</v>
      </c>
      <c r="Z178" s="35">
        <v>2.161702560101E12</v>
      </c>
      <c r="AA178" s="32" t="s">
        <v>33</v>
      </c>
      <c r="AB178" s="25">
        <v>65.0</v>
      </c>
    </row>
    <row r="179" ht="19.5" hidden="1" customHeight="1">
      <c r="A179" s="14">
        <v>22.0</v>
      </c>
      <c r="B179" s="15">
        <v>45968.0</v>
      </c>
      <c r="C179" s="16" t="s">
        <v>243</v>
      </c>
      <c r="D179" s="17">
        <v>1.0</v>
      </c>
      <c r="E179" s="18">
        <v>0.8020833333333334</v>
      </c>
      <c r="F179" s="34">
        <v>0.8354166666666667</v>
      </c>
      <c r="G179" s="33">
        <v>265.0</v>
      </c>
      <c r="H179" s="14" t="s">
        <v>244</v>
      </c>
      <c r="I179" s="14" t="s">
        <v>48</v>
      </c>
      <c r="J179" s="21" t="s">
        <v>87</v>
      </c>
      <c r="K179" s="22" t="s">
        <v>29</v>
      </c>
      <c r="L179" s="23" t="s">
        <v>54</v>
      </c>
      <c r="M179" s="24" t="s">
        <v>156</v>
      </c>
      <c r="N179" s="25" t="s">
        <v>332</v>
      </c>
      <c r="O179" s="26" t="s">
        <v>44</v>
      </c>
      <c r="P179" s="14">
        <v>1.0</v>
      </c>
      <c r="Q179" s="14">
        <v>0.0</v>
      </c>
      <c r="R179" s="27">
        <v>0.0</v>
      </c>
      <c r="S179" s="14">
        <v>0.0</v>
      </c>
      <c r="T179" s="28">
        <v>1.0</v>
      </c>
      <c r="U179" s="33">
        <v>0.0</v>
      </c>
      <c r="V179" s="14">
        <v>0.0</v>
      </c>
      <c r="W179" s="14">
        <v>0.0</v>
      </c>
      <c r="X179" s="29" t="s">
        <v>333</v>
      </c>
      <c r="Y179" s="30" t="s">
        <v>85</v>
      </c>
      <c r="Z179" s="26">
        <v>3.395602822101E12</v>
      </c>
      <c r="AA179" s="32" t="s">
        <v>33</v>
      </c>
      <c r="AB179" s="25">
        <v>27.0</v>
      </c>
    </row>
    <row r="180" ht="19.5" hidden="1" customHeight="1">
      <c r="A180" s="14">
        <v>23.0</v>
      </c>
      <c r="B180" s="15">
        <v>45968.0</v>
      </c>
      <c r="C180" s="16" t="s">
        <v>262</v>
      </c>
      <c r="D180" s="17">
        <v>1.0</v>
      </c>
      <c r="E180" s="18">
        <v>0.8333333333333334</v>
      </c>
      <c r="F180" s="34">
        <v>0.8958333333333334</v>
      </c>
      <c r="G180" s="33">
        <v>215.0</v>
      </c>
      <c r="H180" s="14" t="s">
        <v>263</v>
      </c>
      <c r="I180" s="14" t="s">
        <v>36</v>
      </c>
      <c r="J180" s="21" t="s">
        <v>53</v>
      </c>
      <c r="K180" s="22" t="s">
        <v>29</v>
      </c>
      <c r="L180" s="23" t="s">
        <v>54</v>
      </c>
      <c r="M180" s="24" t="s">
        <v>64</v>
      </c>
      <c r="N180" s="25" t="s">
        <v>334</v>
      </c>
      <c r="O180" s="26" t="s">
        <v>44</v>
      </c>
      <c r="P180" s="14">
        <v>1.0</v>
      </c>
      <c r="Q180" s="14">
        <v>0.0</v>
      </c>
      <c r="R180" s="27">
        <v>0.0</v>
      </c>
      <c r="S180" s="14">
        <v>0.0</v>
      </c>
      <c r="T180" s="28">
        <v>1.0</v>
      </c>
      <c r="U180" s="33">
        <v>0.0</v>
      </c>
      <c r="V180" s="14">
        <v>0.0</v>
      </c>
      <c r="W180" s="14">
        <v>0.0</v>
      </c>
      <c r="X180" s="29" t="s">
        <v>335</v>
      </c>
      <c r="Y180" s="30" t="s">
        <v>32</v>
      </c>
      <c r="Z180" s="26">
        <v>1.724134510502E12</v>
      </c>
      <c r="AA180" s="32" t="s">
        <v>33</v>
      </c>
      <c r="AB180" s="25">
        <v>47.0</v>
      </c>
    </row>
    <row r="181" ht="19.5" hidden="1" customHeight="1">
      <c r="A181" s="14">
        <v>1.0</v>
      </c>
      <c r="B181" s="15">
        <v>45969.0</v>
      </c>
      <c r="C181" s="16" t="s">
        <v>128</v>
      </c>
      <c r="D181" s="17">
        <v>1.0</v>
      </c>
      <c r="E181" s="18">
        <v>0.16319444444444445</v>
      </c>
      <c r="F181" s="33" t="s">
        <v>336</v>
      </c>
      <c r="G181" s="33">
        <v>43.0</v>
      </c>
      <c r="H181" s="14" t="s">
        <v>252</v>
      </c>
      <c r="I181" s="14" t="s">
        <v>48</v>
      </c>
      <c r="J181" s="21" t="s">
        <v>49</v>
      </c>
      <c r="K181" s="22" t="s">
        <v>63</v>
      </c>
      <c r="L181" s="23" t="s">
        <v>54</v>
      </c>
      <c r="M181" s="24" t="s">
        <v>131</v>
      </c>
      <c r="N181" s="25" t="s">
        <v>337</v>
      </c>
      <c r="O181" s="26"/>
      <c r="P181" s="14">
        <v>2.0</v>
      </c>
      <c r="Q181" s="14">
        <v>0.0</v>
      </c>
      <c r="R181" s="27">
        <v>0.0</v>
      </c>
      <c r="S181" s="14">
        <v>0.0</v>
      </c>
      <c r="T181" s="28">
        <v>2.0</v>
      </c>
      <c r="U181" s="33">
        <v>0.0</v>
      </c>
      <c r="V181" s="14">
        <v>0.0</v>
      </c>
      <c r="W181" s="14">
        <v>0.0</v>
      </c>
      <c r="X181" s="29" t="s">
        <v>338</v>
      </c>
      <c r="Y181" s="30" t="s">
        <v>61</v>
      </c>
      <c r="Z181" s="26">
        <v>3.37045593092E12</v>
      </c>
      <c r="AA181" s="32" t="s">
        <v>127</v>
      </c>
      <c r="AB181" s="25"/>
    </row>
    <row r="182" ht="19.5" hidden="1" customHeight="1">
      <c r="A182" s="14">
        <v>2.0</v>
      </c>
      <c r="B182" s="15">
        <v>45969.0</v>
      </c>
      <c r="C182" s="16" t="s">
        <v>46</v>
      </c>
      <c r="D182" s="17">
        <v>1.0</v>
      </c>
      <c r="E182" s="18">
        <v>0.24861111111111112</v>
      </c>
      <c r="F182" s="34">
        <v>0.3159722222222222</v>
      </c>
      <c r="G182" s="33">
        <v>28.1</v>
      </c>
      <c r="H182" s="14" t="s">
        <v>66</v>
      </c>
      <c r="I182" s="14" t="s">
        <v>59</v>
      </c>
      <c r="J182" s="21" t="s">
        <v>37</v>
      </c>
      <c r="K182" s="22" t="s">
        <v>63</v>
      </c>
      <c r="L182" s="23" t="s">
        <v>54</v>
      </c>
      <c r="M182" s="24" t="s">
        <v>131</v>
      </c>
      <c r="N182" s="25" t="s">
        <v>40</v>
      </c>
      <c r="O182" s="26"/>
      <c r="P182" s="14"/>
      <c r="Q182" s="14"/>
      <c r="R182" s="27"/>
      <c r="S182" s="14"/>
      <c r="T182" s="28"/>
      <c r="U182" s="33"/>
      <c r="V182" s="14"/>
      <c r="W182" s="14"/>
      <c r="X182" s="29"/>
      <c r="Y182" s="30"/>
      <c r="Z182" s="26"/>
      <c r="AA182" s="32"/>
      <c r="AB182" s="25"/>
    </row>
    <row r="183" ht="19.5" hidden="1" customHeight="1">
      <c r="A183" s="14">
        <v>3.0</v>
      </c>
      <c r="B183" s="15">
        <v>45969.0</v>
      </c>
      <c r="C183" s="16" t="s">
        <v>128</v>
      </c>
      <c r="D183" s="17">
        <v>1.0</v>
      </c>
      <c r="E183" s="18">
        <v>0.27361111111111114</v>
      </c>
      <c r="F183" s="34">
        <v>0.33125</v>
      </c>
      <c r="G183" s="33">
        <v>89.0</v>
      </c>
      <c r="H183" s="14" t="s">
        <v>129</v>
      </c>
      <c r="I183" s="14" t="s">
        <v>48</v>
      </c>
      <c r="J183" s="21" t="s">
        <v>87</v>
      </c>
      <c r="K183" s="22" t="s">
        <v>100</v>
      </c>
      <c r="L183" s="23" t="s">
        <v>38</v>
      </c>
      <c r="M183" s="24" t="s">
        <v>108</v>
      </c>
      <c r="N183" s="25" t="s">
        <v>40</v>
      </c>
      <c r="O183" s="26"/>
      <c r="P183" s="14"/>
      <c r="Q183" s="14"/>
      <c r="R183" s="27"/>
      <c r="S183" s="14"/>
      <c r="T183" s="28"/>
      <c r="U183" s="33"/>
      <c r="V183" s="14"/>
      <c r="W183" s="14"/>
      <c r="X183" s="29" t="s">
        <v>339</v>
      </c>
      <c r="Y183" s="30" t="s">
        <v>32</v>
      </c>
      <c r="Z183" s="26">
        <v>4.4716331904E10</v>
      </c>
      <c r="AA183" s="32" t="s">
        <v>33</v>
      </c>
      <c r="AB183" s="25">
        <v>31.0</v>
      </c>
    </row>
    <row r="184" ht="19.5" hidden="1" customHeight="1">
      <c r="A184" s="14">
        <v>4.0</v>
      </c>
      <c r="B184" s="15">
        <v>45969.0</v>
      </c>
      <c r="C184" s="16" t="s">
        <v>46</v>
      </c>
      <c r="D184" s="17">
        <v>1.0</v>
      </c>
      <c r="E184" s="18">
        <v>0.2708333333333333</v>
      </c>
      <c r="F184" s="34">
        <v>0.3333333333333333</v>
      </c>
      <c r="G184" s="33">
        <v>65.0</v>
      </c>
      <c r="H184" s="14" t="s">
        <v>62</v>
      </c>
      <c r="I184" s="14" t="s">
        <v>59</v>
      </c>
      <c r="J184" s="21" t="s">
        <v>37</v>
      </c>
      <c r="K184" s="22" t="s">
        <v>100</v>
      </c>
      <c r="L184" s="23" t="s">
        <v>38</v>
      </c>
      <c r="M184" s="24" t="s">
        <v>60</v>
      </c>
      <c r="N184" s="25" t="s">
        <v>340</v>
      </c>
      <c r="O184" s="26"/>
      <c r="P184" s="14">
        <v>1.0</v>
      </c>
      <c r="Q184" s="14">
        <v>0.0</v>
      </c>
      <c r="R184" s="27">
        <v>0.0</v>
      </c>
      <c r="S184" s="14">
        <v>0.0</v>
      </c>
      <c r="T184" s="28">
        <v>1.0</v>
      </c>
      <c r="U184" s="33">
        <v>0.0</v>
      </c>
      <c r="V184" s="14">
        <v>0.0</v>
      </c>
      <c r="W184" s="14">
        <v>1.0</v>
      </c>
      <c r="X184" s="29" t="s">
        <v>341</v>
      </c>
      <c r="Y184" s="30" t="s">
        <v>61</v>
      </c>
      <c r="Z184" s="26">
        <v>2.787710250101E12</v>
      </c>
      <c r="AA184" s="32" t="s">
        <v>33</v>
      </c>
      <c r="AB184" s="25">
        <v>30.0</v>
      </c>
    </row>
    <row r="185" ht="19.5" hidden="1" customHeight="1">
      <c r="A185" s="14">
        <v>5.0</v>
      </c>
      <c r="B185" s="15">
        <v>45969.0</v>
      </c>
      <c r="C185" s="16" t="s">
        <v>46</v>
      </c>
      <c r="D185" s="17">
        <v>1.0</v>
      </c>
      <c r="E185" s="18">
        <v>0.28888888888888886</v>
      </c>
      <c r="F185" s="34">
        <v>0.33541666666666664</v>
      </c>
      <c r="G185" s="33" t="s">
        <v>342</v>
      </c>
      <c r="H185" s="14" t="s">
        <v>51</v>
      </c>
      <c r="I185" s="14" t="s">
        <v>52</v>
      </c>
      <c r="J185" s="21" t="s">
        <v>53</v>
      </c>
      <c r="K185" s="22" t="s">
        <v>100</v>
      </c>
      <c r="L185" s="23" t="s">
        <v>54</v>
      </c>
      <c r="M185" s="24" t="s">
        <v>64</v>
      </c>
      <c r="N185" s="25" t="s">
        <v>343</v>
      </c>
      <c r="O185" s="26"/>
      <c r="P185" s="14">
        <v>1.0</v>
      </c>
      <c r="Q185" s="14">
        <v>0.0</v>
      </c>
      <c r="R185" s="27">
        <v>0.0</v>
      </c>
      <c r="S185" s="14">
        <v>0.0</v>
      </c>
      <c r="T185" s="28">
        <v>0.0</v>
      </c>
      <c r="U185" s="33">
        <v>0.0</v>
      </c>
      <c r="V185" s="14">
        <v>0.0</v>
      </c>
      <c r="W185" s="14">
        <v>0.0</v>
      </c>
      <c r="X185" s="29"/>
      <c r="Y185" s="30"/>
      <c r="Z185" s="26"/>
      <c r="AA185" s="32"/>
      <c r="AB185" s="25"/>
    </row>
    <row r="186" ht="19.5" hidden="1" customHeight="1">
      <c r="A186" s="14"/>
      <c r="B186" s="15">
        <v>45969.0</v>
      </c>
      <c r="C186" s="16"/>
      <c r="D186" s="17"/>
      <c r="E186" s="18"/>
      <c r="F186" s="19"/>
      <c r="G186" s="33"/>
      <c r="H186" s="14"/>
      <c r="I186" s="14"/>
      <c r="J186" s="21"/>
      <c r="K186" s="22" t="s">
        <v>239</v>
      </c>
      <c r="L186" s="23"/>
      <c r="M186" s="24"/>
      <c r="N186" s="25"/>
      <c r="O186" s="26"/>
      <c r="P186" s="14">
        <v>1.0</v>
      </c>
      <c r="Q186" s="14">
        <v>0.0</v>
      </c>
      <c r="R186" s="27">
        <v>0.0</v>
      </c>
      <c r="S186" s="14">
        <v>0.0</v>
      </c>
      <c r="T186" s="28">
        <v>1.0</v>
      </c>
      <c r="U186" s="33">
        <v>0.0</v>
      </c>
      <c r="V186" s="14">
        <v>0.0</v>
      </c>
      <c r="W186" s="14">
        <v>0.0</v>
      </c>
      <c r="X186" s="40" t="s">
        <v>344</v>
      </c>
      <c r="Y186" s="30" t="s">
        <v>85</v>
      </c>
      <c r="Z186" s="40">
        <v>2.783180660101E12</v>
      </c>
      <c r="AA186" s="32" t="s">
        <v>33</v>
      </c>
      <c r="AB186" s="25">
        <v>30.0</v>
      </c>
    </row>
    <row r="187" ht="19.5" hidden="1" customHeight="1">
      <c r="A187" s="14">
        <v>6.0</v>
      </c>
      <c r="B187" s="15">
        <v>45969.0</v>
      </c>
      <c r="C187" s="16" t="s">
        <v>46</v>
      </c>
      <c r="D187" s="17">
        <v>1.0</v>
      </c>
      <c r="E187" s="18">
        <v>0.2986111111111111</v>
      </c>
      <c r="F187" s="34">
        <v>0.3451388888888889</v>
      </c>
      <c r="G187" s="33">
        <v>23.1</v>
      </c>
      <c r="H187" s="14" t="s">
        <v>150</v>
      </c>
      <c r="I187" s="14" t="s">
        <v>88</v>
      </c>
      <c r="J187" s="21" t="s">
        <v>87</v>
      </c>
      <c r="K187" s="22" t="s">
        <v>91</v>
      </c>
      <c r="L187" s="23" t="s">
        <v>38</v>
      </c>
      <c r="M187" s="24" t="s">
        <v>39</v>
      </c>
      <c r="N187" s="25" t="s">
        <v>345</v>
      </c>
      <c r="O187" s="26"/>
      <c r="P187" s="14">
        <v>2.0</v>
      </c>
      <c r="Q187" s="14">
        <v>0.0</v>
      </c>
      <c r="R187" s="27">
        <v>0.0</v>
      </c>
      <c r="S187" s="14">
        <v>0.0</v>
      </c>
      <c r="T187" s="28">
        <v>2.0</v>
      </c>
      <c r="U187" s="33">
        <v>0.0</v>
      </c>
      <c r="V187" s="14">
        <v>0.0</v>
      </c>
      <c r="W187" s="14">
        <v>0.0</v>
      </c>
      <c r="X187" s="40" t="s">
        <v>346</v>
      </c>
      <c r="Y187" s="30" t="s">
        <v>32</v>
      </c>
      <c r="Z187" s="40">
        <v>2.641411130114E12</v>
      </c>
      <c r="AA187" s="32" t="s">
        <v>33</v>
      </c>
      <c r="AB187" s="25">
        <v>34.0</v>
      </c>
    </row>
    <row r="188" ht="19.5" hidden="1" customHeight="1">
      <c r="A188" s="14">
        <v>7.0</v>
      </c>
      <c r="B188" s="15">
        <v>45969.0</v>
      </c>
      <c r="C188" s="16" t="s">
        <v>46</v>
      </c>
      <c r="D188" s="17">
        <v>1.0</v>
      </c>
      <c r="E188" s="18">
        <v>0.39375</v>
      </c>
      <c r="F188" s="34">
        <v>0.4305555555555556</v>
      </c>
      <c r="G188" s="33">
        <v>38.6</v>
      </c>
      <c r="H188" s="14" t="s">
        <v>62</v>
      </c>
      <c r="I188" s="14" t="s">
        <v>59</v>
      </c>
      <c r="J188" s="21" t="s">
        <v>53</v>
      </c>
      <c r="K188" s="22" t="s">
        <v>63</v>
      </c>
      <c r="L188" s="23" t="s">
        <v>54</v>
      </c>
      <c r="M188" s="24" t="s">
        <v>64</v>
      </c>
      <c r="N188" s="25"/>
      <c r="O188" s="26"/>
      <c r="P188" s="14"/>
      <c r="Q188" s="14"/>
      <c r="R188" s="27"/>
      <c r="S188" s="14"/>
      <c r="T188" s="28"/>
      <c r="U188" s="33"/>
      <c r="V188" s="14"/>
      <c r="W188" s="14"/>
      <c r="X188" s="29"/>
      <c r="Y188" s="30"/>
      <c r="Z188" s="26"/>
      <c r="AA188" s="32"/>
      <c r="AB188" s="25"/>
    </row>
    <row r="189" ht="19.5" hidden="1" customHeight="1">
      <c r="A189" s="14">
        <v>8.0</v>
      </c>
      <c r="B189" s="15">
        <v>45969.0</v>
      </c>
      <c r="C189" s="16" t="s">
        <v>46</v>
      </c>
      <c r="D189" s="17">
        <v>1.0</v>
      </c>
      <c r="E189" s="18">
        <v>0.39166666666666666</v>
      </c>
      <c r="F189" s="34">
        <v>0.3958333333333333</v>
      </c>
      <c r="G189" s="33">
        <v>0.0</v>
      </c>
      <c r="H189" s="14">
        <v>1104.0</v>
      </c>
      <c r="I189" s="14" t="s">
        <v>143</v>
      </c>
      <c r="J189" s="21" t="s">
        <v>74</v>
      </c>
      <c r="K189" s="22" t="s">
        <v>100</v>
      </c>
      <c r="L189" s="23" t="s">
        <v>54</v>
      </c>
      <c r="M189" s="24" t="s">
        <v>235</v>
      </c>
      <c r="N189" s="25" t="s">
        <v>347</v>
      </c>
      <c r="O189" s="26"/>
      <c r="P189" s="14">
        <v>1.0</v>
      </c>
      <c r="Q189" s="14">
        <v>0.0</v>
      </c>
      <c r="R189" s="27">
        <v>0.0</v>
      </c>
      <c r="S189" s="14">
        <v>0.0</v>
      </c>
      <c r="T189" s="28">
        <v>1.0</v>
      </c>
      <c r="U189" s="33">
        <v>0.0</v>
      </c>
      <c r="V189" s="14">
        <v>0.0</v>
      </c>
      <c r="W189" s="14">
        <v>0.0</v>
      </c>
      <c r="X189" s="29" t="s">
        <v>45</v>
      </c>
      <c r="Y189" s="30" t="s">
        <v>44</v>
      </c>
      <c r="Z189" s="26" t="s">
        <v>45</v>
      </c>
      <c r="AA189" s="32" t="s">
        <v>45</v>
      </c>
      <c r="AB189" s="25" t="s">
        <v>45</v>
      </c>
    </row>
    <row r="190" ht="19.5" hidden="1" customHeight="1">
      <c r="A190" s="14">
        <v>9.0</v>
      </c>
      <c r="B190" s="15">
        <v>45969.0</v>
      </c>
      <c r="C190" s="16" t="s">
        <v>46</v>
      </c>
      <c r="D190" s="17">
        <v>1.0</v>
      </c>
      <c r="E190" s="18">
        <v>0.3951388888888889</v>
      </c>
      <c r="F190" s="34">
        <v>0.3958333333333333</v>
      </c>
      <c r="G190" s="33">
        <v>0.0</v>
      </c>
      <c r="H190" s="14">
        <v>1104.0</v>
      </c>
      <c r="I190" s="14" t="s">
        <v>143</v>
      </c>
      <c r="J190" s="21" t="s">
        <v>74</v>
      </c>
      <c r="K190" s="22" t="s">
        <v>100</v>
      </c>
      <c r="L190" s="23" t="s">
        <v>54</v>
      </c>
      <c r="M190" s="24" t="s">
        <v>235</v>
      </c>
      <c r="N190" s="25" t="s">
        <v>347</v>
      </c>
      <c r="O190" s="26"/>
      <c r="P190" s="14">
        <v>1.0</v>
      </c>
      <c r="Q190" s="14">
        <v>0.0</v>
      </c>
      <c r="R190" s="27">
        <v>0.0</v>
      </c>
      <c r="S190" s="14">
        <v>0.0</v>
      </c>
      <c r="T190" s="28">
        <v>1.0</v>
      </c>
      <c r="U190" s="33">
        <v>0.0</v>
      </c>
      <c r="V190" s="14">
        <v>0.0</v>
      </c>
      <c r="W190" s="14">
        <v>0.0</v>
      </c>
      <c r="X190" s="29" t="s">
        <v>45</v>
      </c>
      <c r="Y190" s="30" t="s">
        <v>44</v>
      </c>
      <c r="Z190" s="26" t="s">
        <v>45</v>
      </c>
      <c r="AA190" s="32" t="s">
        <v>45</v>
      </c>
      <c r="AB190" s="25" t="s">
        <v>45</v>
      </c>
    </row>
    <row r="191" ht="19.5" hidden="1" customHeight="1">
      <c r="A191" s="14">
        <v>10.0</v>
      </c>
      <c r="B191" s="15">
        <v>45969.0</v>
      </c>
      <c r="C191" s="16" t="s">
        <v>34</v>
      </c>
      <c r="D191" s="17">
        <v>1.0</v>
      </c>
      <c r="E191" s="18">
        <v>0.4097222222222222</v>
      </c>
      <c r="F191" s="34">
        <v>0.5395833333333333</v>
      </c>
      <c r="G191" s="33">
        <v>89.5</v>
      </c>
      <c r="H191" s="14">
        <v>1131.0</v>
      </c>
      <c r="I191" s="14" t="s">
        <v>106</v>
      </c>
      <c r="J191" s="21" t="s">
        <v>87</v>
      </c>
      <c r="K191" s="22" t="s">
        <v>29</v>
      </c>
      <c r="L191" s="23" t="s">
        <v>38</v>
      </c>
      <c r="M191" s="24" t="s">
        <v>82</v>
      </c>
      <c r="N191" s="25" t="s">
        <v>348</v>
      </c>
      <c r="O191" s="26"/>
      <c r="P191" s="14">
        <v>1.0</v>
      </c>
      <c r="Q191" s="14">
        <v>0.0</v>
      </c>
      <c r="R191" s="27">
        <v>0.0</v>
      </c>
      <c r="S191" s="14">
        <v>0.0</v>
      </c>
      <c r="T191" s="28">
        <v>1.0</v>
      </c>
      <c r="U191" s="33">
        <v>0.0</v>
      </c>
      <c r="V191" s="14">
        <v>0.0</v>
      </c>
      <c r="W191" s="14">
        <v>0.0</v>
      </c>
      <c r="X191" s="29" t="s">
        <v>349</v>
      </c>
      <c r="Y191" s="30" t="s">
        <v>32</v>
      </c>
      <c r="Z191" s="26">
        <v>3.244138151006E12</v>
      </c>
      <c r="AA191" s="32" t="s">
        <v>33</v>
      </c>
      <c r="AB191" s="25">
        <v>28.0</v>
      </c>
    </row>
    <row r="192" ht="19.5" hidden="1" customHeight="1">
      <c r="A192" s="14">
        <v>11.0</v>
      </c>
      <c r="B192" s="15">
        <v>45969.0</v>
      </c>
      <c r="C192" s="16" t="s">
        <v>46</v>
      </c>
      <c r="D192" s="17">
        <v>1.0</v>
      </c>
      <c r="E192" s="18">
        <v>0.4166666666666667</v>
      </c>
      <c r="F192" s="34">
        <v>0.80625</v>
      </c>
      <c r="G192" s="33">
        <v>86.0</v>
      </c>
      <c r="H192" s="14" t="s">
        <v>173</v>
      </c>
      <c r="I192" s="14" t="s">
        <v>233</v>
      </c>
      <c r="J192" s="21" t="s">
        <v>53</v>
      </c>
      <c r="K192" s="22" t="s">
        <v>29</v>
      </c>
      <c r="L192" s="23" t="s">
        <v>38</v>
      </c>
      <c r="M192" s="24" t="s">
        <v>108</v>
      </c>
      <c r="N192" s="25" t="s">
        <v>306</v>
      </c>
      <c r="O192" s="26" t="s">
        <v>350</v>
      </c>
      <c r="P192" s="14">
        <v>2.0</v>
      </c>
      <c r="Q192" s="14">
        <v>0.0</v>
      </c>
      <c r="R192" s="27">
        <v>0.0</v>
      </c>
      <c r="S192" s="14">
        <v>0.0</v>
      </c>
      <c r="T192" s="28">
        <v>2.0</v>
      </c>
      <c r="U192" s="33">
        <v>0.0</v>
      </c>
      <c r="V192" s="14">
        <v>0.0</v>
      </c>
      <c r="W192" s="14">
        <v>0.0</v>
      </c>
      <c r="X192" s="29" t="s">
        <v>351</v>
      </c>
      <c r="Y192" s="30" t="s">
        <v>32</v>
      </c>
      <c r="Z192" s="26">
        <v>2.171837430503E12</v>
      </c>
      <c r="AA192" s="32" t="s">
        <v>33</v>
      </c>
      <c r="AB192" s="25">
        <v>32.0</v>
      </c>
    </row>
    <row r="193" ht="19.5" hidden="1" customHeight="1">
      <c r="A193" s="14">
        <v>12.0</v>
      </c>
      <c r="B193" s="15">
        <v>45969.0</v>
      </c>
      <c r="C193" s="16" t="s">
        <v>46</v>
      </c>
      <c r="D193" s="17">
        <v>1.0</v>
      </c>
      <c r="E193" s="18">
        <v>0.4375</v>
      </c>
      <c r="F193" s="34">
        <v>0.4673611111111111</v>
      </c>
      <c r="G193" s="33">
        <v>57.0</v>
      </c>
      <c r="H193" s="14" t="s">
        <v>62</v>
      </c>
      <c r="I193" s="14" t="s">
        <v>59</v>
      </c>
      <c r="J193" s="21" t="s">
        <v>53</v>
      </c>
      <c r="K193" s="22" t="s">
        <v>239</v>
      </c>
      <c r="L193" s="23" t="s">
        <v>54</v>
      </c>
      <c r="M193" s="24" t="s">
        <v>64</v>
      </c>
      <c r="N193" s="25" t="s">
        <v>306</v>
      </c>
      <c r="O193" s="26"/>
      <c r="P193" s="14">
        <v>1.0</v>
      </c>
      <c r="Q193" s="14">
        <v>0.0</v>
      </c>
      <c r="R193" s="27">
        <v>0.0</v>
      </c>
      <c r="S193" s="14">
        <v>0.0</v>
      </c>
      <c r="T193" s="28">
        <v>1.0</v>
      </c>
      <c r="U193" s="33">
        <v>0.0</v>
      </c>
      <c r="V193" s="14">
        <v>0.0</v>
      </c>
      <c r="W193" s="14">
        <v>1.0</v>
      </c>
      <c r="X193" s="35" t="s">
        <v>352</v>
      </c>
      <c r="Y193" s="30" t="s">
        <v>61</v>
      </c>
      <c r="Z193" s="35">
        <v>2.920882990101E12</v>
      </c>
      <c r="AA193" s="32" t="s">
        <v>127</v>
      </c>
      <c r="AB193" s="25">
        <v>30.0</v>
      </c>
    </row>
    <row r="194" ht="19.5" hidden="1" customHeight="1">
      <c r="A194" s="14"/>
      <c r="B194" s="15">
        <v>45969.0</v>
      </c>
      <c r="C194" s="16"/>
      <c r="D194" s="17"/>
      <c r="E194" s="18"/>
      <c r="F194" s="19"/>
      <c r="G194" s="33"/>
      <c r="H194" s="14"/>
      <c r="I194" s="14"/>
      <c r="J194" s="21"/>
      <c r="K194" s="22" t="s">
        <v>100</v>
      </c>
      <c r="L194" s="23"/>
      <c r="M194" s="24"/>
      <c r="N194" s="25"/>
      <c r="O194" s="26"/>
      <c r="P194" s="14">
        <v>4.0</v>
      </c>
      <c r="Q194" s="14">
        <v>0.0</v>
      </c>
      <c r="R194" s="27">
        <v>0.0</v>
      </c>
      <c r="S194" s="14">
        <v>0.0</v>
      </c>
      <c r="T194" s="28">
        <v>4.0</v>
      </c>
      <c r="U194" s="33">
        <v>0.0</v>
      </c>
      <c r="V194" s="14">
        <v>0.0</v>
      </c>
      <c r="W194" s="14">
        <v>0.0</v>
      </c>
      <c r="X194" s="29" t="s">
        <v>353</v>
      </c>
      <c r="Y194" s="30" t="s">
        <v>61</v>
      </c>
      <c r="Z194" s="26">
        <v>2.3442913505059E13</v>
      </c>
      <c r="AA194" s="32" t="s">
        <v>33</v>
      </c>
      <c r="AB194" s="25">
        <v>36.0</v>
      </c>
    </row>
    <row r="195" ht="19.5" hidden="1" customHeight="1">
      <c r="A195" s="14">
        <v>13.0</v>
      </c>
      <c r="B195" s="15">
        <v>45969.0</v>
      </c>
      <c r="C195" s="16" t="s">
        <v>34</v>
      </c>
      <c r="D195" s="17">
        <v>2.0</v>
      </c>
      <c r="E195" s="18">
        <v>0.4652777777777778</v>
      </c>
      <c r="F195" s="34">
        <v>0.4909722222222222</v>
      </c>
      <c r="G195" s="33">
        <v>74.5</v>
      </c>
      <c r="H195" s="14" t="s">
        <v>105</v>
      </c>
      <c r="I195" s="14" t="s">
        <v>88</v>
      </c>
      <c r="J195" s="21" t="s">
        <v>49</v>
      </c>
      <c r="K195" s="22" t="s">
        <v>63</v>
      </c>
      <c r="L195" s="23" t="s">
        <v>38</v>
      </c>
      <c r="M195" s="24" t="s">
        <v>39</v>
      </c>
      <c r="N195" s="25" t="s">
        <v>345</v>
      </c>
      <c r="O195" s="26"/>
      <c r="P195" s="14">
        <v>4.0</v>
      </c>
      <c r="Q195" s="14">
        <v>0.0</v>
      </c>
      <c r="R195" s="27">
        <v>0.0</v>
      </c>
      <c r="S195" s="14">
        <v>0.0</v>
      </c>
      <c r="T195" s="28">
        <v>4.0</v>
      </c>
      <c r="U195" s="33">
        <v>0.0</v>
      </c>
      <c r="V195" s="14">
        <v>0.0</v>
      </c>
      <c r="W195" s="14">
        <v>0.0</v>
      </c>
      <c r="X195" s="29" t="s">
        <v>354</v>
      </c>
      <c r="Y195" s="30" t="s">
        <v>61</v>
      </c>
      <c r="Z195" s="26">
        <v>1.633616410513E12</v>
      </c>
      <c r="AA195" s="32" t="s">
        <v>33</v>
      </c>
      <c r="AB195" s="25">
        <v>39.0</v>
      </c>
    </row>
    <row r="196" ht="19.5" hidden="1" customHeight="1">
      <c r="A196" s="14">
        <v>14.0</v>
      </c>
      <c r="B196" s="15">
        <v>45969.0</v>
      </c>
      <c r="C196" s="16" t="s">
        <v>71</v>
      </c>
      <c r="D196" s="17">
        <v>1.0</v>
      </c>
      <c r="E196" s="18">
        <v>0.5125</v>
      </c>
      <c r="F196" s="34">
        <v>0.5243055555555556</v>
      </c>
      <c r="G196" s="33">
        <v>156.0</v>
      </c>
      <c r="H196" s="14" t="s">
        <v>72</v>
      </c>
      <c r="I196" s="14" t="s">
        <v>52</v>
      </c>
      <c r="J196" s="21" t="s">
        <v>37</v>
      </c>
      <c r="K196" s="22" t="s">
        <v>100</v>
      </c>
      <c r="L196" s="23" t="s">
        <v>54</v>
      </c>
      <c r="M196" s="24" t="s">
        <v>64</v>
      </c>
      <c r="N196" s="25" t="s">
        <v>103</v>
      </c>
      <c r="O196" s="26"/>
      <c r="P196" s="14">
        <v>2.0</v>
      </c>
      <c r="Q196" s="14">
        <v>0.0</v>
      </c>
      <c r="R196" s="27">
        <v>0.0</v>
      </c>
      <c r="S196" s="14">
        <v>0.0</v>
      </c>
      <c r="T196" s="28">
        <v>2.0</v>
      </c>
      <c r="U196" s="33">
        <v>0.0</v>
      </c>
      <c r="V196" s="14">
        <v>0.0</v>
      </c>
      <c r="W196" s="14">
        <v>0.0</v>
      </c>
      <c r="X196" s="29" t="s">
        <v>355</v>
      </c>
      <c r="Y196" s="30" t="s">
        <v>61</v>
      </c>
      <c r="Z196" s="26">
        <v>2.228063620401E12</v>
      </c>
      <c r="AA196" s="32" t="s">
        <v>33</v>
      </c>
      <c r="AB196" s="25">
        <v>32.0</v>
      </c>
    </row>
    <row r="197" ht="19.5" hidden="1" customHeight="1">
      <c r="A197" s="14">
        <v>15.0</v>
      </c>
      <c r="B197" s="15">
        <v>45969.0</v>
      </c>
      <c r="C197" s="16" t="s">
        <v>46</v>
      </c>
      <c r="D197" s="17">
        <v>1.0</v>
      </c>
      <c r="E197" s="18">
        <v>0.525</v>
      </c>
      <c r="F197" s="34">
        <v>0.5902777777777778</v>
      </c>
      <c r="G197" s="33">
        <v>57.0</v>
      </c>
      <c r="H197" s="14" t="s">
        <v>51</v>
      </c>
      <c r="I197" s="14" t="s">
        <v>52</v>
      </c>
      <c r="J197" s="21" t="s">
        <v>53</v>
      </c>
      <c r="K197" s="22" t="s">
        <v>81</v>
      </c>
      <c r="L197" s="23" t="s">
        <v>54</v>
      </c>
      <c r="M197" s="24" t="s">
        <v>64</v>
      </c>
      <c r="N197" s="25" t="s">
        <v>306</v>
      </c>
      <c r="O197" s="40"/>
      <c r="P197" s="14">
        <v>1.0</v>
      </c>
      <c r="Q197" s="14">
        <v>0.0</v>
      </c>
      <c r="R197" s="27">
        <v>0.0</v>
      </c>
      <c r="S197" s="14">
        <v>0.0</v>
      </c>
      <c r="T197" s="28">
        <v>1.0</v>
      </c>
      <c r="U197" s="33">
        <v>0.0</v>
      </c>
      <c r="V197" s="14">
        <v>0.0</v>
      </c>
      <c r="W197" s="14">
        <v>0.0</v>
      </c>
      <c r="X197" s="40" t="s">
        <v>356</v>
      </c>
      <c r="Y197" s="30" t="s">
        <v>61</v>
      </c>
      <c r="Z197" s="40">
        <v>2.730831982104E12</v>
      </c>
      <c r="AA197" s="32" t="s">
        <v>33</v>
      </c>
      <c r="AB197" s="25">
        <v>42.0</v>
      </c>
    </row>
    <row r="198" ht="19.5" hidden="1" customHeight="1">
      <c r="A198" s="14">
        <v>16.0</v>
      </c>
      <c r="B198" s="15">
        <v>45969.0</v>
      </c>
      <c r="C198" s="16" t="s">
        <v>46</v>
      </c>
      <c r="D198" s="17">
        <v>1.0</v>
      </c>
      <c r="E198" s="18">
        <v>0.53125</v>
      </c>
      <c r="F198" s="34">
        <v>0.5388888888888889</v>
      </c>
      <c r="G198" s="33">
        <v>0.0</v>
      </c>
      <c r="H198" s="14">
        <v>1104.0</v>
      </c>
      <c r="I198" s="14" t="s">
        <v>143</v>
      </c>
      <c r="J198" s="21" t="s">
        <v>144</v>
      </c>
      <c r="K198" s="22" t="s">
        <v>63</v>
      </c>
      <c r="L198" s="23" t="s">
        <v>54</v>
      </c>
      <c r="M198" s="24" t="s">
        <v>235</v>
      </c>
      <c r="N198" s="25" t="s">
        <v>357</v>
      </c>
      <c r="O198" s="26"/>
      <c r="P198" s="14">
        <v>0.0</v>
      </c>
      <c r="Q198" s="14">
        <v>0.0</v>
      </c>
      <c r="R198" s="27">
        <v>0.0</v>
      </c>
      <c r="S198" s="14">
        <v>0.0</v>
      </c>
      <c r="T198" s="28">
        <v>0.0</v>
      </c>
      <c r="U198" s="33">
        <v>0.0</v>
      </c>
      <c r="V198" s="14">
        <v>0.0</v>
      </c>
      <c r="W198" s="14">
        <v>0.0</v>
      </c>
      <c r="X198" s="29" t="s">
        <v>44</v>
      </c>
      <c r="Y198" s="29" t="s">
        <v>44</v>
      </c>
      <c r="Z198" s="29" t="s">
        <v>44</v>
      </c>
      <c r="AA198" s="29" t="s">
        <v>44</v>
      </c>
      <c r="AB198" s="29" t="s">
        <v>44</v>
      </c>
    </row>
    <row r="199" ht="19.5" hidden="1" customHeight="1">
      <c r="A199" s="14">
        <v>17.0</v>
      </c>
      <c r="B199" s="15">
        <v>45969.0</v>
      </c>
      <c r="C199" s="16" t="s">
        <v>46</v>
      </c>
      <c r="D199" s="17">
        <v>1.0</v>
      </c>
      <c r="E199" s="18">
        <v>0.53125</v>
      </c>
      <c r="F199" s="34">
        <v>0.5388888888888889</v>
      </c>
      <c r="G199" s="33">
        <v>0.0</v>
      </c>
      <c r="H199" s="14">
        <v>1104.0</v>
      </c>
      <c r="I199" s="14" t="s">
        <v>143</v>
      </c>
      <c r="J199" s="21" t="s">
        <v>144</v>
      </c>
      <c r="K199" s="22" t="s">
        <v>63</v>
      </c>
      <c r="L199" s="23" t="s">
        <v>54</v>
      </c>
      <c r="M199" s="24" t="s">
        <v>235</v>
      </c>
      <c r="N199" s="25" t="s">
        <v>357</v>
      </c>
      <c r="O199" s="26"/>
      <c r="P199" s="14">
        <v>0.0</v>
      </c>
      <c r="Q199" s="14">
        <v>0.0</v>
      </c>
      <c r="R199" s="27">
        <v>0.0</v>
      </c>
      <c r="S199" s="14">
        <v>0.0</v>
      </c>
      <c r="T199" s="28">
        <v>0.0</v>
      </c>
      <c r="U199" s="33">
        <v>0.0</v>
      </c>
      <c r="V199" s="14">
        <v>0.0</v>
      </c>
      <c r="W199" s="14">
        <v>0.0</v>
      </c>
      <c r="X199" s="29" t="s">
        <v>44</v>
      </c>
      <c r="Y199" s="29" t="s">
        <v>44</v>
      </c>
      <c r="Z199" s="29" t="s">
        <v>44</v>
      </c>
      <c r="AA199" s="29" t="s">
        <v>44</v>
      </c>
      <c r="AB199" s="29" t="s">
        <v>44</v>
      </c>
    </row>
    <row r="200" ht="19.5" hidden="1" customHeight="1">
      <c r="A200" s="14">
        <v>18.0</v>
      </c>
      <c r="B200" s="15">
        <v>45969.0</v>
      </c>
      <c r="C200" s="16" t="s">
        <v>46</v>
      </c>
      <c r="D200" s="17">
        <v>1.0</v>
      </c>
      <c r="E200" s="18">
        <v>0.53125</v>
      </c>
      <c r="F200" s="34">
        <v>0.5388888888888889</v>
      </c>
      <c r="G200" s="33">
        <v>0.0</v>
      </c>
      <c r="H200" s="14">
        <v>1104.0</v>
      </c>
      <c r="I200" s="14" t="s">
        <v>143</v>
      </c>
      <c r="J200" s="21" t="s">
        <v>144</v>
      </c>
      <c r="K200" s="22" t="s">
        <v>63</v>
      </c>
      <c r="L200" s="23" t="s">
        <v>54</v>
      </c>
      <c r="M200" s="24" t="s">
        <v>235</v>
      </c>
      <c r="N200" s="25" t="s">
        <v>357</v>
      </c>
      <c r="O200" s="26"/>
      <c r="P200" s="14">
        <v>0.0</v>
      </c>
      <c r="Q200" s="14">
        <v>0.0</v>
      </c>
      <c r="R200" s="27">
        <v>0.0</v>
      </c>
      <c r="S200" s="14">
        <v>0.0</v>
      </c>
      <c r="T200" s="28">
        <v>0.0</v>
      </c>
      <c r="U200" s="33">
        <v>0.0</v>
      </c>
      <c r="V200" s="14">
        <v>0.0</v>
      </c>
      <c r="W200" s="14">
        <v>0.0</v>
      </c>
      <c r="X200" s="29" t="s">
        <v>44</v>
      </c>
      <c r="Y200" s="29" t="s">
        <v>44</v>
      </c>
      <c r="Z200" s="29" t="s">
        <v>44</v>
      </c>
      <c r="AA200" s="29" t="s">
        <v>44</v>
      </c>
      <c r="AB200" s="29" t="s">
        <v>44</v>
      </c>
    </row>
    <row r="201" ht="19.5" hidden="1" customHeight="1">
      <c r="A201" s="14">
        <v>19.0</v>
      </c>
      <c r="B201" s="15">
        <v>45969.0</v>
      </c>
      <c r="C201" s="16" t="s">
        <v>46</v>
      </c>
      <c r="D201" s="17">
        <v>1.0</v>
      </c>
      <c r="E201" s="18">
        <v>0.53125</v>
      </c>
      <c r="F201" s="34">
        <v>0.5388888888888889</v>
      </c>
      <c r="G201" s="33">
        <v>0.0</v>
      </c>
      <c r="H201" s="14">
        <v>1104.0</v>
      </c>
      <c r="I201" s="14" t="s">
        <v>143</v>
      </c>
      <c r="J201" s="21" t="s">
        <v>144</v>
      </c>
      <c r="K201" s="22" t="s">
        <v>63</v>
      </c>
      <c r="L201" s="23" t="s">
        <v>54</v>
      </c>
      <c r="M201" s="24" t="s">
        <v>235</v>
      </c>
      <c r="N201" s="25" t="s">
        <v>357</v>
      </c>
      <c r="O201" s="26"/>
      <c r="P201" s="14">
        <v>0.0</v>
      </c>
      <c r="Q201" s="14">
        <v>0.0</v>
      </c>
      <c r="R201" s="27">
        <v>0.0</v>
      </c>
      <c r="S201" s="14">
        <v>0.0</v>
      </c>
      <c r="T201" s="28">
        <v>0.0</v>
      </c>
      <c r="U201" s="33">
        <v>0.0</v>
      </c>
      <c r="V201" s="14">
        <v>0.0</v>
      </c>
      <c r="W201" s="14">
        <v>0.0</v>
      </c>
      <c r="X201" s="29" t="s">
        <v>44</v>
      </c>
      <c r="Y201" s="29" t="s">
        <v>44</v>
      </c>
      <c r="Z201" s="29" t="s">
        <v>44</v>
      </c>
      <c r="AA201" s="29" t="s">
        <v>44</v>
      </c>
      <c r="AB201" s="29" t="s">
        <v>44</v>
      </c>
    </row>
    <row r="202" ht="19.5" hidden="1" customHeight="1">
      <c r="A202" s="14">
        <v>20.0</v>
      </c>
      <c r="B202" s="15">
        <v>45969.0</v>
      </c>
      <c r="C202" s="16" t="s">
        <v>46</v>
      </c>
      <c r="D202" s="17">
        <v>1.0</v>
      </c>
      <c r="E202" s="18">
        <v>0.53125</v>
      </c>
      <c r="F202" s="34">
        <v>0.5388888888888889</v>
      </c>
      <c r="G202" s="33">
        <v>0.0</v>
      </c>
      <c r="H202" s="14">
        <v>1104.0</v>
      </c>
      <c r="I202" s="14" t="s">
        <v>143</v>
      </c>
      <c r="J202" s="21" t="s">
        <v>144</v>
      </c>
      <c r="K202" s="22" t="s">
        <v>63</v>
      </c>
      <c r="L202" s="23" t="s">
        <v>54</v>
      </c>
      <c r="M202" s="24" t="s">
        <v>235</v>
      </c>
      <c r="N202" s="25" t="s">
        <v>357</v>
      </c>
      <c r="O202" s="26"/>
      <c r="P202" s="14">
        <v>0.0</v>
      </c>
      <c r="Q202" s="14">
        <v>0.0</v>
      </c>
      <c r="R202" s="27">
        <v>0.0</v>
      </c>
      <c r="S202" s="14">
        <v>0.0</v>
      </c>
      <c r="T202" s="28">
        <v>0.0</v>
      </c>
      <c r="U202" s="33">
        <v>0.0</v>
      </c>
      <c r="V202" s="14">
        <v>0.0</v>
      </c>
      <c r="W202" s="14">
        <v>0.0</v>
      </c>
      <c r="X202" s="29" t="s">
        <v>44</v>
      </c>
      <c r="Y202" s="29" t="s">
        <v>44</v>
      </c>
      <c r="Z202" s="29" t="s">
        <v>44</v>
      </c>
      <c r="AA202" s="29" t="s">
        <v>44</v>
      </c>
      <c r="AB202" s="29" t="s">
        <v>44</v>
      </c>
    </row>
    <row r="203" ht="19.5" hidden="1" customHeight="1">
      <c r="A203" s="14">
        <v>21.0</v>
      </c>
      <c r="B203" s="15">
        <v>45969.0</v>
      </c>
      <c r="C203" s="16" t="s">
        <v>46</v>
      </c>
      <c r="D203" s="17">
        <v>1.0</v>
      </c>
      <c r="E203" s="18">
        <v>0.53125</v>
      </c>
      <c r="F203" s="34">
        <v>0.5388888888888889</v>
      </c>
      <c r="G203" s="33">
        <v>0.0</v>
      </c>
      <c r="H203" s="14">
        <v>1104.0</v>
      </c>
      <c r="I203" s="14" t="s">
        <v>143</v>
      </c>
      <c r="J203" s="21" t="s">
        <v>144</v>
      </c>
      <c r="K203" s="22" t="s">
        <v>63</v>
      </c>
      <c r="L203" s="23" t="s">
        <v>54</v>
      </c>
      <c r="M203" s="24" t="s">
        <v>235</v>
      </c>
      <c r="N203" s="25" t="s">
        <v>357</v>
      </c>
      <c r="O203" s="26"/>
      <c r="P203" s="14">
        <v>0.0</v>
      </c>
      <c r="Q203" s="14">
        <v>0.0</v>
      </c>
      <c r="R203" s="27">
        <v>0.0</v>
      </c>
      <c r="S203" s="14">
        <v>0.0</v>
      </c>
      <c r="T203" s="28">
        <v>0.0</v>
      </c>
      <c r="U203" s="33">
        <v>0.0</v>
      </c>
      <c r="V203" s="14">
        <v>0.0</v>
      </c>
      <c r="W203" s="14">
        <v>0.0</v>
      </c>
      <c r="X203" s="29" t="s">
        <v>44</v>
      </c>
      <c r="Y203" s="29" t="s">
        <v>44</v>
      </c>
      <c r="Z203" s="29" t="s">
        <v>44</v>
      </c>
      <c r="AA203" s="29" t="s">
        <v>44</v>
      </c>
      <c r="AB203" s="29" t="s">
        <v>44</v>
      </c>
    </row>
    <row r="204" ht="19.5" hidden="1" customHeight="1">
      <c r="A204" s="14">
        <v>22.0</v>
      </c>
      <c r="B204" s="15">
        <v>45969.0</v>
      </c>
      <c r="C204" s="16" t="s">
        <v>46</v>
      </c>
      <c r="D204" s="17">
        <v>1.0</v>
      </c>
      <c r="E204" s="18">
        <v>0.53125</v>
      </c>
      <c r="F204" s="34">
        <v>0.5388888888888889</v>
      </c>
      <c r="G204" s="33">
        <v>0.0</v>
      </c>
      <c r="H204" s="14">
        <v>1104.0</v>
      </c>
      <c r="I204" s="14" t="s">
        <v>143</v>
      </c>
      <c r="J204" s="21" t="s">
        <v>144</v>
      </c>
      <c r="K204" s="22" t="s">
        <v>63</v>
      </c>
      <c r="L204" s="23" t="s">
        <v>54</v>
      </c>
      <c r="M204" s="24" t="s">
        <v>235</v>
      </c>
      <c r="N204" s="25" t="s">
        <v>357</v>
      </c>
      <c r="O204" s="26"/>
      <c r="P204" s="14">
        <v>0.0</v>
      </c>
      <c r="Q204" s="14">
        <v>0.0</v>
      </c>
      <c r="R204" s="27">
        <v>0.0</v>
      </c>
      <c r="S204" s="14">
        <v>0.0</v>
      </c>
      <c r="T204" s="28">
        <v>0.0</v>
      </c>
      <c r="U204" s="33">
        <v>0.0</v>
      </c>
      <c r="V204" s="14">
        <v>0.0</v>
      </c>
      <c r="W204" s="14">
        <v>0.0</v>
      </c>
      <c r="X204" s="29" t="s">
        <v>44</v>
      </c>
      <c r="Y204" s="29" t="s">
        <v>44</v>
      </c>
      <c r="Z204" s="29" t="s">
        <v>44</v>
      </c>
      <c r="AA204" s="29" t="s">
        <v>44</v>
      </c>
      <c r="AB204" s="29" t="s">
        <v>44</v>
      </c>
    </row>
    <row r="205" ht="19.5" hidden="1" customHeight="1">
      <c r="A205" s="14">
        <v>23.0</v>
      </c>
      <c r="B205" s="15">
        <v>45969.0</v>
      </c>
      <c r="C205" s="16" t="s">
        <v>46</v>
      </c>
      <c r="D205" s="17">
        <v>1.0</v>
      </c>
      <c r="E205" s="18">
        <v>0.53125</v>
      </c>
      <c r="F205" s="34">
        <v>0.5388888888888889</v>
      </c>
      <c r="G205" s="33">
        <v>0.0</v>
      </c>
      <c r="H205" s="14">
        <v>1104.0</v>
      </c>
      <c r="I205" s="14" t="s">
        <v>143</v>
      </c>
      <c r="J205" s="21" t="s">
        <v>144</v>
      </c>
      <c r="K205" s="22" t="s">
        <v>63</v>
      </c>
      <c r="L205" s="23" t="s">
        <v>54</v>
      </c>
      <c r="M205" s="24" t="s">
        <v>235</v>
      </c>
      <c r="N205" s="25" t="s">
        <v>357</v>
      </c>
      <c r="O205" s="26"/>
      <c r="P205" s="14">
        <v>0.0</v>
      </c>
      <c r="Q205" s="14">
        <v>0.0</v>
      </c>
      <c r="R205" s="27">
        <v>0.0</v>
      </c>
      <c r="S205" s="14">
        <v>0.0</v>
      </c>
      <c r="T205" s="28">
        <v>0.0</v>
      </c>
      <c r="U205" s="33">
        <v>0.0</v>
      </c>
      <c r="V205" s="14">
        <v>0.0</v>
      </c>
      <c r="W205" s="14">
        <v>0.0</v>
      </c>
      <c r="X205" s="29" t="s">
        <v>44</v>
      </c>
      <c r="Y205" s="29" t="s">
        <v>44</v>
      </c>
      <c r="Z205" s="29" t="s">
        <v>44</v>
      </c>
      <c r="AA205" s="29" t="s">
        <v>44</v>
      </c>
      <c r="AB205" s="29" t="s">
        <v>44</v>
      </c>
    </row>
    <row r="206" ht="19.5" hidden="1" customHeight="1">
      <c r="A206" s="14">
        <v>24.0</v>
      </c>
      <c r="B206" s="15">
        <v>45969.0</v>
      </c>
      <c r="C206" s="16" t="s">
        <v>71</v>
      </c>
      <c r="D206" s="17">
        <v>1.0</v>
      </c>
      <c r="E206" s="18">
        <v>0.5458333333333333</v>
      </c>
      <c r="F206" s="34">
        <v>0.5930555555555556</v>
      </c>
      <c r="G206" s="33">
        <v>65.0</v>
      </c>
      <c r="H206" s="14" t="s">
        <v>72</v>
      </c>
      <c r="I206" s="14" t="s">
        <v>52</v>
      </c>
      <c r="J206" s="21" t="s">
        <v>37</v>
      </c>
      <c r="K206" s="22" t="s">
        <v>42</v>
      </c>
      <c r="L206" s="23" t="s">
        <v>54</v>
      </c>
      <c r="M206" s="24" t="s">
        <v>64</v>
      </c>
      <c r="N206" s="25" t="s">
        <v>340</v>
      </c>
      <c r="O206" s="26"/>
      <c r="P206" s="14">
        <v>2.0</v>
      </c>
      <c r="Q206" s="14">
        <v>0.0</v>
      </c>
      <c r="R206" s="27">
        <v>0.0</v>
      </c>
      <c r="S206" s="14">
        <v>0.0</v>
      </c>
      <c r="T206" s="28">
        <v>2.0</v>
      </c>
      <c r="U206" s="33">
        <v>0.0</v>
      </c>
      <c r="V206" s="14">
        <v>0.0</v>
      </c>
      <c r="W206" s="14">
        <v>0.0</v>
      </c>
      <c r="X206" s="29" t="s">
        <v>358</v>
      </c>
      <c r="Y206" s="30" t="s">
        <v>85</v>
      </c>
      <c r="Z206" s="26">
        <v>2.326903830805E12</v>
      </c>
      <c r="AA206" s="32" t="s">
        <v>33</v>
      </c>
      <c r="AB206" s="25">
        <v>32.0</v>
      </c>
    </row>
    <row r="207" ht="19.5" hidden="1" customHeight="1">
      <c r="A207" s="14"/>
      <c r="B207" s="15">
        <v>45969.0</v>
      </c>
      <c r="C207" s="16"/>
      <c r="D207" s="17"/>
      <c r="E207" s="18"/>
      <c r="F207" s="19"/>
      <c r="G207" s="33"/>
      <c r="H207" s="14"/>
      <c r="I207" s="14"/>
      <c r="J207" s="21"/>
      <c r="K207" s="22" t="s">
        <v>63</v>
      </c>
      <c r="L207" s="23"/>
      <c r="M207" s="24"/>
      <c r="N207" s="25"/>
      <c r="O207" s="26"/>
      <c r="P207" s="14">
        <v>1.0</v>
      </c>
      <c r="Q207" s="14">
        <v>0.0</v>
      </c>
      <c r="R207" s="27">
        <v>0.0</v>
      </c>
      <c r="S207" s="14">
        <v>0.0</v>
      </c>
      <c r="T207" s="28">
        <v>1.0</v>
      </c>
      <c r="U207" s="33">
        <v>0.0</v>
      </c>
      <c r="V207" s="14">
        <v>0.0</v>
      </c>
      <c r="W207" s="14">
        <v>0.0</v>
      </c>
      <c r="X207" s="49" t="s">
        <v>359</v>
      </c>
      <c r="Y207" s="30" t="s">
        <v>61</v>
      </c>
      <c r="Z207" s="40">
        <v>3.305324051711E12</v>
      </c>
      <c r="AA207" s="32" t="s">
        <v>33</v>
      </c>
      <c r="AB207" s="25">
        <v>21.0</v>
      </c>
    </row>
    <row r="208" ht="19.5" hidden="1" customHeight="1">
      <c r="A208" s="14">
        <v>25.0</v>
      </c>
      <c r="B208" s="15">
        <v>45969.0</v>
      </c>
      <c r="C208" s="16" t="s">
        <v>46</v>
      </c>
      <c r="D208" s="17">
        <v>2.0</v>
      </c>
      <c r="E208" s="18">
        <v>0.55625</v>
      </c>
      <c r="F208" s="34">
        <v>0.5881944444444445</v>
      </c>
      <c r="G208" s="33">
        <v>34.0</v>
      </c>
      <c r="H208" s="14" t="s">
        <v>58</v>
      </c>
      <c r="I208" s="14" t="s">
        <v>88</v>
      </c>
      <c r="J208" s="21" t="s">
        <v>49</v>
      </c>
      <c r="K208" s="22" t="s">
        <v>89</v>
      </c>
      <c r="L208" s="23" t="s">
        <v>38</v>
      </c>
      <c r="M208" s="24" t="s">
        <v>39</v>
      </c>
      <c r="N208" s="25" t="s">
        <v>360</v>
      </c>
      <c r="O208" s="26"/>
      <c r="P208" s="14">
        <v>0.0</v>
      </c>
      <c r="Q208" s="14">
        <v>0.0</v>
      </c>
      <c r="R208" s="27">
        <v>0.0</v>
      </c>
      <c r="S208" s="14">
        <v>1.0</v>
      </c>
      <c r="T208" s="28">
        <v>0.0</v>
      </c>
      <c r="U208" s="33">
        <v>0.0</v>
      </c>
      <c r="V208" s="14">
        <v>0.0</v>
      </c>
      <c r="W208" s="14">
        <v>0.0</v>
      </c>
      <c r="X208" s="40" t="s">
        <v>361</v>
      </c>
      <c r="Y208" s="30" t="s">
        <v>259</v>
      </c>
      <c r="Z208" s="40">
        <v>2.15528093011E12</v>
      </c>
      <c r="AA208" s="32" t="s">
        <v>33</v>
      </c>
      <c r="AB208" s="25">
        <v>33.0</v>
      </c>
    </row>
    <row r="209" ht="19.5" hidden="1" customHeight="1">
      <c r="A209" s="14">
        <v>26.0</v>
      </c>
      <c r="B209" s="15">
        <v>45969.0</v>
      </c>
      <c r="C209" s="16" t="s">
        <v>46</v>
      </c>
      <c r="D209" s="17">
        <v>1.0</v>
      </c>
      <c r="E209" s="18">
        <v>0.5840277777777778</v>
      </c>
      <c r="F209" s="34">
        <v>0.5958333333333333</v>
      </c>
      <c r="G209" s="33">
        <v>40.4</v>
      </c>
      <c r="H209" s="14" t="s">
        <v>139</v>
      </c>
      <c r="I209" s="14" t="s">
        <v>224</v>
      </c>
      <c r="J209" s="21" t="s">
        <v>49</v>
      </c>
      <c r="K209" s="22" t="s">
        <v>63</v>
      </c>
      <c r="L209" s="23" t="s">
        <v>54</v>
      </c>
      <c r="M209" s="24" t="s">
        <v>64</v>
      </c>
      <c r="N209" s="25" t="s">
        <v>40</v>
      </c>
      <c r="O209" s="26"/>
      <c r="P209" s="14">
        <v>1.0</v>
      </c>
      <c r="Q209" s="14">
        <v>0.0</v>
      </c>
      <c r="R209" s="27">
        <v>0.0</v>
      </c>
      <c r="S209" s="14">
        <v>0.0</v>
      </c>
      <c r="T209" s="28">
        <v>1.0</v>
      </c>
      <c r="U209" s="33">
        <v>0.0</v>
      </c>
      <c r="V209" s="14">
        <v>0.0</v>
      </c>
      <c r="W209" s="14">
        <v>0.0</v>
      </c>
      <c r="X209" s="35" t="s">
        <v>362</v>
      </c>
      <c r="Y209" s="30" t="s">
        <v>61</v>
      </c>
      <c r="Z209" s="26">
        <v>3.029913280108E12</v>
      </c>
      <c r="AA209" s="32" t="s">
        <v>33</v>
      </c>
      <c r="AB209" s="25">
        <v>21.0</v>
      </c>
    </row>
    <row r="210" ht="19.5" hidden="1" customHeight="1">
      <c r="A210" s="14">
        <v>27.0</v>
      </c>
      <c r="B210" s="15">
        <v>45969.0</v>
      </c>
      <c r="C210" s="16" t="s">
        <v>46</v>
      </c>
      <c r="D210" s="17">
        <v>1.0</v>
      </c>
      <c r="E210" s="18">
        <v>0.625</v>
      </c>
      <c r="F210" s="34">
        <v>0.6576388888888889</v>
      </c>
      <c r="G210" s="33">
        <v>25.0</v>
      </c>
      <c r="H210" s="14" t="s">
        <v>66</v>
      </c>
      <c r="I210" s="14" t="s">
        <v>59</v>
      </c>
      <c r="J210" s="21" t="s">
        <v>37</v>
      </c>
      <c r="K210" s="22" t="s">
        <v>91</v>
      </c>
      <c r="L210" s="23" t="s">
        <v>54</v>
      </c>
      <c r="M210" s="24" t="s">
        <v>102</v>
      </c>
      <c r="N210" s="25" t="s">
        <v>40</v>
      </c>
      <c r="O210" s="26"/>
      <c r="P210" s="14">
        <v>15.0</v>
      </c>
      <c r="Q210" s="14">
        <v>0.0</v>
      </c>
      <c r="R210" s="27">
        <v>0.0</v>
      </c>
      <c r="S210" s="14">
        <v>0.0</v>
      </c>
      <c r="T210" s="28">
        <v>15.0</v>
      </c>
      <c r="U210" s="33">
        <v>0.0</v>
      </c>
      <c r="V210" s="14">
        <v>0.0</v>
      </c>
      <c r="W210" s="14">
        <v>0.0</v>
      </c>
      <c r="X210" s="29" t="s">
        <v>44</v>
      </c>
      <c r="Y210" s="30" t="s">
        <v>44</v>
      </c>
      <c r="Z210" s="26" t="s">
        <v>44</v>
      </c>
      <c r="AA210" s="32" t="s">
        <v>45</v>
      </c>
      <c r="AB210" s="25" t="s">
        <v>44</v>
      </c>
    </row>
    <row r="211" ht="19.5" hidden="1" customHeight="1">
      <c r="A211" s="14"/>
      <c r="B211" s="15">
        <v>45969.0</v>
      </c>
      <c r="C211" s="16"/>
      <c r="D211" s="17"/>
      <c r="E211" s="18"/>
      <c r="F211" s="19"/>
      <c r="G211" s="33"/>
      <c r="H211" s="14"/>
      <c r="I211" s="14"/>
      <c r="J211" s="21"/>
      <c r="K211" s="22" t="s">
        <v>100</v>
      </c>
      <c r="L211" s="23"/>
      <c r="M211" s="24"/>
      <c r="N211" s="25" t="s">
        <v>159</v>
      </c>
      <c r="O211" s="26"/>
      <c r="P211" s="14">
        <v>2.0</v>
      </c>
      <c r="Q211" s="14">
        <v>0.0</v>
      </c>
      <c r="R211" s="27">
        <v>0.0</v>
      </c>
      <c r="S211" s="14">
        <v>0.0</v>
      </c>
      <c r="T211" s="28">
        <v>2.0</v>
      </c>
      <c r="U211" s="33">
        <v>0.0</v>
      </c>
      <c r="V211" s="14">
        <v>0.0</v>
      </c>
      <c r="W211" s="14">
        <v>0.0</v>
      </c>
      <c r="X211" s="35" t="s">
        <v>363</v>
      </c>
      <c r="Y211" s="30" t="s">
        <v>61</v>
      </c>
      <c r="Z211" s="35">
        <v>2.321390590101E12</v>
      </c>
      <c r="AA211" s="32" t="s">
        <v>127</v>
      </c>
      <c r="AB211" s="25">
        <v>46.0</v>
      </c>
    </row>
    <row r="212" ht="19.5" hidden="1" customHeight="1">
      <c r="A212" s="14">
        <v>28.0</v>
      </c>
      <c r="B212" s="15">
        <v>45969.0</v>
      </c>
      <c r="C212" s="16" t="s">
        <v>46</v>
      </c>
      <c r="D212" s="17">
        <v>1.0</v>
      </c>
      <c r="E212" s="18">
        <v>0.6395833333333333</v>
      </c>
      <c r="F212" s="34">
        <v>0.65625</v>
      </c>
      <c r="G212" s="20">
        <v>45789.0</v>
      </c>
      <c r="H212" s="14" t="s">
        <v>94</v>
      </c>
      <c r="I212" s="14" t="s">
        <v>48</v>
      </c>
      <c r="J212" s="21" t="s">
        <v>87</v>
      </c>
      <c r="K212" s="22" t="s">
        <v>63</v>
      </c>
      <c r="L212" s="23" t="s">
        <v>38</v>
      </c>
      <c r="M212" s="24" t="s">
        <v>39</v>
      </c>
      <c r="N212" s="25" t="s">
        <v>83</v>
      </c>
      <c r="O212" s="26"/>
      <c r="P212" s="14">
        <v>1.0</v>
      </c>
      <c r="Q212" s="14">
        <v>0.0</v>
      </c>
      <c r="R212" s="27">
        <v>0.0</v>
      </c>
      <c r="S212" s="14">
        <v>0.0</v>
      </c>
      <c r="T212" s="28">
        <v>1.0</v>
      </c>
      <c r="U212" s="33">
        <v>0.0</v>
      </c>
      <c r="V212" s="14">
        <v>0.0</v>
      </c>
      <c r="W212" s="14">
        <v>0.0</v>
      </c>
      <c r="X212" s="29" t="s">
        <v>364</v>
      </c>
      <c r="Y212" s="30" t="s">
        <v>85</v>
      </c>
      <c r="Z212" s="26">
        <v>1.656789760101E12</v>
      </c>
      <c r="AA212" s="32" t="s">
        <v>33</v>
      </c>
      <c r="AB212" s="25">
        <v>58.0</v>
      </c>
    </row>
    <row r="213" ht="19.5" hidden="1" customHeight="1">
      <c r="A213" s="14">
        <v>29.0</v>
      </c>
      <c r="B213" s="15">
        <v>45969.0</v>
      </c>
      <c r="C213" s="16" t="s">
        <v>46</v>
      </c>
      <c r="D213" s="17">
        <v>1.0</v>
      </c>
      <c r="E213" s="18">
        <v>0.6451388888888889</v>
      </c>
      <c r="F213" s="34">
        <v>0.6652777777777777</v>
      </c>
      <c r="G213" s="33">
        <v>40.0</v>
      </c>
      <c r="H213" s="14" t="s">
        <v>139</v>
      </c>
      <c r="I213" s="14" t="s">
        <v>365</v>
      </c>
      <c r="J213" s="21" t="s">
        <v>37</v>
      </c>
      <c r="K213" s="22" t="s">
        <v>100</v>
      </c>
      <c r="L213" s="23" t="s">
        <v>54</v>
      </c>
      <c r="M213" s="24" t="s">
        <v>64</v>
      </c>
      <c r="N213" s="25" t="s">
        <v>148</v>
      </c>
      <c r="O213" s="26"/>
      <c r="P213" s="14">
        <v>1.0</v>
      </c>
      <c r="Q213" s="14">
        <v>0.0</v>
      </c>
      <c r="R213" s="27">
        <v>0.0</v>
      </c>
      <c r="S213" s="14">
        <v>0.0</v>
      </c>
      <c r="T213" s="28">
        <v>1.0</v>
      </c>
      <c r="U213" s="33">
        <v>0.0</v>
      </c>
      <c r="V213" s="14">
        <v>0.0</v>
      </c>
      <c r="W213" s="14">
        <v>0.0</v>
      </c>
      <c r="X213" s="50" t="s">
        <v>366</v>
      </c>
      <c r="Y213" s="30" t="s">
        <v>61</v>
      </c>
      <c r="Z213" s="40">
        <v>2.550226220101E12</v>
      </c>
      <c r="AA213" s="32" t="s">
        <v>33</v>
      </c>
      <c r="AB213" s="25">
        <v>50.0</v>
      </c>
    </row>
    <row r="214" ht="19.5" hidden="1" customHeight="1">
      <c r="A214" s="14"/>
      <c r="B214" s="15">
        <v>45969.0</v>
      </c>
      <c r="C214" s="16"/>
      <c r="D214" s="17"/>
      <c r="E214" s="18"/>
      <c r="F214" s="19"/>
      <c r="G214" s="33"/>
      <c r="H214" s="14"/>
      <c r="I214" s="14"/>
      <c r="J214" s="21"/>
      <c r="K214" s="22" t="s">
        <v>29</v>
      </c>
      <c r="L214" s="23"/>
      <c r="M214" s="24"/>
      <c r="N214" s="25"/>
      <c r="O214" s="26"/>
      <c r="P214" s="14">
        <v>1.0</v>
      </c>
      <c r="Q214" s="14">
        <v>0.0</v>
      </c>
      <c r="R214" s="27">
        <v>0.0</v>
      </c>
      <c r="S214" s="14">
        <v>0.0</v>
      </c>
      <c r="T214" s="28">
        <v>1.0</v>
      </c>
      <c r="U214" s="33">
        <v>0.0</v>
      </c>
      <c r="V214" s="14">
        <v>0.0</v>
      </c>
      <c r="W214" s="14">
        <v>0.0</v>
      </c>
      <c r="X214" s="35" t="s">
        <v>367</v>
      </c>
      <c r="Y214" s="30" t="s">
        <v>61</v>
      </c>
      <c r="Z214" s="35">
        <v>3.245551561006E12</v>
      </c>
      <c r="AA214" s="32" t="s">
        <v>33</v>
      </c>
      <c r="AB214" s="25">
        <v>26.0</v>
      </c>
    </row>
    <row r="215" ht="19.5" hidden="1" customHeight="1">
      <c r="A215" s="14"/>
      <c r="B215" s="15">
        <v>45969.0</v>
      </c>
      <c r="C215" s="16"/>
      <c r="D215" s="17"/>
      <c r="E215" s="18"/>
      <c r="F215" s="19"/>
      <c r="G215" s="33"/>
      <c r="H215" s="14"/>
      <c r="I215" s="14"/>
      <c r="J215" s="21"/>
      <c r="K215" s="22" t="s">
        <v>42</v>
      </c>
      <c r="L215" s="23"/>
      <c r="M215" s="24"/>
      <c r="N215" s="25"/>
      <c r="O215" s="26"/>
      <c r="P215" s="14">
        <v>1.0</v>
      </c>
      <c r="Q215" s="14">
        <v>0.0</v>
      </c>
      <c r="R215" s="27">
        <v>0.0</v>
      </c>
      <c r="S215" s="14">
        <v>0.0</v>
      </c>
      <c r="T215" s="28">
        <v>1.0</v>
      </c>
      <c r="U215" s="33">
        <v>0.0</v>
      </c>
      <c r="V215" s="14">
        <v>0.0</v>
      </c>
      <c r="W215" s="14">
        <v>0.0</v>
      </c>
      <c r="X215" s="35" t="s">
        <v>368</v>
      </c>
      <c r="Y215" s="30" t="s">
        <v>61</v>
      </c>
      <c r="Z215" s="35">
        <v>1.577954381903E12</v>
      </c>
      <c r="AA215" s="32" t="s">
        <v>127</v>
      </c>
      <c r="AB215" s="25">
        <v>36.0</v>
      </c>
    </row>
    <row r="216" ht="19.5" hidden="1" customHeight="1">
      <c r="A216" s="14"/>
      <c r="B216" s="15">
        <v>45969.0</v>
      </c>
      <c r="C216" s="16"/>
      <c r="D216" s="17"/>
      <c r="E216" s="18"/>
      <c r="F216" s="19"/>
      <c r="G216" s="33"/>
      <c r="H216" s="14"/>
      <c r="I216" s="14"/>
      <c r="J216" s="21"/>
      <c r="K216" s="22" t="s">
        <v>100</v>
      </c>
      <c r="L216" s="23"/>
      <c r="M216" s="24"/>
      <c r="N216" s="25"/>
      <c r="O216" s="26"/>
      <c r="P216" s="14">
        <v>1.0</v>
      </c>
      <c r="Q216" s="14">
        <v>0.0</v>
      </c>
      <c r="R216" s="27">
        <v>0.0</v>
      </c>
      <c r="S216" s="14">
        <v>0.0</v>
      </c>
      <c r="T216" s="28">
        <v>1.0</v>
      </c>
      <c r="U216" s="33">
        <v>0.0</v>
      </c>
      <c r="V216" s="14">
        <v>0.0</v>
      </c>
      <c r="W216" s="14">
        <v>0.0</v>
      </c>
      <c r="X216" s="35" t="s">
        <v>369</v>
      </c>
      <c r="Y216" s="30" t="s">
        <v>61</v>
      </c>
      <c r="Z216" s="35">
        <v>2.818199391901E12</v>
      </c>
      <c r="AA216" s="32" t="s">
        <v>33</v>
      </c>
      <c r="AB216" s="25">
        <v>21.0</v>
      </c>
    </row>
    <row r="217" ht="19.5" hidden="1" customHeight="1">
      <c r="A217" s="14"/>
      <c r="B217" s="15">
        <v>45969.0</v>
      </c>
      <c r="C217" s="16"/>
      <c r="D217" s="17"/>
      <c r="E217" s="18"/>
      <c r="F217" s="19"/>
      <c r="G217" s="33"/>
      <c r="H217" s="14"/>
      <c r="I217" s="14"/>
      <c r="J217" s="21"/>
      <c r="K217" s="22" t="s">
        <v>100</v>
      </c>
      <c r="L217" s="23"/>
      <c r="M217" s="24"/>
      <c r="N217" s="25"/>
      <c r="O217" s="26"/>
      <c r="P217" s="14">
        <v>1.0</v>
      </c>
      <c r="Q217" s="14">
        <v>0.0</v>
      </c>
      <c r="R217" s="27">
        <v>0.0</v>
      </c>
      <c r="S217" s="14">
        <v>0.0</v>
      </c>
      <c r="T217" s="28">
        <v>1.0</v>
      </c>
      <c r="U217" s="33">
        <v>0.0</v>
      </c>
      <c r="V217" s="14">
        <v>0.0</v>
      </c>
      <c r="W217" s="14">
        <v>0.0</v>
      </c>
      <c r="X217" s="35" t="s">
        <v>370</v>
      </c>
      <c r="Y217" s="30" t="s">
        <v>85</v>
      </c>
      <c r="Z217" s="35">
        <v>1.880272701301E12</v>
      </c>
      <c r="AA217" s="32" t="s">
        <v>33</v>
      </c>
      <c r="AB217" s="25">
        <v>53.0</v>
      </c>
    </row>
    <row r="218" ht="19.5" hidden="1" customHeight="1">
      <c r="A218" s="14">
        <v>30.0</v>
      </c>
      <c r="B218" s="15">
        <v>45969.0</v>
      </c>
      <c r="C218" s="16" t="s">
        <v>128</v>
      </c>
      <c r="D218" s="17">
        <v>5.0</v>
      </c>
      <c r="E218" s="18">
        <v>0.7076388888888889</v>
      </c>
      <c r="F218" s="19"/>
      <c r="G218" s="33">
        <v>138.0</v>
      </c>
      <c r="H218" s="14" t="s">
        <v>252</v>
      </c>
      <c r="I218" s="14" t="s">
        <v>48</v>
      </c>
      <c r="J218" s="21" t="s">
        <v>49</v>
      </c>
      <c r="K218" s="22" t="s">
        <v>100</v>
      </c>
      <c r="L218" s="23" t="s">
        <v>38</v>
      </c>
      <c r="M218" s="24" t="s">
        <v>288</v>
      </c>
      <c r="N218" s="25" t="s">
        <v>40</v>
      </c>
      <c r="O218" s="26"/>
      <c r="P218" s="14">
        <v>1.0</v>
      </c>
      <c r="Q218" s="14">
        <v>0.0</v>
      </c>
      <c r="R218" s="27">
        <v>0.0</v>
      </c>
      <c r="S218" s="14">
        <v>0.0</v>
      </c>
      <c r="T218" s="28">
        <v>1.0</v>
      </c>
      <c r="U218" s="33">
        <v>0.0</v>
      </c>
      <c r="V218" s="14">
        <v>0.0</v>
      </c>
      <c r="W218" s="14">
        <v>0.0</v>
      </c>
      <c r="X218" s="35" t="s">
        <v>371</v>
      </c>
      <c r="Y218" s="30" t="s">
        <v>85</v>
      </c>
      <c r="Z218" s="35">
        <v>2.611200851901E12</v>
      </c>
      <c r="AA218" s="32" t="s">
        <v>127</v>
      </c>
      <c r="AB218" s="25">
        <v>52.0</v>
      </c>
    </row>
    <row r="219" ht="19.5" hidden="1" customHeight="1">
      <c r="A219" s="14">
        <v>31.0</v>
      </c>
      <c r="B219" s="15">
        <v>45969.0</v>
      </c>
      <c r="C219" s="16" t="s">
        <v>34</v>
      </c>
      <c r="D219" s="17">
        <v>1.0</v>
      </c>
      <c r="E219" s="18">
        <v>0.7534722222222222</v>
      </c>
      <c r="F219" s="34">
        <v>0.7680555555555556</v>
      </c>
      <c r="G219" s="33">
        <v>52.0</v>
      </c>
      <c r="H219" s="14">
        <v>1131.0</v>
      </c>
      <c r="I219" s="14" t="s">
        <v>88</v>
      </c>
      <c r="J219" s="21" t="s">
        <v>87</v>
      </c>
      <c r="K219" s="22" t="s">
        <v>63</v>
      </c>
      <c r="L219" s="23" t="s">
        <v>54</v>
      </c>
      <c r="M219" s="24" t="s">
        <v>67</v>
      </c>
      <c r="N219" s="25" t="s">
        <v>159</v>
      </c>
      <c r="O219" s="26"/>
      <c r="P219" s="14">
        <v>4.0</v>
      </c>
      <c r="Q219" s="14">
        <v>0.0</v>
      </c>
      <c r="R219" s="27">
        <v>0.0</v>
      </c>
      <c r="S219" s="14">
        <v>0.0</v>
      </c>
      <c r="T219" s="28">
        <v>4.0</v>
      </c>
      <c r="U219" s="33">
        <v>0.0</v>
      </c>
      <c r="V219" s="14">
        <v>0.0</v>
      </c>
      <c r="W219" s="14">
        <v>0.0</v>
      </c>
      <c r="X219" s="40" t="s">
        <v>372</v>
      </c>
      <c r="Y219" s="30" t="s">
        <v>115</v>
      </c>
      <c r="Z219" s="40">
        <v>3.043577820114E12</v>
      </c>
      <c r="AA219" s="32" t="s">
        <v>33</v>
      </c>
      <c r="AB219" s="25">
        <v>28.0</v>
      </c>
    </row>
    <row r="220" ht="19.5" hidden="1" customHeight="1">
      <c r="A220" s="14">
        <v>32.0</v>
      </c>
      <c r="B220" s="15">
        <v>45969.0</v>
      </c>
      <c r="C220" s="16"/>
      <c r="D220" s="17"/>
      <c r="E220" s="18"/>
      <c r="F220" s="19"/>
      <c r="G220" s="33"/>
      <c r="H220" s="14"/>
      <c r="I220" s="14"/>
      <c r="J220" s="21"/>
      <c r="K220" s="22" t="s">
        <v>100</v>
      </c>
      <c r="L220" s="23"/>
      <c r="M220" s="24"/>
      <c r="N220" s="25"/>
      <c r="O220" s="26"/>
      <c r="P220" s="14">
        <v>1.0</v>
      </c>
      <c r="Q220" s="14">
        <v>0.0</v>
      </c>
      <c r="R220" s="27">
        <v>0.0</v>
      </c>
      <c r="S220" s="14">
        <v>1.0</v>
      </c>
      <c r="T220" s="28">
        <v>0.0</v>
      </c>
      <c r="U220" s="33">
        <v>0.0</v>
      </c>
      <c r="V220" s="14">
        <v>0.0</v>
      </c>
      <c r="W220" s="14">
        <v>0.0</v>
      </c>
      <c r="X220" s="29" t="s">
        <v>373</v>
      </c>
      <c r="Y220" s="30" t="s">
        <v>61</v>
      </c>
      <c r="Z220" s="26">
        <v>3.00387540101E11</v>
      </c>
      <c r="AA220" s="32" t="s">
        <v>127</v>
      </c>
      <c r="AB220" s="25">
        <v>26.0</v>
      </c>
    </row>
    <row r="221" ht="19.5" hidden="1" customHeight="1">
      <c r="A221" s="14"/>
      <c r="B221" s="15">
        <v>45969.0</v>
      </c>
      <c r="C221" s="16"/>
      <c r="D221" s="17"/>
      <c r="E221" s="18"/>
      <c r="F221" s="19"/>
      <c r="G221" s="33"/>
      <c r="H221" s="14"/>
      <c r="I221" s="14"/>
      <c r="J221" s="21"/>
      <c r="K221" s="22" t="s">
        <v>374</v>
      </c>
      <c r="L221" s="23"/>
      <c r="M221" s="24"/>
      <c r="N221" s="25"/>
      <c r="O221" s="26"/>
      <c r="P221" s="14">
        <v>1.0</v>
      </c>
      <c r="Q221" s="14">
        <v>0.0</v>
      </c>
      <c r="R221" s="27">
        <v>0.0</v>
      </c>
      <c r="S221" s="14">
        <v>1.0</v>
      </c>
      <c r="T221" s="28">
        <v>0.0</v>
      </c>
      <c r="U221" s="33">
        <v>0.0</v>
      </c>
      <c r="V221" s="14">
        <v>0.0</v>
      </c>
      <c r="W221" s="14">
        <v>0.0</v>
      </c>
      <c r="X221" s="29" t="s">
        <v>375</v>
      </c>
      <c r="Y221" s="30" t="s">
        <v>259</v>
      </c>
      <c r="Z221" s="26">
        <v>1.991868750101E12</v>
      </c>
      <c r="AA221" s="32" t="s">
        <v>33</v>
      </c>
      <c r="AB221" s="25">
        <v>41.0</v>
      </c>
    </row>
    <row r="222" ht="19.5" hidden="1" customHeight="1">
      <c r="A222" s="14"/>
      <c r="B222" s="15">
        <v>45969.0</v>
      </c>
      <c r="C222" s="16"/>
      <c r="D222" s="17"/>
      <c r="E222" s="18"/>
      <c r="F222" s="19"/>
      <c r="G222" s="33"/>
      <c r="H222" s="14"/>
      <c r="I222" s="14"/>
      <c r="J222" s="21"/>
      <c r="K222" s="22" t="s">
        <v>63</v>
      </c>
      <c r="L222" s="23"/>
      <c r="M222" s="24"/>
      <c r="N222" s="25"/>
      <c r="O222" s="26"/>
      <c r="P222" s="14">
        <v>3.0</v>
      </c>
      <c r="Q222" s="14">
        <v>0.0</v>
      </c>
      <c r="R222" s="27">
        <v>0.0</v>
      </c>
      <c r="S222" s="14">
        <v>3.0</v>
      </c>
      <c r="T222" s="28">
        <v>0.0</v>
      </c>
      <c r="U222" s="33">
        <v>0.0</v>
      </c>
      <c r="V222" s="14">
        <v>0.0</v>
      </c>
      <c r="W222" s="14">
        <v>0.0</v>
      </c>
      <c r="X222" s="29" t="s">
        <v>376</v>
      </c>
      <c r="Y222" s="30" t="s">
        <v>61</v>
      </c>
      <c r="Z222" s="26">
        <v>2.632557001406E12</v>
      </c>
      <c r="AA222" s="32" t="s">
        <v>33</v>
      </c>
      <c r="AB222" s="25">
        <v>41.0</v>
      </c>
    </row>
    <row r="223" ht="19.5" hidden="1" customHeight="1">
      <c r="A223" s="14"/>
      <c r="B223" s="15">
        <v>45969.0</v>
      </c>
      <c r="C223" s="16" t="s">
        <v>46</v>
      </c>
      <c r="D223" s="17">
        <v>4.0</v>
      </c>
      <c r="E223" s="18">
        <v>0.7131944444444445</v>
      </c>
      <c r="F223" s="34">
        <v>0.8020833333333334</v>
      </c>
      <c r="G223" s="20">
        <v>45795.0</v>
      </c>
      <c r="H223" s="14" t="s">
        <v>150</v>
      </c>
      <c r="I223" s="14" t="s">
        <v>88</v>
      </c>
      <c r="J223" s="21" t="s">
        <v>87</v>
      </c>
      <c r="K223" s="22" t="s">
        <v>100</v>
      </c>
      <c r="L223" s="23" t="s">
        <v>38</v>
      </c>
      <c r="M223" s="24" t="s">
        <v>288</v>
      </c>
      <c r="N223" s="25" t="s">
        <v>377</v>
      </c>
      <c r="O223" s="26"/>
      <c r="P223" s="14">
        <v>2.0</v>
      </c>
      <c r="Q223" s="14">
        <v>0.0</v>
      </c>
      <c r="R223" s="27">
        <v>0.0</v>
      </c>
      <c r="S223" s="14">
        <v>2.0</v>
      </c>
      <c r="T223" s="28">
        <v>0.0</v>
      </c>
      <c r="U223" s="33">
        <v>0.0</v>
      </c>
      <c r="V223" s="14">
        <v>0.0</v>
      </c>
      <c r="W223" s="14">
        <v>0.0</v>
      </c>
      <c r="X223" s="29" t="s">
        <v>378</v>
      </c>
      <c r="Y223" s="30" t="s">
        <v>61</v>
      </c>
      <c r="Z223" s="26">
        <v>3.698530670101E12</v>
      </c>
      <c r="AA223" s="32" t="s">
        <v>33</v>
      </c>
      <c r="AB223" s="25">
        <v>26.0</v>
      </c>
    </row>
    <row r="224" ht="19.5" hidden="1" customHeight="1">
      <c r="A224" s="14"/>
      <c r="B224" s="15">
        <v>45969.0</v>
      </c>
      <c r="C224" s="16" t="s">
        <v>262</v>
      </c>
      <c r="D224" s="17">
        <v>1.0</v>
      </c>
      <c r="E224" s="18">
        <v>0.7555555555555555</v>
      </c>
      <c r="F224" s="34">
        <v>0.7833333333333333</v>
      </c>
      <c r="G224" s="33">
        <v>188.0</v>
      </c>
      <c r="H224" s="14" t="s">
        <v>263</v>
      </c>
      <c r="I224" s="14" t="s">
        <v>73</v>
      </c>
      <c r="J224" s="21" t="s">
        <v>87</v>
      </c>
      <c r="K224" s="22" t="s">
        <v>29</v>
      </c>
      <c r="L224" s="23" t="s">
        <v>54</v>
      </c>
      <c r="M224" s="24" t="s">
        <v>64</v>
      </c>
      <c r="N224" s="25" t="s">
        <v>306</v>
      </c>
      <c r="O224" s="26"/>
      <c r="P224" s="14">
        <v>1.0</v>
      </c>
      <c r="Q224" s="14">
        <v>0.0</v>
      </c>
      <c r="R224" s="27">
        <v>0.0</v>
      </c>
      <c r="S224" s="14">
        <v>1.0</v>
      </c>
      <c r="T224" s="28">
        <v>0.0</v>
      </c>
      <c r="U224" s="33">
        <v>0.0</v>
      </c>
      <c r="V224" s="14">
        <v>0.0</v>
      </c>
      <c r="W224" s="14">
        <v>0.0</v>
      </c>
      <c r="X224" s="40" t="s">
        <v>379</v>
      </c>
      <c r="Y224" s="30" t="s">
        <v>32</v>
      </c>
      <c r="Z224" s="40">
        <v>2.589832800901E12</v>
      </c>
      <c r="AA224" s="32" t="s">
        <v>33</v>
      </c>
      <c r="AB224" s="25">
        <v>39.0</v>
      </c>
    </row>
    <row r="225" ht="19.5" hidden="1" customHeight="1">
      <c r="A225" s="14"/>
      <c r="B225" s="15">
        <v>45969.0</v>
      </c>
      <c r="C225" s="16" t="s">
        <v>34</v>
      </c>
      <c r="D225" s="17">
        <v>1.0</v>
      </c>
      <c r="E225" s="18">
        <v>0.7430555555555556</v>
      </c>
      <c r="F225" s="19"/>
      <c r="G225" s="33" t="s">
        <v>380</v>
      </c>
      <c r="H225" s="14" t="s">
        <v>181</v>
      </c>
      <c r="I225" s="14" t="s">
        <v>52</v>
      </c>
      <c r="J225" s="21" t="s">
        <v>53</v>
      </c>
      <c r="K225" s="22" t="s">
        <v>81</v>
      </c>
      <c r="L225" s="23" t="s">
        <v>54</v>
      </c>
      <c r="M225" s="24" t="s">
        <v>381</v>
      </c>
      <c r="N225" s="25" t="s">
        <v>382</v>
      </c>
      <c r="O225" s="26"/>
      <c r="P225" s="14">
        <v>1.0</v>
      </c>
      <c r="Q225" s="14">
        <v>0.0</v>
      </c>
      <c r="R225" s="27">
        <v>0.0</v>
      </c>
      <c r="S225" s="14">
        <v>1.0</v>
      </c>
      <c r="T225" s="28">
        <v>0.0</v>
      </c>
      <c r="U225" s="33">
        <v>0.0</v>
      </c>
      <c r="V225" s="14">
        <v>0.0</v>
      </c>
      <c r="W225" s="14">
        <v>0.0</v>
      </c>
      <c r="X225" s="35" t="s">
        <v>383</v>
      </c>
      <c r="Y225" s="30" t="s">
        <v>61</v>
      </c>
      <c r="Z225" s="35">
        <v>3.583931670511E12</v>
      </c>
      <c r="AA225" s="32" t="s">
        <v>33</v>
      </c>
      <c r="AB225" s="25">
        <v>19.0</v>
      </c>
    </row>
    <row r="226" ht="19.5" hidden="1" customHeight="1">
      <c r="A226" s="14"/>
      <c r="B226" s="15">
        <v>45969.0</v>
      </c>
      <c r="C226" s="16"/>
      <c r="D226" s="17"/>
      <c r="E226" s="18"/>
      <c r="F226" s="19"/>
      <c r="G226" s="33"/>
      <c r="H226" s="14"/>
      <c r="I226" s="14"/>
      <c r="J226" s="21"/>
      <c r="K226" s="22" t="s">
        <v>250</v>
      </c>
      <c r="L226" s="23"/>
      <c r="M226" s="24"/>
      <c r="N226" s="25"/>
      <c r="O226" s="26"/>
      <c r="P226" s="14">
        <v>0.0</v>
      </c>
      <c r="Q226" s="14">
        <v>0.0</v>
      </c>
      <c r="R226" s="27">
        <v>0.0</v>
      </c>
      <c r="S226" s="14">
        <v>0.0</v>
      </c>
      <c r="T226" s="28">
        <v>0.0</v>
      </c>
      <c r="U226" s="33">
        <v>0.0</v>
      </c>
      <c r="V226" s="14">
        <v>0.0</v>
      </c>
      <c r="W226" s="14">
        <v>0.0</v>
      </c>
      <c r="X226" s="35" t="s">
        <v>44</v>
      </c>
      <c r="Y226" s="30" t="s">
        <v>44</v>
      </c>
      <c r="Z226" s="35" t="s">
        <v>44</v>
      </c>
      <c r="AA226" s="32" t="s">
        <v>45</v>
      </c>
      <c r="AB226" s="25" t="s">
        <v>44</v>
      </c>
    </row>
    <row r="227" ht="19.5" hidden="1" customHeight="1">
      <c r="A227" s="14"/>
      <c r="B227" s="15">
        <v>45969.0</v>
      </c>
      <c r="C227" s="16" t="s">
        <v>46</v>
      </c>
      <c r="D227" s="17">
        <v>2.0</v>
      </c>
      <c r="E227" s="18">
        <v>0.8680555555555556</v>
      </c>
      <c r="F227" s="34">
        <v>0.9701388888888889</v>
      </c>
      <c r="G227" s="33">
        <v>12.4</v>
      </c>
      <c r="H227" s="14" t="s">
        <v>58</v>
      </c>
      <c r="I227" s="14" t="s">
        <v>88</v>
      </c>
      <c r="J227" s="21" t="s">
        <v>87</v>
      </c>
      <c r="K227" s="22" t="s">
        <v>89</v>
      </c>
      <c r="L227" s="23" t="s">
        <v>38</v>
      </c>
      <c r="M227" s="24" t="s">
        <v>39</v>
      </c>
      <c r="N227" s="25" t="s">
        <v>283</v>
      </c>
      <c r="O227" s="26"/>
      <c r="P227" s="14">
        <v>0.0</v>
      </c>
      <c r="Q227" s="14">
        <v>0.0</v>
      </c>
      <c r="R227" s="27">
        <v>1.0</v>
      </c>
      <c r="S227" s="14">
        <v>0.0</v>
      </c>
      <c r="T227" s="28">
        <v>0.0</v>
      </c>
      <c r="U227" s="33">
        <v>0.0</v>
      </c>
      <c r="V227" s="14">
        <v>0.0</v>
      </c>
      <c r="W227" s="14">
        <v>0.0</v>
      </c>
      <c r="X227" s="35" t="s">
        <v>384</v>
      </c>
      <c r="Y227" s="30" t="s">
        <v>44</v>
      </c>
      <c r="Z227" s="35" t="s">
        <v>44</v>
      </c>
      <c r="AA227" s="32" t="s">
        <v>45</v>
      </c>
      <c r="AB227" s="25" t="s">
        <v>44</v>
      </c>
    </row>
    <row r="228" ht="19.5" hidden="1" customHeight="1">
      <c r="A228" s="14">
        <v>1.0</v>
      </c>
      <c r="B228" s="15">
        <v>45970.0</v>
      </c>
      <c r="C228" s="16" t="s">
        <v>46</v>
      </c>
      <c r="D228" s="17" t="s">
        <v>50</v>
      </c>
      <c r="E228" s="18">
        <v>0.24166666666666667</v>
      </c>
      <c r="F228" s="34">
        <v>0.38680555555555557</v>
      </c>
      <c r="G228" s="33">
        <v>223.0</v>
      </c>
      <c r="H228" s="14" t="s">
        <v>147</v>
      </c>
      <c r="I228" s="14" t="s">
        <v>365</v>
      </c>
      <c r="J228" s="21" t="s">
        <v>49</v>
      </c>
      <c r="K228" s="22" t="s">
        <v>75</v>
      </c>
      <c r="L228" s="23" t="s">
        <v>54</v>
      </c>
      <c r="M228" s="24" t="s">
        <v>385</v>
      </c>
      <c r="N228" s="25"/>
      <c r="O228" s="26"/>
      <c r="P228" s="14">
        <v>40.0</v>
      </c>
      <c r="Q228" s="14">
        <v>0.0</v>
      </c>
      <c r="R228" s="27">
        <v>0.0</v>
      </c>
      <c r="S228" s="14">
        <v>0.0</v>
      </c>
      <c r="T228" s="28">
        <v>40.0</v>
      </c>
      <c r="U228" s="33">
        <v>0.0</v>
      </c>
      <c r="V228" s="14">
        <v>0.0</v>
      </c>
      <c r="W228" s="14">
        <v>0.0</v>
      </c>
      <c r="X228" s="35" t="s">
        <v>44</v>
      </c>
      <c r="Y228" s="30" t="s">
        <v>44</v>
      </c>
      <c r="Z228" s="35" t="s">
        <v>44</v>
      </c>
      <c r="AA228" s="32" t="s">
        <v>45</v>
      </c>
      <c r="AB228" s="25" t="s">
        <v>44</v>
      </c>
    </row>
    <row r="229" ht="19.5" hidden="1" customHeight="1">
      <c r="A229" s="14">
        <v>2.0</v>
      </c>
      <c r="B229" s="15">
        <v>45970.0</v>
      </c>
      <c r="C229" s="16" t="s">
        <v>128</v>
      </c>
      <c r="D229" s="17" t="s">
        <v>50</v>
      </c>
      <c r="E229" s="18">
        <v>0.2763888888888889</v>
      </c>
      <c r="F229" s="34">
        <v>0.3875</v>
      </c>
      <c r="G229" s="33">
        <v>126.0</v>
      </c>
      <c r="H229" s="14" t="s">
        <v>129</v>
      </c>
      <c r="I229" s="14" t="s">
        <v>365</v>
      </c>
      <c r="J229" s="21" t="s">
        <v>87</v>
      </c>
      <c r="K229" s="22" t="s">
        <v>75</v>
      </c>
      <c r="L229" s="23" t="s">
        <v>54</v>
      </c>
      <c r="M229" s="24" t="s">
        <v>385</v>
      </c>
      <c r="N229" s="25"/>
      <c r="O229" s="26"/>
      <c r="P229" s="14">
        <v>40.0</v>
      </c>
      <c r="Q229" s="14">
        <v>0.0</v>
      </c>
      <c r="R229" s="27">
        <v>0.0</v>
      </c>
      <c r="S229" s="14">
        <v>0.0</v>
      </c>
      <c r="T229" s="28">
        <v>40.0</v>
      </c>
      <c r="U229" s="33">
        <v>0.0</v>
      </c>
      <c r="V229" s="14">
        <v>0.0</v>
      </c>
      <c r="W229" s="14">
        <v>0.0</v>
      </c>
      <c r="X229" s="25" t="s">
        <v>44</v>
      </c>
      <c r="Y229" s="25" t="s">
        <v>44</v>
      </c>
      <c r="Z229" s="25" t="s">
        <v>44</v>
      </c>
      <c r="AA229" s="25" t="s">
        <v>44</v>
      </c>
      <c r="AB229" s="25" t="s">
        <v>44</v>
      </c>
    </row>
    <row r="230" ht="19.5" hidden="1" customHeight="1">
      <c r="A230" s="14">
        <v>3.0</v>
      </c>
      <c r="B230" s="15">
        <v>45970.0</v>
      </c>
      <c r="C230" s="16" t="s">
        <v>46</v>
      </c>
      <c r="D230" s="17">
        <v>1.0</v>
      </c>
      <c r="E230" s="18">
        <v>0.27708333333333335</v>
      </c>
      <c r="F230" s="34">
        <v>0.30833333333333335</v>
      </c>
      <c r="G230" s="33">
        <v>40.0</v>
      </c>
      <c r="H230" s="14" t="s">
        <v>66</v>
      </c>
      <c r="I230" s="14" t="s">
        <v>59</v>
      </c>
      <c r="J230" s="21" t="s">
        <v>53</v>
      </c>
      <c r="K230" s="22" t="s">
        <v>63</v>
      </c>
      <c r="L230" s="23" t="s">
        <v>54</v>
      </c>
      <c r="M230" s="24" t="s">
        <v>64</v>
      </c>
      <c r="N230" s="25" t="s">
        <v>40</v>
      </c>
      <c r="O230" s="26"/>
      <c r="P230" s="14">
        <v>4.0</v>
      </c>
      <c r="Q230" s="14">
        <v>0.0</v>
      </c>
      <c r="R230" s="27">
        <v>0.0</v>
      </c>
      <c r="S230" s="14">
        <v>0.0</v>
      </c>
      <c r="T230" s="28">
        <v>4.0</v>
      </c>
      <c r="U230" s="33">
        <v>0.0</v>
      </c>
      <c r="V230" s="14">
        <v>0.0</v>
      </c>
      <c r="W230" s="14">
        <v>0.0</v>
      </c>
      <c r="X230" s="35" t="s">
        <v>386</v>
      </c>
      <c r="Y230" s="30" t="s">
        <v>85</v>
      </c>
      <c r="Z230" s="35">
        <v>2.367796130101E12</v>
      </c>
      <c r="AA230" s="32" t="s">
        <v>33</v>
      </c>
      <c r="AB230" s="25">
        <v>58.0</v>
      </c>
    </row>
    <row r="231" ht="19.5" hidden="1" customHeight="1">
      <c r="A231" s="14">
        <v>4.0</v>
      </c>
      <c r="B231" s="15">
        <v>45970.0</v>
      </c>
      <c r="C231" s="16" t="s">
        <v>46</v>
      </c>
      <c r="D231" s="17" t="s">
        <v>50</v>
      </c>
      <c r="E231" s="18">
        <v>0.27708333333333335</v>
      </c>
      <c r="F231" s="34">
        <v>0.3875</v>
      </c>
      <c r="G231" s="33">
        <v>126.0</v>
      </c>
      <c r="H231" s="14" t="s">
        <v>147</v>
      </c>
      <c r="I231" s="14" t="s">
        <v>365</v>
      </c>
      <c r="J231" s="21" t="s">
        <v>87</v>
      </c>
      <c r="K231" s="22" t="s">
        <v>75</v>
      </c>
      <c r="L231" s="23" t="s">
        <v>54</v>
      </c>
      <c r="M231" s="24" t="s">
        <v>385</v>
      </c>
      <c r="N231" s="25"/>
      <c r="O231" s="26"/>
      <c r="P231" s="14">
        <v>40.0</v>
      </c>
      <c r="Q231" s="14">
        <v>0.0</v>
      </c>
      <c r="R231" s="27">
        <v>0.0</v>
      </c>
      <c r="S231" s="14">
        <v>0.0</v>
      </c>
      <c r="T231" s="28">
        <v>40.0</v>
      </c>
      <c r="U231" s="33">
        <v>0.0</v>
      </c>
      <c r="V231" s="14">
        <v>0.0</v>
      </c>
      <c r="W231" s="14">
        <v>0.0</v>
      </c>
      <c r="X231" s="35" t="s">
        <v>44</v>
      </c>
      <c r="Y231" s="30" t="s">
        <v>44</v>
      </c>
      <c r="Z231" s="35" t="s">
        <v>44</v>
      </c>
      <c r="AA231" s="32" t="s">
        <v>45</v>
      </c>
      <c r="AB231" s="25" t="s">
        <v>44</v>
      </c>
    </row>
    <row r="232" ht="19.5" hidden="1" customHeight="1">
      <c r="A232" s="14">
        <v>5.0</v>
      </c>
      <c r="B232" s="15">
        <v>45970.0</v>
      </c>
      <c r="C232" s="16" t="s">
        <v>46</v>
      </c>
      <c r="D232" s="17" t="s">
        <v>50</v>
      </c>
      <c r="E232" s="18">
        <v>0.32430555555555557</v>
      </c>
      <c r="F232" s="34">
        <v>0.49375</v>
      </c>
      <c r="G232" s="33">
        <v>72.0</v>
      </c>
      <c r="H232" s="14" t="s">
        <v>94</v>
      </c>
      <c r="I232" s="14" t="s">
        <v>52</v>
      </c>
      <c r="J232" s="21" t="s">
        <v>53</v>
      </c>
      <c r="K232" s="22" t="s">
        <v>75</v>
      </c>
      <c r="L232" s="23" t="s">
        <v>54</v>
      </c>
      <c r="M232" s="24" t="s">
        <v>387</v>
      </c>
      <c r="N232" s="25" t="s">
        <v>388</v>
      </c>
      <c r="O232" s="26"/>
      <c r="P232" s="14">
        <v>30.0</v>
      </c>
      <c r="Q232" s="14">
        <v>0.0</v>
      </c>
      <c r="R232" s="27">
        <v>0.0</v>
      </c>
      <c r="S232" s="14">
        <v>0.0</v>
      </c>
      <c r="T232" s="28">
        <v>30.0</v>
      </c>
      <c r="U232" s="33">
        <v>0.0</v>
      </c>
      <c r="V232" s="14">
        <v>0.0</v>
      </c>
      <c r="W232" s="14">
        <v>0.0</v>
      </c>
      <c r="X232" s="25" t="s">
        <v>44</v>
      </c>
      <c r="Y232" s="25" t="s">
        <v>44</v>
      </c>
      <c r="Z232" s="25" t="s">
        <v>44</v>
      </c>
      <c r="AA232" s="25" t="s">
        <v>44</v>
      </c>
      <c r="AB232" s="25" t="s">
        <v>44</v>
      </c>
    </row>
    <row r="233" ht="19.5" hidden="1" customHeight="1">
      <c r="A233" s="14"/>
      <c r="B233" s="15">
        <v>45970.0</v>
      </c>
      <c r="C233" s="16"/>
      <c r="D233" s="17"/>
      <c r="E233" s="18"/>
      <c r="F233" s="19"/>
      <c r="G233" s="33"/>
      <c r="H233" s="14"/>
      <c r="I233" s="14"/>
      <c r="J233" s="21"/>
      <c r="K233" s="22" t="s">
        <v>250</v>
      </c>
      <c r="L233" s="23"/>
      <c r="M233" s="24"/>
      <c r="N233" s="25"/>
      <c r="O233" s="26"/>
      <c r="P233" s="14">
        <v>0.0</v>
      </c>
      <c r="Q233" s="14">
        <v>0.0</v>
      </c>
      <c r="R233" s="27">
        <v>0.0</v>
      </c>
      <c r="S233" s="14">
        <v>0.0</v>
      </c>
      <c r="T233" s="28">
        <v>0.0</v>
      </c>
      <c r="U233" s="33">
        <v>0.0</v>
      </c>
      <c r="V233" s="14">
        <v>0.0</v>
      </c>
      <c r="W233" s="14">
        <v>0.0</v>
      </c>
      <c r="X233" s="25" t="s">
        <v>44</v>
      </c>
      <c r="Y233" s="30" t="s">
        <v>44</v>
      </c>
      <c r="Z233" s="25" t="s">
        <v>44</v>
      </c>
      <c r="AA233" s="32" t="s">
        <v>45</v>
      </c>
      <c r="AB233" s="25" t="s">
        <v>44</v>
      </c>
    </row>
    <row r="234" ht="19.5" hidden="1" customHeight="1">
      <c r="A234" s="14">
        <v>6.0</v>
      </c>
      <c r="B234" s="15">
        <v>45970.0</v>
      </c>
      <c r="C234" s="16" t="s">
        <v>46</v>
      </c>
      <c r="D234" s="17">
        <v>2.0</v>
      </c>
      <c r="E234" s="18">
        <v>0.3923611111111111</v>
      </c>
      <c r="F234" s="34">
        <v>0.4111111111111111</v>
      </c>
      <c r="G234" s="33">
        <v>39.0</v>
      </c>
      <c r="H234" s="14" t="s">
        <v>58</v>
      </c>
      <c r="I234" s="14" t="s">
        <v>224</v>
      </c>
      <c r="J234" s="21" t="s">
        <v>87</v>
      </c>
      <c r="K234" s="22" t="s">
        <v>100</v>
      </c>
      <c r="L234" s="23" t="s">
        <v>38</v>
      </c>
      <c r="M234" s="24" t="s">
        <v>39</v>
      </c>
      <c r="N234" s="40" t="s">
        <v>389</v>
      </c>
      <c r="O234" s="26"/>
      <c r="P234" s="14">
        <v>1.0</v>
      </c>
      <c r="Q234" s="14">
        <v>0.0</v>
      </c>
      <c r="R234" s="27">
        <v>0.0</v>
      </c>
      <c r="S234" s="14">
        <v>0.0</v>
      </c>
      <c r="T234" s="28">
        <v>1.0</v>
      </c>
      <c r="U234" s="33">
        <v>0.0</v>
      </c>
      <c r="V234" s="14">
        <v>0.0</v>
      </c>
      <c r="W234" s="14">
        <v>0.0</v>
      </c>
      <c r="X234" s="40" t="s">
        <v>390</v>
      </c>
      <c r="Y234" s="30" t="s">
        <v>61</v>
      </c>
      <c r="Z234" s="40">
        <v>1.692808290101E12</v>
      </c>
      <c r="AA234" s="32" t="s">
        <v>33</v>
      </c>
      <c r="AB234" s="25">
        <v>43.0</v>
      </c>
    </row>
    <row r="235" ht="19.5" hidden="1" customHeight="1">
      <c r="A235" s="14">
        <v>7.0</v>
      </c>
      <c r="B235" s="15">
        <v>45970.0</v>
      </c>
      <c r="C235" s="16" t="s">
        <v>46</v>
      </c>
      <c r="D235" s="17">
        <v>1.0</v>
      </c>
      <c r="E235" s="18">
        <v>0.42569444444444443</v>
      </c>
      <c r="F235" s="34">
        <v>0.4722222222222222</v>
      </c>
      <c r="G235" s="33">
        <v>37.6</v>
      </c>
      <c r="H235" s="14" t="s">
        <v>58</v>
      </c>
      <c r="I235" s="14" t="s">
        <v>224</v>
      </c>
      <c r="J235" s="21" t="s">
        <v>49</v>
      </c>
      <c r="K235" s="22" t="s">
        <v>109</v>
      </c>
      <c r="L235" s="23" t="s">
        <v>54</v>
      </c>
      <c r="M235" s="24" t="s">
        <v>64</v>
      </c>
      <c r="N235" s="40" t="s">
        <v>389</v>
      </c>
      <c r="O235" s="26"/>
      <c r="P235" s="14">
        <v>5.0</v>
      </c>
      <c r="Q235" s="14">
        <v>0.0</v>
      </c>
      <c r="R235" s="27">
        <v>0.0</v>
      </c>
      <c r="S235" s="14">
        <v>0.0</v>
      </c>
      <c r="T235" s="28">
        <v>5.0</v>
      </c>
      <c r="U235" s="33">
        <v>0.0</v>
      </c>
      <c r="V235" s="14">
        <v>0.0</v>
      </c>
      <c r="W235" s="14">
        <v>0.0</v>
      </c>
      <c r="X235" s="35" t="s">
        <v>391</v>
      </c>
      <c r="Y235" s="30" t="s">
        <v>85</v>
      </c>
      <c r="Z235" s="35">
        <v>2.394603080301E12</v>
      </c>
      <c r="AA235" s="32" t="s">
        <v>33</v>
      </c>
      <c r="AB235" s="25">
        <v>43.0</v>
      </c>
    </row>
    <row r="236" ht="19.5" hidden="1" customHeight="1">
      <c r="A236" s="14">
        <v>8.0</v>
      </c>
      <c r="B236" s="15">
        <v>45970.0</v>
      </c>
      <c r="C236" s="16" t="s">
        <v>128</v>
      </c>
      <c r="D236" s="17" t="s">
        <v>50</v>
      </c>
      <c r="E236" s="18">
        <v>0.4375</v>
      </c>
      <c r="F236" s="34">
        <v>0.5152777777777777</v>
      </c>
      <c r="G236" s="33">
        <v>140.0</v>
      </c>
      <c r="H236" s="14">
        <v>1133.0</v>
      </c>
      <c r="I236" s="14" t="s">
        <v>48</v>
      </c>
      <c r="J236" s="21" t="s">
        <v>87</v>
      </c>
      <c r="K236" s="22" t="s">
        <v>75</v>
      </c>
      <c r="L236" s="23" t="s">
        <v>54</v>
      </c>
      <c r="M236" s="24" t="s">
        <v>392</v>
      </c>
      <c r="N236" s="25" t="s">
        <v>393</v>
      </c>
      <c r="O236" s="26"/>
      <c r="P236" s="14">
        <v>0.0</v>
      </c>
      <c r="Q236" s="14">
        <v>0.0</v>
      </c>
      <c r="R236" s="27">
        <v>0.0</v>
      </c>
      <c r="S236" s="14">
        <v>0.0</v>
      </c>
      <c r="T236" s="28">
        <v>0.0</v>
      </c>
      <c r="U236" s="33">
        <v>0.0</v>
      </c>
      <c r="V236" s="14">
        <v>0.0</v>
      </c>
      <c r="W236" s="14">
        <v>0.0</v>
      </c>
      <c r="X236" s="38" t="s">
        <v>394</v>
      </c>
      <c r="Y236" s="30" t="s">
        <v>44</v>
      </c>
      <c r="Z236" s="35" t="s">
        <v>395</v>
      </c>
      <c r="AA236" s="32" t="s">
        <v>45</v>
      </c>
      <c r="AB236" s="25" t="s">
        <v>44</v>
      </c>
    </row>
    <row r="237" ht="19.5" hidden="1" customHeight="1">
      <c r="A237" s="14">
        <v>9.0</v>
      </c>
      <c r="B237" s="15">
        <v>45970.0</v>
      </c>
      <c r="C237" s="16" t="s">
        <v>46</v>
      </c>
      <c r="D237" s="17">
        <v>1.0</v>
      </c>
      <c r="E237" s="18">
        <v>0.4479166666666667</v>
      </c>
      <c r="F237" s="34">
        <v>0.575</v>
      </c>
      <c r="G237" s="33">
        <v>33.0</v>
      </c>
      <c r="H237" s="14" t="s">
        <v>66</v>
      </c>
      <c r="I237" s="14" t="s">
        <v>59</v>
      </c>
      <c r="J237" s="21" t="s">
        <v>53</v>
      </c>
      <c r="K237" s="22" t="s">
        <v>89</v>
      </c>
      <c r="L237" s="23" t="s">
        <v>38</v>
      </c>
      <c r="M237" s="24" t="s">
        <v>113</v>
      </c>
      <c r="N237" s="25" t="s">
        <v>396</v>
      </c>
      <c r="O237" s="26" t="s">
        <v>44</v>
      </c>
      <c r="P237" s="14">
        <v>0.0</v>
      </c>
      <c r="Q237" s="14">
        <v>0.0</v>
      </c>
      <c r="R237" s="27">
        <v>1.0</v>
      </c>
      <c r="S237" s="14">
        <v>0.0</v>
      </c>
      <c r="T237" s="28">
        <v>0.0</v>
      </c>
      <c r="U237" s="33">
        <v>0.0</v>
      </c>
      <c r="V237" s="14">
        <v>0.0</v>
      </c>
      <c r="W237" s="14">
        <v>0.0</v>
      </c>
      <c r="X237" s="35" t="s">
        <v>44</v>
      </c>
      <c r="Y237" s="30" t="s">
        <v>44</v>
      </c>
      <c r="Z237" s="35" t="s">
        <v>44</v>
      </c>
      <c r="AA237" s="32" t="s">
        <v>33</v>
      </c>
      <c r="AB237" s="25" t="s">
        <v>44</v>
      </c>
    </row>
    <row r="238" ht="19.5" hidden="1" customHeight="1">
      <c r="A238" s="14">
        <v>10.0</v>
      </c>
      <c r="B238" s="15">
        <v>45970.0</v>
      </c>
      <c r="C238" s="16" t="s">
        <v>46</v>
      </c>
      <c r="D238" s="17">
        <v>1.0</v>
      </c>
      <c r="E238" s="18">
        <v>0.46597222222222223</v>
      </c>
      <c r="F238" s="34">
        <v>0.51875</v>
      </c>
      <c r="G238" s="33">
        <v>76.2</v>
      </c>
      <c r="H238" s="14" t="s">
        <v>47</v>
      </c>
      <c r="I238" s="14" t="s">
        <v>233</v>
      </c>
      <c r="J238" s="21" t="s">
        <v>53</v>
      </c>
      <c r="K238" s="22" t="s">
        <v>81</v>
      </c>
      <c r="L238" s="23" t="s">
        <v>54</v>
      </c>
      <c r="M238" s="24" t="s">
        <v>131</v>
      </c>
      <c r="N238" s="25" t="s">
        <v>396</v>
      </c>
      <c r="O238" s="26"/>
      <c r="P238" s="14">
        <v>4.0</v>
      </c>
      <c r="Q238" s="14">
        <v>0.0</v>
      </c>
      <c r="R238" s="27">
        <v>0.0</v>
      </c>
      <c r="S238" s="14">
        <v>0.0</v>
      </c>
      <c r="T238" s="28">
        <v>4.0</v>
      </c>
      <c r="U238" s="33">
        <v>0.0</v>
      </c>
      <c r="V238" s="14">
        <v>0.0</v>
      </c>
      <c r="W238" s="14">
        <v>0.0</v>
      </c>
      <c r="X238" s="35" t="s">
        <v>397</v>
      </c>
      <c r="Y238" s="30" t="s">
        <v>61</v>
      </c>
      <c r="Z238" s="35">
        <v>2.858401340605E12</v>
      </c>
      <c r="AA238" s="32" t="s">
        <v>33</v>
      </c>
      <c r="AB238" s="25">
        <v>26.0</v>
      </c>
    </row>
    <row r="239" ht="19.5" hidden="1" customHeight="1">
      <c r="A239" s="14">
        <v>11.0</v>
      </c>
      <c r="B239" s="15">
        <v>45970.0</v>
      </c>
      <c r="C239" s="16" t="s">
        <v>34</v>
      </c>
      <c r="D239" s="17">
        <v>1.0</v>
      </c>
      <c r="E239" s="18">
        <v>0.5333333333333333</v>
      </c>
      <c r="F239" s="34">
        <v>0.7055555555555556</v>
      </c>
      <c r="G239" s="33">
        <v>52.9</v>
      </c>
      <c r="H239" s="14">
        <v>1131.0</v>
      </c>
      <c r="I239" s="14" t="s">
        <v>216</v>
      </c>
      <c r="J239" s="21" t="s">
        <v>87</v>
      </c>
      <c r="K239" s="22" t="s">
        <v>42</v>
      </c>
      <c r="L239" s="23" t="s">
        <v>54</v>
      </c>
      <c r="M239" s="24" t="s">
        <v>64</v>
      </c>
      <c r="N239" s="25" t="s">
        <v>40</v>
      </c>
      <c r="O239" s="26"/>
      <c r="P239" s="14">
        <v>1.0</v>
      </c>
      <c r="Q239" s="14">
        <v>0.0</v>
      </c>
      <c r="R239" s="27">
        <v>0.0</v>
      </c>
      <c r="S239" s="14">
        <v>0.0</v>
      </c>
      <c r="T239" s="28">
        <v>1.0</v>
      </c>
      <c r="U239" s="33">
        <v>0.0</v>
      </c>
      <c r="V239" s="14">
        <v>0.0</v>
      </c>
      <c r="W239" s="14">
        <v>0.0</v>
      </c>
      <c r="X239" s="35" t="s">
        <v>398</v>
      </c>
      <c r="Y239" s="30" t="s">
        <v>32</v>
      </c>
      <c r="Z239" s="35">
        <v>3.489996230312E12</v>
      </c>
      <c r="AA239" s="32" t="s">
        <v>33</v>
      </c>
      <c r="AB239" s="25">
        <v>31.0</v>
      </c>
    </row>
    <row r="240" ht="19.5" hidden="1" customHeight="1">
      <c r="A240" s="14">
        <v>12.0</v>
      </c>
      <c r="B240" s="15">
        <v>45970.0</v>
      </c>
      <c r="C240" s="16" t="s">
        <v>46</v>
      </c>
      <c r="D240" s="17">
        <v>1.0</v>
      </c>
      <c r="E240" s="18">
        <v>0.5840277777777778</v>
      </c>
      <c r="F240" s="34">
        <v>0.6</v>
      </c>
      <c r="G240" s="33">
        <v>25.5</v>
      </c>
      <c r="H240" s="14" t="s">
        <v>99</v>
      </c>
      <c r="I240" s="14" t="s">
        <v>88</v>
      </c>
      <c r="J240" s="21" t="s">
        <v>87</v>
      </c>
      <c r="K240" s="22" t="s">
        <v>63</v>
      </c>
      <c r="L240" s="23" t="s">
        <v>54</v>
      </c>
      <c r="M240" s="24" t="s">
        <v>64</v>
      </c>
      <c r="N240" s="25" t="s">
        <v>345</v>
      </c>
      <c r="O240" s="26" t="s">
        <v>44</v>
      </c>
      <c r="P240" s="14">
        <v>2.0</v>
      </c>
      <c r="Q240" s="14">
        <v>0.0</v>
      </c>
      <c r="R240" s="27">
        <v>0.0</v>
      </c>
      <c r="S240" s="14">
        <v>0.0</v>
      </c>
      <c r="T240" s="28">
        <v>2.0</v>
      </c>
      <c r="U240" s="33">
        <v>0.0</v>
      </c>
      <c r="V240" s="14">
        <v>0.0</v>
      </c>
      <c r="W240" s="14">
        <v>0.0</v>
      </c>
      <c r="X240" s="25" t="s">
        <v>399</v>
      </c>
      <c r="Y240" s="30" t="s">
        <v>85</v>
      </c>
      <c r="Z240" s="51">
        <v>2.5213072312001E13</v>
      </c>
      <c r="AA240" s="32" t="s">
        <v>33</v>
      </c>
      <c r="AB240" s="25">
        <v>50.0</v>
      </c>
    </row>
    <row r="241" ht="19.5" hidden="1" customHeight="1">
      <c r="A241" s="14">
        <v>13.0</v>
      </c>
      <c r="B241" s="15">
        <v>45970.0</v>
      </c>
      <c r="C241" s="16" t="s">
        <v>46</v>
      </c>
      <c r="D241" s="17">
        <v>1.0</v>
      </c>
      <c r="E241" s="18">
        <v>0.5958333333333333</v>
      </c>
      <c r="F241" s="34">
        <v>0.6055555555555555</v>
      </c>
      <c r="G241" s="33">
        <v>40.0</v>
      </c>
      <c r="H241" s="14" t="s">
        <v>66</v>
      </c>
      <c r="I241" s="14" t="s">
        <v>59</v>
      </c>
      <c r="J241" s="21" t="s">
        <v>53</v>
      </c>
      <c r="K241" s="22" t="s">
        <v>63</v>
      </c>
      <c r="L241" s="23" t="s">
        <v>54</v>
      </c>
      <c r="M241" s="24" t="s">
        <v>131</v>
      </c>
      <c r="N241" s="25" t="s">
        <v>40</v>
      </c>
      <c r="O241" s="26" t="s">
        <v>44</v>
      </c>
      <c r="P241" s="14">
        <v>1.0</v>
      </c>
      <c r="Q241" s="14">
        <v>0.0</v>
      </c>
      <c r="R241" s="27">
        <v>0.0</v>
      </c>
      <c r="S241" s="14">
        <v>0.0</v>
      </c>
      <c r="T241" s="28">
        <v>3.0</v>
      </c>
      <c r="U241" s="33">
        <v>0.0</v>
      </c>
      <c r="V241" s="14">
        <v>0.0</v>
      </c>
      <c r="W241" s="14">
        <v>0.0</v>
      </c>
      <c r="X241" s="35" t="s">
        <v>400</v>
      </c>
      <c r="Y241" s="25" t="s">
        <v>44</v>
      </c>
      <c r="Z241" s="25">
        <v>3.020131130101E12</v>
      </c>
      <c r="AA241" s="32" t="s">
        <v>33</v>
      </c>
      <c r="AB241" s="25">
        <v>25.0</v>
      </c>
    </row>
    <row r="242" ht="19.5" hidden="1" customHeight="1">
      <c r="A242" s="14">
        <v>14.0</v>
      </c>
      <c r="B242" s="15">
        <v>45970.0</v>
      </c>
      <c r="C242" s="16" t="s">
        <v>46</v>
      </c>
      <c r="D242" s="17" t="s">
        <v>50</v>
      </c>
      <c r="E242" s="18">
        <v>0.625</v>
      </c>
      <c r="F242" s="34">
        <v>0.7326388888888888</v>
      </c>
      <c r="G242" s="33">
        <v>30.0</v>
      </c>
      <c r="H242" s="14" t="s">
        <v>147</v>
      </c>
      <c r="I242" s="14" t="s">
        <v>48</v>
      </c>
      <c r="J242" s="21" t="s">
        <v>49</v>
      </c>
      <c r="K242" s="22" t="s">
        <v>75</v>
      </c>
      <c r="L242" s="23" t="s">
        <v>54</v>
      </c>
      <c r="M242" s="24" t="s">
        <v>392</v>
      </c>
      <c r="N242" s="25" t="s">
        <v>401</v>
      </c>
      <c r="O242" s="26"/>
      <c r="P242" s="14">
        <v>0.0</v>
      </c>
      <c r="Q242" s="14">
        <v>0.0</v>
      </c>
      <c r="R242" s="27">
        <v>0.0</v>
      </c>
      <c r="S242" s="14">
        <v>0.0</v>
      </c>
      <c r="T242" s="28">
        <v>0.0</v>
      </c>
      <c r="U242" s="33">
        <v>0.0</v>
      </c>
      <c r="V242" s="14">
        <v>0.0</v>
      </c>
      <c r="W242" s="14">
        <v>0.0</v>
      </c>
      <c r="X242" s="25" t="s">
        <v>44</v>
      </c>
      <c r="Y242" s="25" t="s">
        <v>44</v>
      </c>
      <c r="Z242" s="25" t="s">
        <v>44</v>
      </c>
      <c r="AA242" s="25" t="s">
        <v>44</v>
      </c>
      <c r="AB242" s="25" t="s">
        <v>44</v>
      </c>
    </row>
    <row r="243" ht="19.5" hidden="1" customHeight="1">
      <c r="A243" s="14">
        <v>15.0</v>
      </c>
      <c r="B243" s="15">
        <v>45970.0</v>
      </c>
      <c r="C243" s="16" t="s">
        <v>46</v>
      </c>
      <c r="D243" s="17">
        <v>1.0</v>
      </c>
      <c r="E243" s="18">
        <v>0.6055555555555555</v>
      </c>
      <c r="F243" s="34">
        <v>0.6638888888888889</v>
      </c>
      <c r="G243" s="33">
        <v>24.0</v>
      </c>
      <c r="H243" s="14" t="s">
        <v>99</v>
      </c>
      <c r="I243" s="14" t="s">
        <v>88</v>
      </c>
      <c r="J243" s="21" t="s">
        <v>87</v>
      </c>
      <c r="K243" s="22" t="s">
        <v>63</v>
      </c>
      <c r="L243" s="23" t="s">
        <v>54</v>
      </c>
      <c r="M243" s="24" t="s">
        <v>64</v>
      </c>
      <c r="N243" s="25" t="s">
        <v>40</v>
      </c>
      <c r="O243" s="26"/>
      <c r="P243" s="14">
        <v>1.0</v>
      </c>
      <c r="Q243" s="14">
        <v>0.0</v>
      </c>
      <c r="R243" s="27">
        <v>0.0</v>
      </c>
      <c r="S243" s="14">
        <v>0.0</v>
      </c>
      <c r="T243" s="28">
        <v>1.0</v>
      </c>
      <c r="U243" s="33">
        <v>0.0</v>
      </c>
      <c r="V243" s="14">
        <v>0.0</v>
      </c>
      <c r="W243" s="14">
        <v>0.0</v>
      </c>
      <c r="X243" s="25" t="s">
        <v>402</v>
      </c>
      <c r="Y243" s="30" t="s">
        <v>61</v>
      </c>
      <c r="Z243" s="51">
        <v>3.010075190101E12</v>
      </c>
      <c r="AA243" s="32" t="s">
        <v>33</v>
      </c>
      <c r="AB243" s="25">
        <v>29.0</v>
      </c>
    </row>
    <row r="244" ht="19.5" hidden="1" customHeight="1">
      <c r="A244" s="14">
        <v>16.0</v>
      </c>
      <c r="B244" s="15">
        <v>45970.0</v>
      </c>
      <c r="C244" s="16" t="s">
        <v>34</v>
      </c>
      <c r="D244" s="17">
        <v>1.0</v>
      </c>
      <c r="E244" s="18">
        <v>0.6263888888888889</v>
      </c>
      <c r="F244" s="34">
        <v>0.7194444444444444</v>
      </c>
      <c r="G244" s="33">
        <v>58.8</v>
      </c>
      <c r="H244" s="14" t="s">
        <v>123</v>
      </c>
      <c r="I244" s="14" t="s">
        <v>88</v>
      </c>
      <c r="J244" s="21" t="s">
        <v>87</v>
      </c>
      <c r="K244" s="22" t="s">
        <v>75</v>
      </c>
      <c r="L244" s="23" t="s">
        <v>38</v>
      </c>
      <c r="M244" s="24" t="s">
        <v>113</v>
      </c>
      <c r="N244" s="25" t="s">
        <v>403</v>
      </c>
      <c r="O244" s="26"/>
      <c r="P244" s="14">
        <v>2.0</v>
      </c>
      <c r="Q244" s="14">
        <v>2.0</v>
      </c>
      <c r="R244" s="27">
        <v>0.0</v>
      </c>
      <c r="S244" s="14">
        <v>2.0</v>
      </c>
      <c r="T244" s="28">
        <v>2.0</v>
      </c>
      <c r="U244" s="33">
        <v>0.0</v>
      </c>
      <c r="V244" s="14">
        <v>0.0</v>
      </c>
      <c r="W244" s="14">
        <v>0.0</v>
      </c>
      <c r="X244" s="25" t="s">
        <v>44</v>
      </c>
      <c r="Y244" s="25" t="s">
        <v>44</v>
      </c>
      <c r="Z244" s="25" t="s">
        <v>44</v>
      </c>
      <c r="AA244" s="25" t="s">
        <v>44</v>
      </c>
      <c r="AB244" s="25" t="s">
        <v>44</v>
      </c>
    </row>
    <row r="245" ht="19.5" hidden="1" customHeight="1">
      <c r="A245" s="14"/>
      <c r="B245" s="15">
        <v>45970.0</v>
      </c>
      <c r="C245" s="16"/>
      <c r="D245" s="17"/>
      <c r="E245" s="18"/>
      <c r="F245" s="34"/>
      <c r="G245" s="33"/>
      <c r="H245" s="14"/>
      <c r="I245" s="14"/>
      <c r="J245" s="21"/>
      <c r="K245" s="22" t="s">
        <v>250</v>
      </c>
      <c r="L245" s="23"/>
      <c r="M245" s="24"/>
      <c r="N245" s="25"/>
      <c r="O245" s="26"/>
      <c r="P245" s="14">
        <v>0.0</v>
      </c>
      <c r="Q245" s="14">
        <v>0.0</v>
      </c>
      <c r="R245" s="27">
        <v>0.0</v>
      </c>
      <c r="S245" s="14">
        <v>0.0</v>
      </c>
      <c r="T245" s="28">
        <v>0.0</v>
      </c>
      <c r="U245" s="33">
        <v>0.0</v>
      </c>
      <c r="V245" s="14">
        <v>0.0</v>
      </c>
      <c r="W245" s="14">
        <v>0.0</v>
      </c>
      <c r="X245" s="25" t="s">
        <v>44</v>
      </c>
      <c r="Y245" s="25" t="s">
        <v>44</v>
      </c>
      <c r="Z245" s="25" t="s">
        <v>44</v>
      </c>
      <c r="AA245" s="25" t="s">
        <v>44</v>
      </c>
      <c r="AB245" s="25" t="s">
        <v>44</v>
      </c>
    </row>
    <row r="246" ht="19.5" hidden="1" customHeight="1">
      <c r="A246" s="14">
        <v>17.0</v>
      </c>
      <c r="B246" s="15">
        <v>45970.0</v>
      </c>
      <c r="C246" s="16" t="s">
        <v>46</v>
      </c>
      <c r="D246" s="17">
        <v>2.0</v>
      </c>
      <c r="E246" s="18">
        <v>0.6694444444444444</v>
      </c>
      <c r="F246" s="34">
        <v>0.7291666666666666</v>
      </c>
      <c r="G246" s="20">
        <v>45800.0</v>
      </c>
      <c r="H246" s="14" t="s">
        <v>99</v>
      </c>
      <c r="I246" s="14" t="s">
        <v>88</v>
      </c>
      <c r="J246" s="21" t="s">
        <v>87</v>
      </c>
      <c r="K246" s="22" t="s">
        <v>109</v>
      </c>
      <c r="L246" s="23" t="s">
        <v>38</v>
      </c>
      <c r="M246" s="24" t="s">
        <v>39</v>
      </c>
      <c r="N246" s="25" t="s">
        <v>40</v>
      </c>
      <c r="O246" s="26"/>
      <c r="P246" s="14">
        <v>5.0</v>
      </c>
      <c r="Q246" s="14">
        <v>0.0</v>
      </c>
      <c r="R246" s="27">
        <v>0.0</v>
      </c>
      <c r="S246" s="14">
        <v>0.0</v>
      </c>
      <c r="T246" s="28">
        <v>5.0</v>
      </c>
      <c r="U246" s="33">
        <v>0.0</v>
      </c>
      <c r="V246" s="14">
        <v>0.0</v>
      </c>
      <c r="W246" s="14">
        <v>0.0</v>
      </c>
      <c r="X246" s="25" t="s">
        <v>404</v>
      </c>
      <c r="Y246" s="30" t="s">
        <v>32</v>
      </c>
      <c r="Z246" s="51">
        <v>2.645464901105E12</v>
      </c>
      <c r="AA246" s="32" t="s">
        <v>33</v>
      </c>
      <c r="AB246" s="25">
        <v>56.0</v>
      </c>
    </row>
    <row r="247" ht="19.5" hidden="1" customHeight="1">
      <c r="A247" s="14">
        <v>18.0</v>
      </c>
      <c r="B247" s="15">
        <v>45970.0</v>
      </c>
      <c r="C247" s="16" t="s">
        <v>46</v>
      </c>
      <c r="D247" s="17">
        <v>2.0</v>
      </c>
      <c r="E247" s="18">
        <v>0.6694444444444444</v>
      </c>
      <c r="F247" s="34">
        <v>0.8006944444444445</v>
      </c>
      <c r="G247" s="20">
        <v>45800.0</v>
      </c>
      <c r="H247" s="14" t="s">
        <v>66</v>
      </c>
      <c r="I247" s="14" t="s">
        <v>59</v>
      </c>
      <c r="J247" s="21" t="s">
        <v>53</v>
      </c>
      <c r="K247" s="22" t="s">
        <v>91</v>
      </c>
      <c r="L247" s="23" t="s">
        <v>54</v>
      </c>
      <c r="M247" s="24" t="s">
        <v>64</v>
      </c>
      <c r="N247" s="25" t="s">
        <v>40</v>
      </c>
      <c r="O247" s="26"/>
      <c r="P247" s="14">
        <v>40.0</v>
      </c>
      <c r="Q247" s="14">
        <v>0.0</v>
      </c>
      <c r="R247" s="27">
        <v>0.0</v>
      </c>
      <c r="S247" s="14">
        <v>0.0</v>
      </c>
      <c r="T247" s="28">
        <v>40.0</v>
      </c>
      <c r="U247" s="33">
        <v>0.0</v>
      </c>
      <c r="V247" s="14">
        <v>0.0</v>
      </c>
      <c r="W247" s="14">
        <v>0.0</v>
      </c>
      <c r="X247" s="25" t="s">
        <v>405</v>
      </c>
      <c r="Y247" s="30" t="s">
        <v>32</v>
      </c>
      <c r="Z247" s="51">
        <v>2.739322090116E12</v>
      </c>
      <c r="AA247" s="32" t="s">
        <v>33</v>
      </c>
      <c r="AB247" s="25">
        <v>47.0</v>
      </c>
    </row>
    <row r="248" ht="19.5" hidden="1" customHeight="1">
      <c r="A248" s="14">
        <v>19.0</v>
      </c>
      <c r="B248" s="15">
        <v>45970.0</v>
      </c>
      <c r="C248" s="16" t="s">
        <v>46</v>
      </c>
      <c r="D248" s="17">
        <v>1.0</v>
      </c>
      <c r="E248" s="18">
        <v>0.7444444444444445</v>
      </c>
      <c r="F248" s="34">
        <v>0.7743055555555556</v>
      </c>
      <c r="G248" s="20">
        <v>45800.0</v>
      </c>
      <c r="H248" s="14" t="s">
        <v>58</v>
      </c>
      <c r="I248" s="14" t="s">
        <v>224</v>
      </c>
      <c r="J248" s="21" t="s">
        <v>53</v>
      </c>
      <c r="K248" s="22" t="s">
        <v>63</v>
      </c>
      <c r="L248" s="23" t="s">
        <v>54</v>
      </c>
      <c r="M248" s="24" t="s">
        <v>64</v>
      </c>
      <c r="N248" s="25" t="s">
        <v>40</v>
      </c>
      <c r="O248" s="26"/>
      <c r="P248" s="14">
        <v>1.0</v>
      </c>
      <c r="Q248" s="14">
        <v>0.0</v>
      </c>
      <c r="R248" s="27">
        <v>0.0</v>
      </c>
      <c r="S248" s="14">
        <v>0.0</v>
      </c>
      <c r="T248" s="28">
        <v>1.0</v>
      </c>
      <c r="U248" s="33">
        <v>0.0</v>
      </c>
      <c r="V248" s="14">
        <v>0.0</v>
      </c>
      <c r="W248" s="14">
        <v>0.0</v>
      </c>
      <c r="X248" s="25" t="s">
        <v>406</v>
      </c>
      <c r="Y248" s="30" t="s">
        <v>115</v>
      </c>
      <c r="Z248" s="51">
        <v>3.018269940101E12</v>
      </c>
      <c r="AA248" s="32" t="s">
        <v>33</v>
      </c>
      <c r="AB248" s="25">
        <v>28.0</v>
      </c>
    </row>
    <row r="249" ht="19.5" hidden="1" customHeight="1">
      <c r="A249" s="14">
        <v>20.0</v>
      </c>
      <c r="B249" s="15">
        <v>45970.0</v>
      </c>
      <c r="C249" s="16" t="s">
        <v>407</v>
      </c>
      <c r="D249" s="17">
        <v>1.0</v>
      </c>
      <c r="E249" s="18">
        <v>0.7659722222222223</v>
      </c>
      <c r="F249" s="34">
        <v>0.8291666666666667</v>
      </c>
      <c r="G249" s="33">
        <v>249.0</v>
      </c>
      <c r="H249" s="14" t="s">
        <v>408</v>
      </c>
      <c r="I249" s="14" t="s">
        <v>80</v>
      </c>
      <c r="J249" s="21" t="s">
        <v>49</v>
      </c>
      <c r="K249" s="22" t="s">
        <v>81</v>
      </c>
      <c r="L249" s="23" t="s">
        <v>38</v>
      </c>
      <c r="M249" s="24" t="s">
        <v>113</v>
      </c>
      <c r="N249" s="25" t="s">
        <v>83</v>
      </c>
      <c r="O249" s="26"/>
      <c r="P249" s="14">
        <v>2.0</v>
      </c>
      <c r="Q249" s="14">
        <v>0.0</v>
      </c>
      <c r="R249" s="27">
        <v>0.0</v>
      </c>
      <c r="S249" s="14">
        <v>0.0</v>
      </c>
      <c r="T249" s="28">
        <v>2.0</v>
      </c>
      <c r="U249" s="33">
        <v>0.0</v>
      </c>
      <c r="V249" s="14">
        <v>0.0</v>
      </c>
      <c r="W249" s="14">
        <v>0.0</v>
      </c>
      <c r="X249" s="25" t="s">
        <v>409</v>
      </c>
      <c r="Y249" s="30" t="s">
        <v>61</v>
      </c>
      <c r="Z249" s="51">
        <v>2.539122450106E12</v>
      </c>
      <c r="AA249" s="32" t="s">
        <v>33</v>
      </c>
      <c r="AB249" s="25">
        <v>42.0</v>
      </c>
    </row>
    <row r="250" ht="19.5" hidden="1" customHeight="1">
      <c r="A250" s="14">
        <v>20.0</v>
      </c>
      <c r="B250" s="15">
        <v>45970.0</v>
      </c>
      <c r="C250" s="16" t="s">
        <v>407</v>
      </c>
      <c r="D250" s="17">
        <v>1.0</v>
      </c>
      <c r="E250" s="18">
        <v>0.7659722222222223</v>
      </c>
      <c r="F250" s="34">
        <v>0.8291666666666667</v>
      </c>
      <c r="G250" s="33">
        <v>249.0</v>
      </c>
      <c r="H250" s="14" t="s">
        <v>408</v>
      </c>
      <c r="I250" s="14" t="s">
        <v>80</v>
      </c>
      <c r="J250" s="21" t="s">
        <v>49</v>
      </c>
      <c r="K250" s="22" t="s">
        <v>89</v>
      </c>
      <c r="L250" s="23" t="s">
        <v>38</v>
      </c>
      <c r="M250" s="24" t="s">
        <v>113</v>
      </c>
      <c r="N250" s="25" t="s">
        <v>83</v>
      </c>
      <c r="O250" s="26"/>
      <c r="P250" s="14">
        <v>0.0</v>
      </c>
      <c r="Q250" s="14">
        <v>1.0</v>
      </c>
      <c r="R250" s="27">
        <v>0.0</v>
      </c>
      <c r="S250" s="14">
        <v>1.0</v>
      </c>
      <c r="T250" s="28">
        <v>0.0</v>
      </c>
      <c r="U250" s="33">
        <v>0.0</v>
      </c>
      <c r="V250" s="14">
        <v>0.0</v>
      </c>
      <c r="W250" s="14">
        <v>0.0</v>
      </c>
      <c r="X250" s="25" t="s">
        <v>410</v>
      </c>
      <c r="Y250" s="30" t="s">
        <v>259</v>
      </c>
      <c r="Z250" s="51">
        <v>3.332981011804E12</v>
      </c>
      <c r="AA250" s="32" t="s">
        <v>33</v>
      </c>
      <c r="AB250" s="25">
        <v>19.0</v>
      </c>
    </row>
    <row r="251" ht="19.5" hidden="1" customHeight="1">
      <c r="A251" s="14">
        <v>21.0</v>
      </c>
      <c r="B251" s="15">
        <v>45970.0</v>
      </c>
      <c r="C251" s="16" t="s">
        <v>243</v>
      </c>
      <c r="D251" s="17">
        <v>1.0</v>
      </c>
      <c r="E251" s="18">
        <v>0.7895833333333333</v>
      </c>
      <c r="F251" s="34">
        <v>0.8097222222222222</v>
      </c>
      <c r="G251" s="33">
        <v>246.0</v>
      </c>
      <c r="H251" s="14" t="s">
        <v>249</v>
      </c>
      <c r="I251" s="14" t="s">
        <v>80</v>
      </c>
      <c r="J251" s="21" t="s">
        <v>87</v>
      </c>
      <c r="K251" s="22" t="s">
        <v>100</v>
      </c>
      <c r="L251" s="23" t="s">
        <v>38</v>
      </c>
      <c r="M251" s="24" t="s">
        <v>140</v>
      </c>
      <c r="N251" s="25" t="s">
        <v>40</v>
      </c>
      <c r="O251" s="26"/>
      <c r="P251" s="14">
        <v>0.0</v>
      </c>
      <c r="Q251" s="14">
        <v>0.0</v>
      </c>
      <c r="R251" s="27">
        <v>0.0</v>
      </c>
      <c r="S251" s="14">
        <v>0.0</v>
      </c>
      <c r="T251" s="28">
        <v>0.0</v>
      </c>
      <c r="U251" s="33">
        <v>1.0</v>
      </c>
      <c r="V251" s="14">
        <v>0.0</v>
      </c>
      <c r="W251" s="14">
        <v>0.0</v>
      </c>
      <c r="X251" s="25" t="s">
        <v>44</v>
      </c>
      <c r="Y251" s="25" t="s">
        <v>44</v>
      </c>
      <c r="Z251" s="25" t="s">
        <v>44</v>
      </c>
      <c r="AA251" s="25" t="s">
        <v>44</v>
      </c>
      <c r="AB251" s="25" t="s">
        <v>44</v>
      </c>
    </row>
    <row r="252" ht="19.5" hidden="1" customHeight="1">
      <c r="A252" s="14">
        <v>22.0</v>
      </c>
      <c r="B252" s="15">
        <v>45970.0</v>
      </c>
      <c r="C252" s="16" t="s">
        <v>46</v>
      </c>
      <c r="D252" s="17">
        <v>1.0</v>
      </c>
      <c r="E252" s="18">
        <v>0.8333333333333334</v>
      </c>
      <c r="F252" s="34">
        <v>0.8631944444444445</v>
      </c>
      <c r="G252" s="33">
        <v>20.0</v>
      </c>
      <c r="H252" s="14" t="s">
        <v>99</v>
      </c>
      <c r="I252" s="14" t="s">
        <v>88</v>
      </c>
      <c r="J252" s="21" t="s">
        <v>49</v>
      </c>
      <c r="K252" s="22" t="s">
        <v>29</v>
      </c>
      <c r="L252" s="23" t="s">
        <v>54</v>
      </c>
      <c r="M252" s="24" t="s">
        <v>64</v>
      </c>
      <c r="N252" s="25" t="s">
        <v>345</v>
      </c>
      <c r="O252" s="26" t="s">
        <v>44</v>
      </c>
      <c r="P252" s="14">
        <v>1.0</v>
      </c>
      <c r="Q252" s="14">
        <v>0.0</v>
      </c>
      <c r="R252" s="27">
        <v>0.0</v>
      </c>
      <c r="S252" s="14">
        <v>0.0</v>
      </c>
      <c r="T252" s="28">
        <v>0.0</v>
      </c>
      <c r="U252" s="33">
        <v>0.0</v>
      </c>
      <c r="V252" s="14">
        <v>0.0</v>
      </c>
      <c r="W252" s="14">
        <v>1.0</v>
      </c>
      <c r="X252" s="25" t="s">
        <v>411</v>
      </c>
      <c r="Y252" s="25" t="s">
        <v>32</v>
      </c>
      <c r="Z252" s="25">
        <v>2.067708240509E12</v>
      </c>
      <c r="AA252" s="25" t="s">
        <v>33</v>
      </c>
      <c r="AB252" s="25">
        <v>34.0</v>
      </c>
    </row>
    <row r="253" ht="19.5" hidden="1" customHeight="1">
      <c r="A253" s="14">
        <v>1.0</v>
      </c>
      <c r="B253" s="15">
        <v>45970.0</v>
      </c>
      <c r="C253" s="16" t="s">
        <v>128</v>
      </c>
      <c r="D253" s="17">
        <v>1.0</v>
      </c>
      <c r="E253" s="18">
        <v>0.975</v>
      </c>
      <c r="F253" s="34">
        <v>0.30416666666666664</v>
      </c>
      <c r="G253" s="33">
        <v>39.0</v>
      </c>
      <c r="H253" s="14" t="s">
        <v>129</v>
      </c>
      <c r="I253" s="14" t="s">
        <v>48</v>
      </c>
      <c r="J253" s="21" t="s">
        <v>87</v>
      </c>
      <c r="K253" s="22" t="s">
        <v>29</v>
      </c>
      <c r="L253" s="23" t="s">
        <v>38</v>
      </c>
      <c r="M253" s="24" t="s">
        <v>140</v>
      </c>
      <c r="N253" s="25" t="s">
        <v>412</v>
      </c>
      <c r="O253" s="26" t="s">
        <v>44</v>
      </c>
      <c r="P253" s="14">
        <v>0.0</v>
      </c>
      <c r="Q253" s="14">
        <v>0.0</v>
      </c>
      <c r="R253" s="27">
        <v>0.0</v>
      </c>
      <c r="S253" s="14">
        <v>1.0</v>
      </c>
      <c r="T253" s="28">
        <v>0.0</v>
      </c>
      <c r="U253" s="33">
        <v>0.0</v>
      </c>
      <c r="V253" s="14">
        <v>0.0</v>
      </c>
      <c r="W253" s="14">
        <v>0.0</v>
      </c>
      <c r="X253" s="25"/>
      <c r="Y253" s="30" t="s">
        <v>44</v>
      </c>
      <c r="Z253" s="25"/>
      <c r="AA253" s="32" t="s">
        <v>33</v>
      </c>
      <c r="AB253" s="25"/>
    </row>
    <row r="254" ht="19.5" hidden="1" customHeight="1">
      <c r="A254" s="14">
        <v>1.0</v>
      </c>
      <c r="B254" s="15">
        <v>45971.0</v>
      </c>
      <c r="C254" s="16" t="s">
        <v>34</v>
      </c>
      <c r="D254" s="17">
        <v>1.0</v>
      </c>
      <c r="E254" s="18">
        <v>0.20833333333333334</v>
      </c>
      <c r="F254" s="34">
        <v>0.7520833333333333</v>
      </c>
      <c r="G254" s="33">
        <v>97.0</v>
      </c>
      <c r="H254" s="14" t="s">
        <v>181</v>
      </c>
      <c r="I254" s="14" t="s">
        <v>88</v>
      </c>
      <c r="J254" s="21" t="s">
        <v>87</v>
      </c>
      <c r="K254" s="22" t="s">
        <v>29</v>
      </c>
      <c r="L254" s="23" t="s">
        <v>54</v>
      </c>
      <c r="M254" s="24" t="s">
        <v>392</v>
      </c>
      <c r="N254" s="25" t="s">
        <v>401</v>
      </c>
      <c r="O254" s="26" t="s">
        <v>44</v>
      </c>
      <c r="P254" s="14">
        <v>0.0</v>
      </c>
      <c r="Q254" s="14">
        <v>0.0</v>
      </c>
      <c r="R254" s="27">
        <v>0.0</v>
      </c>
      <c r="S254" s="14">
        <v>0.0</v>
      </c>
      <c r="T254" s="28">
        <v>0.0</v>
      </c>
      <c r="U254" s="33">
        <v>0.0</v>
      </c>
      <c r="V254" s="14">
        <v>0.0</v>
      </c>
      <c r="W254" s="14">
        <v>0.0</v>
      </c>
      <c r="X254" s="25" t="s">
        <v>44</v>
      </c>
      <c r="Y254" s="30" t="s">
        <v>44</v>
      </c>
      <c r="Z254" s="25" t="s">
        <v>44</v>
      </c>
      <c r="AA254" s="25" t="s">
        <v>44</v>
      </c>
      <c r="AB254" s="25" t="s">
        <v>44</v>
      </c>
    </row>
    <row r="255" ht="19.5" hidden="1" customHeight="1">
      <c r="A255" s="14">
        <v>2.0</v>
      </c>
      <c r="B255" s="15">
        <v>45971.0</v>
      </c>
      <c r="C255" s="16" t="s">
        <v>46</v>
      </c>
      <c r="D255" s="17">
        <v>1.0</v>
      </c>
      <c r="E255" s="18">
        <v>0.22152777777777777</v>
      </c>
      <c r="F255" s="34">
        <v>0.28055555555555556</v>
      </c>
      <c r="G255" s="33">
        <v>22.0</v>
      </c>
      <c r="H255" s="14" t="s">
        <v>66</v>
      </c>
      <c r="I255" s="14" t="s">
        <v>52</v>
      </c>
      <c r="J255" s="21" t="s">
        <v>53</v>
      </c>
      <c r="K255" s="22" t="s">
        <v>42</v>
      </c>
      <c r="L255" s="23" t="s">
        <v>38</v>
      </c>
      <c r="M255" s="24" t="s">
        <v>60</v>
      </c>
      <c r="N255" s="25" t="s">
        <v>209</v>
      </c>
      <c r="O255" s="26" t="s">
        <v>44</v>
      </c>
      <c r="P255" s="14">
        <v>3.0</v>
      </c>
      <c r="Q255" s="14">
        <v>0.0</v>
      </c>
      <c r="R255" s="27">
        <v>0.0</v>
      </c>
      <c r="S255" s="14">
        <v>0.0</v>
      </c>
      <c r="T255" s="28">
        <v>3.0</v>
      </c>
      <c r="U255" s="33">
        <v>0.0</v>
      </c>
      <c r="V255" s="14">
        <v>0.0</v>
      </c>
      <c r="W255" s="14">
        <v>0.0</v>
      </c>
      <c r="X255" s="40" t="s">
        <v>413</v>
      </c>
      <c r="Y255" s="30" t="s">
        <v>85</v>
      </c>
      <c r="Z255" s="40">
        <v>2.313295711406E12</v>
      </c>
      <c r="AA255" s="32" t="s">
        <v>33</v>
      </c>
      <c r="AB255" s="25">
        <v>42.0</v>
      </c>
    </row>
    <row r="256" ht="19.5" hidden="1" customHeight="1">
      <c r="A256" s="14">
        <v>3.0</v>
      </c>
      <c r="B256" s="15">
        <v>45971.0</v>
      </c>
      <c r="C256" s="16" t="s">
        <v>125</v>
      </c>
      <c r="D256" s="17">
        <v>1.0</v>
      </c>
      <c r="E256" s="18">
        <v>0.22916666666666666</v>
      </c>
      <c r="F256" s="34">
        <v>0.2923611111111111</v>
      </c>
      <c r="G256" s="33">
        <v>148.0</v>
      </c>
      <c r="H256" s="14" t="s">
        <v>256</v>
      </c>
      <c r="I256" s="14" t="s">
        <v>36</v>
      </c>
      <c r="J256" s="21" t="s">
        <v>37</v>
      </c>
      <c r="K256" s="22" t="s">
        <v>29</v>
      </c>
      <c r="L256" s="23" t="s">
        <v>54</v>
      </c>
      <c r="M256" s="24" t="s">
        <v>64</v>
      </c>
      <c r="N256" s="25" t="s">
        <v>209</v>
      </c>
      <c r="O256" s="26"/>
      <c r="P256" s="14">
        <v>1.0</v>
      </c>
      <c r="Q256" s="14">
        <v>0.0</v>
      </c>
      <c r="R256" s="27">
        <v>0.0</v>
      </c>
      <c r="S256" s="14">
        <v>0.0</v>
      </c>
      <c r="T256" s="28">
        <v>1.0</v>
      </c>
      <c r="U256" s="33">
        <v>0.0</v>
      </c>
      <c r="V256" s="14">
        <v>0.0</v>
      </c>
      <c r="W256" s="14">
        <v>0.0</v>
      </c>
      <c r="X256" s="40" t="s">
        <v>414</v>
      </c>
      <c r="Y256" s="30" t="s">
        <v>44</v>
      </c>
      <c r="Z256" s="25" t="s">
        <v>415</v>
      </c>
      <c r="AA256" s="25" t="s">
        <v>33</v>
      </c>
      <c r="AB256" s="25" t="s">
        <v>44</v>
      </c>
    </row>
    <row r="257" ht="19.5" hidden="1" customHeight="1">
      <c r="A257" s="14">
        <v>4.0</v>
      </c>
      <c r="B257" s="15">
        <v>45971.0</v>
      </c>
      <c r="C257" s="16" t="s">
        <v>46</v>
      </c>
      <c r="D257" s="17">
        <v>1.0</v>
      </c>
      <c r="E257" s="18">
        <v>0.35138888888888886</v>
      </c>
      <c r="F257" s="34">
        <v>0.42569444444444443</v>
      </c>
      <c r="G257" s="33">
        <v>107.0</v>
      </c>
      <c r="H257" s="14" t="s">
        <v>66</v>
      </c>
      <c r="I257" s="14" t="s">
        <v>52</v>
      </c>
      <c r="J257" s="21" t="s">
        <v>53</v>
      </c>
      <c r="K257" s="22" t="s">
        <v>91</v>
      </c>
      <c r="L257" s="23" t="s">
        <v>38</v>
      </c>
      <c r="M257" s="24" t="s">
        <v>82</v>
      </c>
      <c r="N257" s="25" t="s">
        <v>40</v>
      </c>
      <c r="O257" s="26"/>
      <c r="P257" s="14">
        <v>0.0</v>
      </c>
      <c r="Q257" s="14">
        <v>3.0</v>
      </c>
      <c r="R257" s="27">
        <v>0.0</v>
      </c>
      <c r="S257" s="14">
        <v>3.0</v>
      </c>
      <c r="T257" s="28">
        <v>0.0</v>
      </c>
      <c r="U257" s="33">
        <v>0.0</v>
      </c>
      <c r="V257" s="14">
        <v>0.0</v>
      </c>
      <c r="W257" s="14">
        <v>0.0</v>
      </c>
      <c r="X257" s="25" t="s">
        <v>44</v>
      </c>
      <c r="Y257" s="30" t="s">
        <v>44</v>
      </c>
      <c r="Z257" s="25" t="s">
        <v>45</v>
      </c>
      <c r="AA257" s="25" t="s">
        <v>45</v>
      </c>
      <c r="AB257" s="25" t="s">
        <v>45</v>
      </c>
    </row>
    <row r="258" ht="19.5" hidden="1" customHeight="1">
      <c r="A258" s="14">
        <v>5.0</v>
      </c>
      <c r="B258" s="15">
        <v>45971.0</v>
      </c>
      <c r="C258" s="16" t="s">
        <v>46</v>
      </c>
      <c r="D258" s="17">
        <v>1.0</v>
      </c>
      <c r="E258" s="18">
        <v>0.38958333333333334</v>
      </c>
      <c r="F258" s="34">
        <v>0.40347222222222223</v>
      </c>
      <c r="G258" s="33">
        <v>31.0</v>
      </c>
      <c r="H258" s="14" t="s">
        <v>173</v>
      </c>
      <c r="I258" s="14" t="s">
        <v>59</v>
      </c>
      <c r="J258" s="21" t="s">
        <v>37</v>
      </c>
      <c r="K258" s="22" t="s">
        <v>100</v>
      </c>
      <c r="L258" s="23" t="s">
        <v>54</v>
      </c>
      <c r="M258" s="24" t="s">
        <v>64</v>
      </c>
      <c r="N258" s="25" t="s">
        <v>40</v>
      </c>
      <c r="O258" s="26"/>
      <c r="P258" s="14">
        <v>1.0</v>
      </c>
      <c r="Q258" s="14">
        <v>0.0</v>
      </c>
      <c r="R258" s="27">
        <v>0.0</v>
      </c>
      <c r="S258" s="14">
        <v>0.0</v>
      </c>
      <c r="T258" s="28">
        <v>1.0</v>
      </c>
      <c r="U258" s="33">
        <v>0.0</v>
      </c>
      <c r="V258" s="14">
        <v>0.0</v>
      </c>
      <c r="W258" s="14">
        <v>0.0</v>
      </c>
      <c r="X258" s="25" t="s">
        <v>416</v>
      </c>
      <c r="Y258" s="30" t="s">
        <v>61</v>
      </c>
      <c r="Z258" s="25">
        <v>1.737642230602E12</v>
      </c>
      <c r="AA258" s="32" t="s">
        <v>33</v>
      </c>
      <c r="AB258" s="25">
        <v>47.0</v>
      </c>
    </row>
    <row r="259" ht="19.5" hidden="1" customHeight="1">
      <c r="A259" s="14">
        <v>6.0</v>
      </c>
      <c r="B259" s="15">
        <v>45971.0</v>
      </c>
      <c r="C259" s="16" t="s">
        <v>46</v>
      </c>
      <c r="D259" s="17">
        <v>1.0</v>
      </c>
      <c r="E259" s="18">
        <v>0.4284722222222222</v>
      </c>
      <c r="F259" s="34">
        <v>0.5361111111111111</v>
      </c>
      <c r="G259" s="33">
        <v>39.6</v>
      </c>
      <c r="H259" s="14" t="s">
        <v>173</v>
      </c>
      <c r="I259" s="14" t="s">
        <v>59</v>
      </c>
      <c r="J259" s="21" t="s">
        <v>53</v>
      </c>
      <c r="K259" s="22" t="s">
        <v>75</v>
      </c>
      <c r="L259" s="23" t="s">
        <v>54</v>
      </c>
      <c r="M259" s="24" t="s">
        <v>76</v>
      </c>
      <c r="N259" s="25" t="s">
        <v>40</v>
      </c>
      <c r="O259" s="26"/>
      <c r="P259" s="14">
        <v>0.0</v>
      </c>
      <c r="Q259" s="14">
        <v>0.0</v>
      </c>
      <c r="R259" s="27">
        <v>0.0</v>
      </c>
      <c r="S259" s="14">
        <v>0.0</v>
      </c>
      <c r="T259" s="28">
        <v>0.0</v>
      </c>
      <c r="U259" s="33">
        <v>0.0</v>
      </c>
      <c r="V259" s="14">
        <v>0.0</v>
      </c>
      <c r="W259" s="14">
        <v>0.0</v>
      </c>
      <c r="X259" s="25" t="s">
        <v>44</v>
      </c>
      <c r="Y259" s="30" t="s">
        <v>44</v>
      </c>
      <c r="Z259" s="25" t="s">
        <v>44</v>
      </c>
      <c r="AA259" s="32" t="s">
        <v>45</v>
      </c>
      <c r="AB259" s="25" t="s">
        <v>44</v>
      </c>
    </row>
    <row r="260" ht="19.5" hidden="1" customHeight="1">
      <c r="A260" s="14"/>
      <c r="B260" s="15">
        <v>45971.0</v>
      </c>
      <c r="C260" s="16"/>
      <c r="D260" s="17"/>
      <c r="E260" s="18"/>
      <c r="F260" s="34"/>
      <c r="G260" s="33"/>
      <c r="H260" s="14"/>
      <c r="I260" s="14"/>
      <c r="J260" s="21"/>
      <c r="K260" s="22" t="s">
        <v>63</v>
      </c>
      <c r="L260" s="23"/>
      <c r="M260" s="24"/>
      <c r="N260" s="25"/>
      <c r="O260" s="26"/>
      <c r="P260" s="14">
        <v>1.0</v>
      </c>
      <c r="Q260" s="14">
        <v>0.0</v>
      </c>
      <c r="R260" s="27">
        <v>0.0</v>
      </c>
      <c r="S260" s="14">
        <v>0.0</v>
      </c>
      <c r="T260" s="28">
        <v>1.0</v>
      </c>
      <c r="U260" s="33">
        <v>0.0</v>
      </c>
      <c r="V260" s="14">
        <v>1.0</v>
      </c>
      <c r="W260" s="14">
        <v>0.0</v>
      </c>
      <c r="X260" s="25" t="s">
        <v>44</v>
      </c>
      <c r="Y260" s="30" t="s">
        <v>44</v>
      </c>
      <c r="Z260" s="25" t="s">
        <v>44</v>
      </c>
      <c r="AA260" s="32" t="s">
        <v>33</v>
      </c>
      <c r="AB260" s="25" t="s">
        <v>44</v>
      </c>
    </row>
    <row r="261" ht="19.5" hidden="1" customHeight="1">
      <c r="A261" s="14">
        <v>7.0</v>
      </c>
      <c r="B261" s="15">
        <v>45971.0</v>
      </c>
      <c r="C261" s="16" t="s">
        <v>46</v>
      </c>
      <c r="D261" s="17">
        <v>2.0</v>
      </c>
      <c r="E261" s="18">
        <v>0.43194444444444446</v>
      </c>
      <c r="F261" s="34">
        <v>0.4791666666666667</v>
      </c>
      <c r="G261" s="33">
        <v>106.5</v>
      </c>
      <c r="H261" s="14" t="s">
        <v>66</v>
      </c>
      <c r="I261" s="14" t="s">
        <v>52</v>
      </c>
      <c r="J261" s="21" t="s">
        <v>53</v>
      </c>
      <c r="K261" s="22" t="s">
        <v>109</v>
      </c>
      <c r="L261" s="23" t="s">
        <v>38</v>
      </c>
      <c r="M261" s="24" t="s">
        <v>39</v>
      </c>
      <c r="N261" s="25" t="s">
        <v>40</v>
      </c>
      <c r="O261" s="26"/>
      <c r="P261" s="14">
        <v>1.0</v>
      </c>
      <c r="Q261" s="14">
        <v>0.0</v>
      </c>
      <c r="R261" s="27">
        <v>0.0</v>
      </c>
      <c r="S261" s="14">
        <v>0.0</v>
      </c>
      <c r="T261" s="28">
        <v>1.0</v>
      </c>
      <c r="U261" s="33">
        <v>0.0</v>
      </c>
      <c r="V261" s="14">
        <v>1.0</v>
      </c>
      <c r="W261" s="14">
        <v>0.0</v>
      </c>
      <c r="X261" s="25" t="s">
        <v>44</v>
      </c>
      <c r="Y261" s="30" t="s">
        <v>44</v>
      </c>
      <c r="Z261" s="25" t="s">
        <v>45</v>
      </c>
      <c r="AA261" s="32" t="s">
        <v>33</v>
      </c>
      <c r="AB261" s="25" t="s">
        <v>45</v>
      </c>
    </row>
    <row r="262" ht="19.5" hidden="1" customHeight="1">
      <c r="A262" s="14">
        <v>8.0</v>
      </c>
      <c r="B262" s="15">
        <v>45971.0</v>
      </c>
      <c r="C262" s="16" t="s">
        <v>34</v>
      </c>
      <c r="D262" s="17">
        <v>1.0</v>
      </c>
      <c r="E262" s="18">
        <v>0.4166666666666667</v>
      </c>
      <c r="F262" s="34">
        <v>0.6784722222222223</v>
      </c>
      <c r="G262" s="33">
        <v>89.0</v>
      </c>
      <c r="H262" s="14" t="s">
        <v>35</v>
      </c>
      <c r="I262" s="14" t="s">
        <v>106</v>
      </c>
      <c r="J262" s="21" t="s">
        <v>37</v>
      </c>
      <c r="K262" s="22" t="s">
        <v>29</v>
      </c>
      <c r="L262" s="23" t="s">
        <v>38</v>
      </c>
      <c r="M262" s="24" t="s">
        <v>417</v>
      </c>
      <c r="N262" s="25" t="s">
        <v>40</v>
      </c>
      <c r="O262" s="26"/>
      <c r="P262" s="14">
        <v>1.0</v>
      </c>
      <c r="Q262" s="14">
        <v>0.0</v>
      </c>
      <c r="R262" s="27">
        <v>0.0</v>
      </c>
      <c r="S262" s="14">
        <v>0.0</v>
      </c>
      <c r="T262" s="28">
        <v>1.0</v>
      </c>
      <c r="U262" s="33">
        <v>0.0</v>
      </c>
      <c r="V262" s="14">
        <v>0.0</v>
      </c>
      <c r="W262" s="14">
        <v>0.0</v>
      </c>
      <c r="X262" s="25" t="s">
        <v>45</v>
      </c>
      <c r="Y262" s="30" t="s">
        <v>44</v>
      </c>
      <c r="Z262" s="25" t="s">
        <v>45</v>
      </c>
      <c r="AA262" s="32" t="s">
        <v>33</v>
      </c>
      <c r="AB262" s="25" t="s">
        <v>45</v>
      </c>
    </row>
    <row r="263" ht="19.5" hidden="1" customHeight="1">
      <c r="A263" s="14">
        <v>9.0</v>
      </c>
      <c r="B263" s="15">
        <v>45971.0</v>
      </c>
      <c r="C263" s="16" t="s">
        <v>71</v>
      </c>
      <c r="D263" s="17">
        <v>1.0</v>
      </c>
      <c r="E263" s="18">
        <v>0.4895833333333333</v>
      </c>
      <c r="F263" s="34">
        <v>0.10069444444444445</v>
      </c>
      <c r="G263" s="33">
        <v>187.0</v>
      </c>
      <c r="H263" s="14">
        <v>1135.0</v>
      </c>
      <c r="I263" s="14" t="s">
        <v>228</v>
      </c>
      <c r="J263" s="21" t="s">
        <v>37</v>
      </c>
      <c r="K263" s="22" t="s">
        <v>29</v>
      </c>
      <c r="L263" s="23" t="s">
        <v>38</v>
      </c>
      <c r="M263" s="24" t="s">
        <v>108</v>
      </c>
      <c r="N263" s="25" t="s">
        <v>418</v>
      </c>
      <c r="O263" s="26"/>
      <c r="P263" s="14">
        <v>1.0</v>
      </c>
      <c r="Q263" s="14">
        <v>0.0</v>
      </c>
      <c r="R263" s="27">
        <v>0.0</v>
      </c>
      <c r="S263" s="14">
        <v>0.0</v>
      </c>
      <c r="T263" s="28">
        <v>1.0</v>
      </c>
      <c r="U263" s="33">
        <v>0.0</v>
      </c>
      <c r="V263" s="14">
        <v>0.0</v>
      </c>
      <c r="W263" s="14">
        <v>0.0</v>
      </c>
      <c r="X263" s="35" t="s">
        <v>419</v>
      </c>
      <c r="Y263" s="30" t="s">
        <v>44</v>
      </c>
      <c r="Z263" s="35">
        <v>2.615469020106E12</v>
      </c>
      <c r="AA263" s="32" t="s">
        <v>33</v>
      </c>
      <c r="AB263" s="25">
        <v>33.0</v>
      </c>
    </row>
    <row r="264" ht="19.5" hidden="1" customHeight="1">
      <c r="A264" s="14">
        <v>10.0</v>
      </c>
      <c r="B264" s="15">
        <v>45971.0</v>
      </c>
      <c r="C264" s="16" t="s">
        <v>46</v>
      </c>
      <c r="D264" s="17">
        <v>1.0</v>
      </c>
      <c r="E264" s="18">
        <v>0.4930555555555556</v>
      </c>
      <c r="F264" s="34">
        <v>0.5798611111111112</v>
      </c>
      <c r="G264" s="33">
        <v>18.0</v>
      </c>
      <c r="H264" s="14" t="s">
        <v>62</v>
      </c>
      <c r="I264" s="14" t="s">
        <v>48</v>
      </c>
      <c r="J264" s="21" t="s">
        <v>49</v>
      </c>
      <c r="K264" s="22" t="s">
        <v>29</v>
      </c>
      <c r="L264" s="23" t="s">
        <v>38</v>
      </c>
      <c r="M264" s="24" t="s">
        <v>82</v>
      </c>
      <c r="N264" s="25" t="s">
        <v>325</v>
      </c>
      <c r="O264" s="26"/>
      <c r="P264" s="14">
        <v>1.0</v>
      </c>
      <c r="Q264" s="14">
        <v>0.0</v>
      </c>
      <c r="R264" s="27">
        <v>0.0</v>
      </c>
      <c r="S264" s="14">
        <v>0.0</v>
      </c>
      <c r="T264" s="28">
        <v>1.0</v>
      </c>
      <c r="U264" s="33">
        <v>0.0</v>
      </c>
      <c r="V264" s="14">
        <v>0.0</v>
      </c>
      <c r="W264" s="14">
        <v>0.0</v>
      </c>
      <c r="X264" s="35" t="s">
        <v>420</v>
      </c>
      <c r="Y264" s="30" t="s">
        <v>32</v>
      </c>
      <c r="Z264" s="35">
        <v>1.700795890101E12</v>
      </c>
      <c r="AA264" s="32" t="s">
        <v>33</v>
      </c>
      <c r="AB264" s="25">
        <v>45.0</v>
      </c>
    </row>
    <row r="265" ht="19.5" hidden="1" customHeight="1">
      <c r="A265" s="14">
        <v>11.0</v>
      </c>
      <c r="B265" s="15">
        <v>45971.0</v>
      </c>
      <c r="C265" s="16" t="s">
        <v>71</v>
      </c>
      <c r="D265" s="17">
        <v>1.0</v>
      </c>
      <c r="E265" s="18">
        <v>0.5041666666666667</v>
      </c>
      <c r="F265" s="34">
        <v>0.5763888888888888</v>
      </c>
      <c r="G265" s="33">
        <v>194.0</v>
      </c>
      <c r="H265" s="14" t="s">
        <v>72</v>
      </c>
      <c r="I265" s="14" t="s">
        <v>73</v>
      </c>
      <c r="J265" s="21" t="s">
        <v>87</v>
      </c>
      <c r="K265" s="22" t="s">
        <v>91</v>
      </c>
      <c r="L265" s="23" t="s">
        <v>54</v>
      </c>
      <c r="M265" s="24" t="s">
        <v>64</v>
      </c>
      <c r="N265" s="25" t="s">
        <v>421</v>
      </c>
      <c r="O265" s="26"/>
      <c r="P265" s="14">
        <v>0.0</v>
      </c>
      <c r="Q265" s="14">
        <v>0.0</v>
      </c>
      <c r="R265" s="27">
        <v>0.0</v>
      </c>
      <c r="S265" s="14">
        <v>0.0</v>
      </c>
      <c r="T265" s="28">
        <v>15.0</v>
      </c>
      <c r="U265" s="33">
        <v>0.0</v>
      </c>
      <c r="V265" s="14">
        <v>0.0</v>
      </c>
      <c r="W265" s="14">
        <v>0.0</v>
      </c>
      <c r="X265" s="52" t="s">
        <v>422</v>
      </c>
      <c r="Y265" s="30" t="s">
        <v>115</v>
      </c>
      <c r="Z265" s="52">
        <v>3.36267142330916E14</v>
      </c>
      <c r="AA265" s="32" t="s">
        <v>33</v>
      </c>
      <c r="AB265" s="25" t="s">
        <v>44</v>
      </c>
    </row>
    <row r="266" ht="19.5" hidden="1" customHeight="1">
      <c r="A266" s="14">
        <v>12.0</v>
      </c>
      <c r="B266" s="15">
        <v>45971.0</v>
      </c>
      <c r="C266" s="16" t="s">
        <v>78</v>
      </c>
      <c r="D266" s="17">
        <v>1.0</v>
      </c>
      <c r="E266" s="18">
        <v>0.5972222222222222</v>
      </c>
      <c r="F266" s="34">
        <v>0.8118055555555556</v>
      </c>
      <c r="G266" s="33">
        <v>415.0</v>
      </c>
      <c r="H266" s="14" t="s">
        <v>79</v>
      </c>
      <c r="I266" s="14" t="s">
        <v>80</v>
      </c>
      <c r="J266" s="21" t="s">
        <v>87</v>
      </c>
      <c r="K266" s="22" t="s">
        <v>29</v>
      </c>
      <c r="L266" s="23" t="s">
        <v>38</v>
      </c>
      <c r="M266" s="24" t="s">
        <v>82</v>
      </c>
      <c r="N266" s="25" t="s">
        <v>159</v>
      </c>
      <c r="O266" s="26"/>
      <c r="P266" s="14">
        <v>2.0</v>
      </c>
      <c r="Q266" s="14">
        <v>0.0</v>
      </c>
      <c r="R266" s="27">
        <v>0.0</v>
      </c>
      <c r="S266" s="14">
        <v>0.0</v>
      </c>
      <c r="T266" s="28">
        <v>2.0</v>
      </c>
      <c r="U266" s="33">
        <v>0.0</v>
      </c>
      <c r="V266" s="14">
        <v>0.0</v>
      </c>
      <c r="W266" s="14">
        <v>0.0</v>
      </c>
      <c r="X266" s="35" t="s">
        <v>423</v>
      </c>
      <c r="Y266" s="30" t="s">
        <v>32</v>
      </c>
      <c r="Z266" s="35">
        <v>1.995449990101E12</v>
      </c>
      <c r="AA266" s="32" t="s">
        <v>33</v>
      </c>
      <c r="AB266" s="25">
        <v>44.0</v>
      </c>
    </row>
    <row r="267" ht="19.5" hidden="1" customHeight="1">
      <c r="A267" s="14">
        <v>13.0</v>
      </c>
      <c r="B267" s="15">
        <v>45971.0</v>
      </c>
      <c r="C267" s="16" t="s">
        <v>46</v>
      </c>
      <c r="D267" s="17">
        <v>1.0</v>
      </c>
      <c r="E267" s="18">
        <v>0.6090277777777777</v>
      </c>
      <c r="F267" s="34">
        <v>0.6256944444444444</v>
      </c>
      <c r="G267" s="33">
        <v>43.0</v>
      </c>
      <c r="H267" s="14" t="s">
        <v>173</v>
      </c>
      <c r="I267" s="14" t="s">
        <v>59</v>
      </c>
      <c r="J267" s="21" t="s">
        <v>37</v>
      </c>
      <c r="K267" s="22" t="s">
        <v>100</v>
      </c>
      <c r="L267" s="23" t="s">
        <v>54</v>
      </c>
      <c r="M267" s="24" t="s">
        <v>64</v>
      </c>
      <c r="N267" s="25" t="s">
        <v>40</v>
      </c>
      <c r="O267" s="26"/>
      <c r="P267" s="14">
        <v>1.0</v>
      </c>
      <c r="Q267" s="14">
        <v>0.0</v>
      </c>
      <c r="R267" s="27">
        <v>0.0</v>
      </c>
      <c r="S267" s="14">
        <v>0.0</v>
      </c>
      <c r="T267" s="28">
        <v>1.0</v>
      </c>
      <c r="U267" s="33">
        <v>0.0</v>
      </c>
      <c r="V267" s="14">
        <v>0.0</v>
      </c>
      <c r="W267" s="14">
        <v>0.0</v>
      </c>
      <c r="X267" s="35" t="s">
        <v>424</v>
      </c>
      <c r="Y267" s="30" t="s">
        <v>61</v>
      </c>
      <c r="Z267" s="35">
        <v>2.663055710116E12</v>
      </c>
      <c r="AA267" s="32" t="s">
        <v>33</v>
      </c>
      <c r="AB267" s="25">
        <v>30.0</v>
      </c>
    </row>
    <row r="268" ht="19.5" hidden="1" customHeight="1">
      <c r="A268" s="14">
        <v>14.0</v>
      </c>
      <c r="B268" s="15">
        <v>45971.0</v>
      </c>
      <c r="C268" s="16" t="s">
        <v>46</v>
      </c>
      <c r="D268" s="17">
        <v>1.0</v>
      </c>
      <c r="E268" s="18">
        <v>0.6131944444444445</v>
      </c>
      <c r="F268" s="34">
        <v>0.12152777777777778</v>
      </c>
      <c r="G268" s="20">
        <v>45773.0</v>
      </c>
      <c r="H268" s="14" t="s">
        <v>47</v>
      </c>
      <c r="I268" s="14" t="s">
        <v>88</v>
      </c>
      <c r="J268" s="21" t="s">
        <v>87</v>
      </c>
      <c r="K268" s="22" t="s">
        <v>42</v>
      </c>
      <c r="L268" s="23" t="s">
        <v>38</v>
      </c>
      <c r="M268" s="24" t="s">
        <v>82</v>
      </c>
      <c r="N268" s="25" t="s">
        <v>396</v>
      </c>
      <c r="O268" s="26"/>
      <c r="P268" s="14">
        <v>1.0</v>
      </c>
      <c r="Q268" s="14">
        <v>0.0</v>
      </c>
      <c r="R268" s="27">
        <v>0.0</v>
      </c>
      <c r="S268" s="14">
        <v>0.0</v>
      </c>
      <c r="T268" s="28">
        <v>1.0</v>
      </c>
      <c r="U268" s="33">
        <v>0.0</v>
      </c>
      <c r="V268" s="14">
        <v>0.0</v>
      </c>
      <c r="W268" s="14">
        <v>0.0</v>
      </c>
      <c r="X268" s="35" t="s">
        <v>425</v>
      </c>
      <c r="Y268" s="30" t="s">
        <v>32</v>
      </c>
      <c r="Z268" s="35">
        <v>2.490430092207E12</v>
      </c>
      <c r="AA268" s="32" t="s">
        <v>33</v>
      </c>
      <c r="AB268" s="25">
        <v>41.0</v>
      </c>
    </row>
    <row r="269" ht="19.5" hidden="1" customHeight="1">
      <c r="A269" s="14">
        <v>15.0</v>
      </c>
      <c r="B269" s="15">
        <v>45971.0</v>
      </c>
      <c r="C269" s="16" t="s">
        <v>46</v>
      </c>
      <c r="D269" s="17">
        <v>1.0</v>
      </c>
      <c r="E269" s="18">
        <v>0.7069444444444445</v>
      </c>
      <c r="F269" s="34">
        <v>0.7173611111111111</v>
      </c>
      <c r="G269" s="33">
        <v>57.7</v>
      </c>
      <c r="H269" s="14" t="s">
        <v>66</v>
      </c>
      <c r="I269" s="14" t="s">
        <v>52</v>
      </c>
      <c r="J269" s="21" t="s">
        <v>53</v>
      </c>
      <c r="K269" s="22" t="s">
        <v>63</v>
      </c>
      <c r="L269" s="23" t="s">
        <v>54</v>
      </c>
      <c r="M269" s="24" t="s">
        <v>131</v>
      </c>
      <c r="N269" s="25" t="s">
        <v>396</v>
      </c>
      <c r="O269" s="26"/>
      <c r="P269" s="14">
        <v>2.0</v>
      </c>
      <c r="Q269" s="14">
        <v>0.0</v>
      </c>
      <c r="R269" s="27">
        <v>0.0</v>
      </c>
      <c r="S269" s="14">
        <v>0.0</v>
      </c>
      <c r="T269" s="28">
        <v>2.0</v>
      </c>
      <c r="U269" s="33">
        <v>0.0</v>
      </c>
      <c r="V269" s="14">
        <v>0.0</v>
      </c>
      <c r="W269" s="14">
        <v>0.0</v>
      </c>
      <c r="X269" s="35" t="s">
        <v>426</v>
      </c>
      <c r="Y269" s="30" t="s">
        <v>61</v>
      </c>
      <c r="Z269" s="35">
        <v>3.064043540401E12</v>
      </c>
      <c r="AA269" s="32" t="s">
        <v>33</v>
      </c>
      <c r="AB269" s="25">
        <v>27.0</v>
      </c>
    </row>
    <row r="270" ht="19.5" hidden="1" customHeight="1">
      <c r="A270" s="14">
        <v>16.0</v>
      </c>
      <c r="B270" s="15">
        <v>45971.0</v>
      </c>
      <c r="C270" s="16" t="s">
        <v>46</v>
      </c>
      <c r="D270" s="17">
        <v>1.0</v>
      </c>
      <c r="E270" s="18">
        <v>0.7486111111111111</v>
      </c>
      <c r="F270" s="34">
        <v>0.7805555555555556</v>
      </c>
      <c r="G270" s="33">
        <v>57.0</v>
      </c>
      <c r="H270" s="14" t="s">
        <v>139</v>
      </c>
      <c r="I270" s="14" t="s">
        <v>233</v>
      </c>
      <c r="J270" s="21" t="s">
        <v>53</v>
      </c>
      <c r="K270" s="22" t="s">
        <v>81</v>
      </c>
      <c r="L270" s="23" t="s">
        <v>54</v>
      </c>
      <c r="M270" s="24" t="s">
        <v>64</v>
      </c>
      <c r="N270" s="25" t="s">
        <v>40</v>
      </c>
      <c r="O270" s="26" t="s">
        <v>44</v>
      </c>
      <c r="P270" s="14">
        <v>1.0</v>
      </c>
      <c r="Q270" s="14">
        <v>0.0</v>
      </c>
      <c r="R270" s="27">
        <v>0.0</v>
      </c>
      <c r="S270" s="14">
        <v>0.0</v>
      </c>
      <c r="T270" s="28">
        <v>0.0</v>
      </c>
      <c r="U270" s="33">
        <v>0.0</v>
      </c>
      <c r="V270" s="14">
        <v>0.0</v>
      </c>
      <c r="W270" s="14">
        <v>0.0</v>
      </c>
      <c r="X270" s="25" t="s">
        <v>427</v>
      </c>
      <c r="Y270" s="30" t="s">
        <v>32</v>
      </c>
      <c r="Z270" s="25">
        <v>2.486042952102E12</v>
      </c>
      <c r="AA270" s="32" t="s">
        <v>33</v>
      </c>
      <c r="AB270" s="25">
        <v>38.0</v>
      </c>
    </row>
    <row r="271" ht="19.5" hidden="1" customHeight="1">
      <c r="A271" s="14"/>
      <c r="B271" s="15">
        <v>45971.0</v>
      </c>
      <c r="C271" s="16"/>
      <c r="D271" s="17"/>
      <c r="E271" s="18"/>
      <c r="F271" s="34"/>
      <c r="G271" s="33"/>
      <c r="H271" s="14"/>
      <c r="I271" s="14"/>
      <c r="J271" s="21"/>
      <c r="K271" s="22" t="s">
        <v>89</v>
      </c>
      <c r="L271" s="23"/>
      <c r="M271" s="24"/>
      <c r="N271" s="25"/>
      <c r="O271" s="26"/>
      <c r="P271" s="14">
        <v>1.0</v>
      </c>
      <c r="Q271" s="14">
        <v>0.0</v>
      </c>
      <c r="R271" s="27">
        <v>0.0</v>
      </c>
      <c r="S271" s="14" t="s">
        <v>428</v>
      </c>
      <c r="T271" s="28">
        <v>1.0</v>
      </c>
      <c r="U271" s="33">
        <v>0.0</v>
      </c>
      <c r="V271" s="14">
        <v>0.0</v>
      </c>
      <c r="W271" s="14">
        <v>0.0</v>
      </c>
      <c r="X271" s="25" t="s">
        <v>429</v>
      </c>
      <c r="Y271" s="30" t="s">
        <v>115</v>
      </c>
      <c r="Z271" s="25">
        <v>3.079801110605E12</v>
      </c>
      <c r="AA271" s="32" t="s">
        <v>33</v>
      </c>
      <c r="AB271" s="25">
        <v>27.0</v>
      </c>
    </row>
    <row r="272" ht="19.5" hidden="1" customHeight="1">
      <c r="A272" s="14"/>
      <c r="B272" s="15">
        <v>45971.0</v>
      </c>
      <c r="C272" s="16"/>
      <c r="D272" s="17"/>
      <c r="E272" s="18"/>
      <c r="F272" s="34"/>
      <c r="G272" s="33"/>
      <c r="H272" s="14"/>
      <c r="I272" s="14"/>
      <c r="J272" s="21"/>
      <c r="K272" s="22" t="s">
        <v>63</v>
      </c>
      <c r="L272" s="23"/>
      <c r="M272" s="24"/>
      <c r="N272" s="25"/>
      <c r="O272" s="26"/>
      <c r="P272" s="14">
        <v>1.0</v>
      </c>
      <c r="Q272" s="14">
        <v>0.0</v>
      </c>
      <c r="R272" s="27">
        <v>0.0</v>
      </c>
      <c r="S272" s="33">
        <v>0.0</v>
      </c>
      <c r="T272" s="28">
        <v>1.0</v>
      </c>
      <c r="U272" s="33">
        <v>0.0</v>
      </c>
      <c r="V272" s="14">
        <v>0.0</v>
      </c>
      <c r="W272" s="14">
        <v>0.0</v>
      </c>
      <c r="X272" s="25" t="s">
        <v>430</v>
      </c>
      <c r="Y272" s="30" t="s">
        <v>85</v>
      </c>
      <c r="Z272" s="25">
        <v>2.6288135570101E13</v>
      </c>
      <c r="AA272" s="32" t="s">
        <v>33</v>
      </c>
      <c r="AB272" s="25">
        <v>41.0</v>
      </c>
    </row>
    <row r="273" ht="19.5" hidden="1" customHeight="1">
      <c r="A273" s="14">
        <v>17.0</v>
      </c>
      <c r="B273" s="15">
        <v>45971.0</v>
      </c>
      <c r="C273" s="16" t="s">
        <v>46</v>
      </c>
      <c r="D273" s="17">
        <v>3.0</v>
      </c>
      <c r="E273" s="18">
        <v>0.74375</v>
      </c>
      <c r="F273" s="34">
        <v>0.7569444444444444</v>
      </c>
      <c r="G273" s="33">
        <v>24.0</v>
      </c>
      <c r="H273" s="14" t="s">
        <v>173</v>
      </c>
      <c r="I273" s="14" t="s">
        <v>59</v>
      </c>
      <c r="J273" s="21" t="s">
        <v>37</v>
      </c>
      <c r="K273" s="22" t="s">
        <v>42</v>
      </c>
      <c r="L273" s="23" t="s">
        <v>38</v>
      </c>
      <c r="M273" s="24" t="s">
        <v>288</v>
      </c>
      <c r="N273" s="25" t="s">
        <v>40</v>
      </c>
      <c r="O273" s="26"/>
      <c r="P273" s="14">
        <v>1.0</v>
      </c>
      <c r="Q273" s="14">
        <v>0.0</v>
      </c>
      <c r="R273" s="27">
        <v>0.0</v>
      </c>
      <c r="S273" s="33">
        <v>0.0</v>
      </c>
      <c r="T273" s="28">
        <v>1.0</v>
      </c>
      <c r="U273" s="33">
        <v>0.0</v>
      </c>
      <c r="V273" s="14">
        <v>0.0</v>
      </c>
      <c r="W273" s="14">
        <v>0.0</v>
      </c>
      <c r="X273" s="25" t="s">
        <v>431</v>
      </c>
      <c r="Y273" s="30" t="s">
        <v>32</v>
      </c>
      <c r="Z273" s="25">
        <v>2.52744918011E12</v>
      </c>
      <c r="AA273" s="32" t="s">
        <v>33</v>
      </c>
      <c r="AB273" s="25">
        <v>68.0</v>
      </c>
    </row>
    <row r="274" ht="19.5" hidden="1" customHeight="1">
      <c r="A274" s="14">
        <v>18.0</v>
      </c>
      <c r="B274" s="15">
        <v>45971.0</v>
      </c>
      <c r="C274" s="16" t="s">
        <v>125</v>
      </c>
      <c r="D274" s="17">
        <v>1.0</v>
      </c>
      <c r="E274" s="18">
        <v>0.7784722222222222</v>
      </c>
      <c r="F274" s="34">
        <v>0.8298611111111112</v>
      </c>
      <c r="G274" s="33">
        <v>132.0</v>
      </c>
      <c r="H274" s="14" t="s">
        <v>126</v>
      </c>
      <c r="I274" s="14" t="s">
        <v>36</v>
      </c>
      <c r="J274" s="21" t="s">
        <v>53</v>
      </c>
      <c r="K274" s="22" t="s">
        <v>91</v>
      </c>
      <c r="L274" s="23" t="s">
        <v>54</v>
      </c>
      <c r="M274" s="24" t="s">
        <v>64</v>
      </c>
      <c r="N274" s="25" t="s">
        <v>83</v>
      </c>
      <c r="O274" s="26"/>
      <c r="P274" s="14">
        <v>12.0</v>
      </c>
      <c r="Q274" s="14">
        <v>0.0</v>
      </c>
      <c r="R274" s="27">
        <v>0.0</v>
      </c>
      <c r="S274" s="33">
        <v>0.0</v>
      </c>
      <c r="T274" s="28">
        <v>12.0</v>
      </c>
      <c r="U274" s="33">
        <v>0.0</v>
      </c>
      <c r="V274" s="14">
        <v>0.0</v>
      </c>
      <c r="W274" s="14">
        <v>0.0</v>
      </c>
      <c r="X274" s="25" t="s">
        <v>432</v>
      </c>
      <c r="Y274" s="30" t="s">
        <v>32</v>
      </c>
      <c r="Z274" s="25">
        <v>1.820017170101E12</v>
      </c>
      <c r="AA274" s="32" t="s">
        <v>33</v>
      </c>
      <c r="AB274" s="25">
        <v>49.0</v>
      </c>
    </row>
    <row r="275" ht="19.5" hidden="1" customHeight="1">
      <c r="A275" s="14">
        <v>19.0</v>
      </c>
      <c r="B275" s="15">
        <v>45971.0</v>
      </c>
      <c r="C275" s="16" t="s">
        <v>46</v>
      </c>
      <c r="D275" s="17">
        <v>1.0</v>
      </c>
      <c r="E275" s="18">
        <v>0.7951388888888888</v>
      </c>
      <c r="F275" s="34">
        <v>0.8395833333333333</v>
      </c>
      <c r="G275" s="33">
        <v>33.0</v>
      </c>
      <c r="H275" s="14" t="s">
        <v>150</v>
      </c>
      <c r="I275" s="14" t="s">
        <v>433</v>
      </c>
      <c r="J275" s="21" t="s">
        <v>49</v>
      </c>
      <c r="K275" s="22" t="s">
        <v>91</v>
      </c>
      <c r="L275" s="23" t="s">
        <v>54</v>
      </c>
      <c r="M275" s="24" t="s">
        <v>64</v>
      </c>
      <c r="N275" s="25" t="s">
        <v>40</v>
      </c>
      <c r="O275" s="26"/>
      <c r="P275" s="14">
        <v>20.0</v>
      </c>
      <c r="Q275" s="14">
        <v>0.0</v>
      </c>
      <c r="R275" s="27">
        <v>0.0</v>
      </c>
      <c r="S275" s="33">
        <v>0.0</v>
      </c>
      <c r="T275" s="28">
        <v>20.0</v>
      </c>
      <c r="U275" s="33">
        <v>0.0</v>
      </c>
      <c r="V275" s="14">
        <v>0.0</v>
      </c>
      <c r="W275" s="14">
        <v>0.0</v>
      </c>
      <c r="X275" s="25" t="s">
        <v>434</v>
      </c>
      <c r="Y275" s="30" t="s">
        <v>61</v>
      </c>
      <c r="Z275" s="25">
        <v>2.869221500415E12</v>
      </c>
      <c r="AA275" s="32" t="s">
        <v>33</v>
      </c>
      <c r="AB275" s="25">
        <v>38.0</v>
      </c>
    </row>
    <row r="276" ht="19.5" hidden="1" customHeight="1">
      <c r="A276" s="14">
        <v>1.0</v>
      </c>
      <c r="B276" s="15">
        <v>45972.0</v>
      </c>
      <c r="C276" s="16" t="s">
        <v>128</v>
      </c>
      <c r="D276" s="17">
        <v>1.0</v>
      </c>
      <c r="E276" s="18">
        <v>0.06180555555555556</v>
      </c>
      <c r="F276" s="34">
        <v>0.12569444444444444</v>
      </c>
      <c r="G276" s="33">
        <v>18.0</v>
      </c>
      <c r="H276" s="14" t="s">
        <v>129</v>
      </c>
      <c r="I276" s="14" t="s">
        <v>48</v>
      </c>
      <c r="J276" s="21" t="s">
        <v>49</v>
      </c>
      <c r="K276" s="22" t="s">
        <v>29</v>
      </c>
      <c r="L276" s="23" t="s">
        <v>38</v>
      </c>
      <c r="M276" s="24" t="s">
        <v>82</v>
      </c>
      <c r="N276" s="25" t="s">
        <v>40</v>
      </c>
      <c r="O276" s="26"/>
      <c r="P276" s="14">
        <v>0.0</v>
      </c>
      <c r="Q276" s="14">
        <v>0.0</v>
      </c>
      <c r="R276" s="27">
        <v>0.0</v>
      </c>
      <c r="S276" s="33">
        <v>0.0</v>
      </c>
      <c r="T276" s="28">
        <v>1.0</v>
      </c>
      <c r="U276" s="33">
        <v>0.0</v>
      </c>
      <c r="V276" s="14">
        <v>0.0</v>
      </c>
      <c r="W276" s="14">
        <v>0.0</v>
      </c>
      <c r="X276" s="25" t="s">
        <v>435</v>
      </c>
      <c r="Y276" s="30" t="s">
        <v>32</v>
      </c>
      <c r="Z276" s="25">
        <v>2.576092960501E12</v>
      </c>
      <c r="AA276" s="32" t="s">
        <v>33</v>
      </c>
      <c r="AB276" s="25">
        <v>45.0</v>
      </c>
    </row>
    <row r="277" ht="19.5" hidden="1" customHeight="1">
      <c r="A277" s="14">
        <v>2.0</v>
      </c>
      <c r="B277" s="15">
        <v>45972.0</v>
      </c>
      <c r="C277" s="16" t="s">
        <v>125</v>
      </c>
      <c r="D277" s="17">
        <v>1.0</v>
      </c>
      <c r="E277" s="18">
        <v>0.06180555555555556</v>
      </c>
      <c r="F277" s="34">
        <v>0.4583333333333333</v>
      </c>
      <c r="G277" s="33">
        <v>132.0</v>
      </c>
      <c r="H277" s="14" t="s">
        <v>126</v>
      </c>
      <c r="I277" s="14" t="s">
        <v>36</v>
      </c>
      <c r="J277" s="21" t="s">
        <v>53</v>
      </c>
      <c r="K277" s="22" t="s">
        <v>29</v>
      </c>
      <c r="L277" s="23" t="s">
        <v>38</v>
      </c>
      <c r="M277" s="24" t="s">
        <v>108</v>
      </c>
      <c r="N277" s="25" t="s">
        <v>159</v>
      </c>
      <c r="O277" s="26" t="s">
        <v>44</v>
      </c>
      <c r="P277" s="14">
        <v>0.0</v>
      </c>
      <c r="Q277" s="14">
        <v>0.0</v>
      </c>
      <c r="R277" s="27">
        <v>0.0</v>
      </c>
      <c r="S277" s="33">
        <v>0.0</v>
      </c>
      <c r="T277" s="28">
        <v>1.0</v>
      </c>
      <c r="U277" s="33">
        <v>0.0</v>
      </c>
      <c r="V277" s="14">
        <v>0.0</v>
      </c>
      <c r="W277" s="14">
        <v>0.0</v>
      </c>
      <c r="X277" s="25" t="s">
        <v>436</v>
      </c>
      <c r="Y277" s="30" t="s">
        <v>32</v>
      </c>
      <c r="Z277" s="25">
        <v>2.548144680513E12</v>
      </c>
      <c r="AA277" s="32" t="s">
        <v>33</v>
      </c>
      <c r="AB277" s="25">
        <v>52.0</v>
      </c>
    </row>
    <row r="278" ht="19.5" hidden="1" customHeight="1">
      <c r="A278" s="14">
        <v>3.0</v>
      </c>
      <c r="B278" s="15">
        <v>45972.0</v>
      </c>
      <c r="C278" s="16" t="s">
        <v>46</v>
      </c>
      <c r="D278" s="17">
        <v>1.0</v>
      </c>
      <c r="E278" s="18">
        <v>0.24166666666666667</v>
      </c>
      <c r="F278" s="34">
        <v>0.4111111111111111</v>
      </c>
      <c r="G278" s="33">
        <v>30.0</v>
      </c>
      <c r="H278" s="14" t="s">
        <v>99</v>
      </c>
      <c r="I278" s="14" t="s">
        <v>48</v>
      </c>
      <c r="J278" s="21" t="s">
        <v>87</v>
      </c>
      <c r="K278" s="22" t="s">
        <v>29</v>
      </c>
      <c r="L278" s="23" t="s">
        <v>38</v>
      </c>
      <c r="M278" s="24" t="s">
        <v>140</v>
      </c>
      <c r="N278" s="25" t="s">
        <v>396</v>
      </c>
      <c r="O278" s="26"/>
      <c r="P278" s="14">
        <v>2.0</v>
      </c>
      <c r="Q278" s="14">
        <v>0.0</v>
      </c>
      <c r="R278" s="27">
        <v>0.0</v>
      </c>
      <c r="S278" s="33">
        <v>0.0</v>
      </c>
      <c r="T278" s="28">
        <v>2.0</v>
      </c>
      <c r="U278" s="33">
        <v>0.0</v>
      </c>
      <c r="V278" s="14">
        <v>0.0</v>
      </c>
      <c r="W278" s="14">
        <v>0.0</v>
      </c>
      <c r="X278" s="25" t="s">
        <v>437</v>
      </c>
      <c r="Y278" s="30" t="s">
        <v>32</v>
      </c>
      <c r="Z278" s="35">
        <v>2.508340300101E12</v>
      </c>
      <c r="AA278" s="32" t="s">
        <v>33</v>
      </c>
      <c r="AB278" s="25">
        <v>35.0</v>
      </c>
    </row>
    <row r="279" ht="19.5" hidden="1" customHeight="1">
      <c r="A279" s="14"/>
      <c r="B279" s="15">
        <v>45972.0</v>
      </c>
      <c r="C279" s="16"/>
      <c r="D279" s="17"/>
      <c r="E279" s="18"/>
      <c r="F279" s="34"/>
      <c r="G279" s="33"/>
      <c r="H279" s="14"/>
      <c r="I279" s="14"/>
      <c r="J279" s="21"/>
      <c r="K279" s="22" t="s">
        <v>42</v>
      </c>
      <c r="L279" s="23"/>
      <c r="M279" s="24"/>
      <c r="N279" s="25"/>
      <c r="O279" s="26"/>
      <c r="P279" s="14">
        <v>0.0</v>
      </c>
      <c r="Q279" s="14">
        <v>0.0</v>
      </c>
      <c r="R279" s="27">
        <v>0.0</v>
      </c>
      <c r="S279" s="33">
        <v>0.0</v>
      </c>
      <c r="T279" s="28">
        <v>1.0</v>
      </c>
      <c r="U279" s="33">
        <v>0.0</v>
      </c>
      <c r="V279" s="14">
        <v>0.0</v>
      </c>
      <c r="W279" s="14">
        <v>0.0</v>
      </c>
      <c r="X279" s="35" t="s">
        <v>438</v>
      </c>
      <c r="Y279" s="30" t="s">
        <v>44</v>
      </c>
      <c r="Z279" s="25" t="s">
        <v>44</v>
      </c>
      <c r="AA279" s="32" t="s">
        <v>33</v>
      </c>
      <c r="AB279" s="25">
        <v>33.0</v>
      </c>
    </row>
    <row r="280" ht="19.5" hidden="1" customHeight="1">
      <c r="A280" s="14">
        <v>4.0</v>
      </c>
      <c r="B280" s="15">
        <v>45972.0</v>
      </c>
      <c r="C280" s="16" t="s">
        <v>46</v>
      </c>
      <c r="D280" s="17">
        <v>2.0</v>
      </c>
      <c r="E280" s="18">
        <v>0.33541666666666664</v>
      </c>
      <c r="F280" s="34">
        <v>0.43680555555555556</v>
      </c>
      <c r="G280" s="33">
        <v>67.5</v>
      </c>
      <c r="H280" s="14" t="s">
        <v>147</v>
      </c>
      <c r="I280" s="14" t="s">
        <v>52</v>
      </c>
      <c r="J280" s="21" t="s">
        <v>37</v>
      </c>
      <c r="K280" s="22" t="s">
        <v>89</v>
      </c>
      <c r="L280" s="23" t="s">
        <v>38</v>
      </c>
      <c r="M280" s="24" t="s">
        <v>39</v>
      </c>
      <c r="N280" s="25" t="s">
        <v>439</v>
      </c>
      <c r="O280" s="26"/>
      <c r="P280" s="14">
        <v>0.0</v>
      </c>
      <c r="Q280" s="14">
        <v>0.0</v>
      </c>
      <c r="R280" s="27">
        <v>1.0</v>
      </c>
      <c r="S280" s="33">
        <v>0.0</v>
      </c>
      <c r="T280" s="28">
        <v>0.0</v>
      </c>
      <c r="U280" s="33">
        <v>0.0</v>
      </c>
      <c r="V280" s="14">
        <v>0.0</v>
      </c>
      <c r="W280" s="14">
        <v>0.0</v>
      </c>
      <c r="X280" s="25" t="s">
        <v>44</v>
      </c>
      <c r="Y280" s="30" t="s">
        <v>44</v>
      </c>
      <c r="Z280" s="25" t="s">
        <v>44</v>
      </c>
      <c r="AA280" s="32" t="s">
        <v>45</v>
      </c>
      <c r="AB280" s="25" t="s">
        <v>44</v>
      </c>
    </row>
    <row r="281" ht="19.5" hidden="1" customHeight="1">
      <c r="A281" s="14">
        <v>5.0</v>
      </c>
      <c r="B281" s="15">
        <v>45972.0</v>
      </c>
      <c r="C281" s="16" t="s">
        <v>46</v>
      </c>
      <c r="D281" s="17" t="s">
        <v>50</v>
      </c>
      <c r="E281" s="18">
        <v>0.3736111111111111</v>
      </c>
      <c r="F281" s="34">
        <v>0.5263888888888889</v>
      </c>
      <c r="G281" s="33">
        <v>39.6</v>
      </c>
      <c r="H281" s="14" t="s">
        <v>94</v>
      </c>
      <c r="I281" s="14" t="s">
        <v>59</v>
      </c>
      <c r="J281" s="21" t="s">
        <v>53</v>
      </c>
      <c r="K281" s="22" t="s">
        <v>75</v>
      </c>
      <c r="L281" s="23" t="s">
        <v>54</v>
      </c>
      <c r="M281" s="24" t="s">
        <v>76</v>
      </c>
      <c r="N281" s="25" t="s">
        <v>440</v>
      </c>
      <c r="O281" s="26"/>
      <c r="P281" s="14">
        <v>0.0</v>
      </c>
      <c r="Q281" s="14">
        <v>0.0</v>
      </c>
      <c r="R281" s="27">
        <v>0.0</v>
      </c>
      <c r="S281" s="33">
        <v>0.0</v>
      </c>
      <c r="T281" s="28">
        <v>0.0</v>
      </c>
      <c r="U281" s="33">
        <v>0.0</v>
      </c>
      <c r="V281" s="14">
        <v>0.0</v>
      </c>
      <c r="W281" s="14">
        <v>0.0</v>
      </c>
      <c r="X281" s="25" t="s">
        <v>44</v>
      </c>
      <c r="Y281" s="30" t="s">
        <v>44</v>
      </c>
      <c r="Z281" s="25" t="s">
        <v>44</v>
      </c>
      <c r="AA281" s="32" t="s">
        <v>45</v>
      </c>
      <c r="AB281" s="25" t="s">
        <v>44</v>
      </c>
    </row>
    <row r="282" ht="19.5" hidden="1" customHeight="1">
      <c r="A282" s="14"/>
      <c r="B282" s="15">
        <v>45972.0</v>
      </c>
      <c r="C282" s="16"/>
      <c r="D282" s="17"/>
      <c r="E282" s="18"/>
      <c r="F282" s="34"/>
      <c r="G282" s="33"/>
      <c r="H282" s="14"/>
      <c r="I282" s="14"/>
      <c r="J282" s="21"/>
      <c r="K282" s="22" t="s">
        <v>81</v>
      </c>
      <c r="L282" s="23"/>
      <c r="M282" s="24"/>
      <c r="N282" s="25"/>
      <c r="O282" s="26" t="s">
        <v>30</v>
      </c>
      <c r="P282" s="14">
        <v>0.0</v>
      </c>
      <c r="Q282" s="14">
        <v>0.0</v>
      </c>
      <c r="R282" s="27">
        <v>0.0</v>
      </c>
      <c r="S282" s="33">
        <v>0.0</v>
      </c>
      <c r="T282" s="28">
        <v>1.0</v>
      </c>
      <c r="U282" s="33">
        <v>0.0</v>
      </c>
      <c r="V282" s="14">
        <v>0.0</v>
      </c>
      <c r="W282" s="14">
        <v>0.0</v>
      </c>
      <c r="X282" s="25" t="s">
        <v>44</v>
      </c>
      <c r="Y282" s="30" t="s">
        <v>61</v>
      </c>
      <c r="Z282" s="25">
        <v>2.926607890101E12</v>
      </c>
      <c r="AA282" s="32" t="s">
        <v>33</v>
      </c>
      <c r="AB282" s="25">
        <v>41.0</v>
      </c>
    </row>
    <row r="283" ht="19.5" hidden="1" customHeight="1">
      <c r="A283" s="14">
        <v>6.0</v>
      </c>
      <c r="B283" s="15">
        <v>45972.0</v>
      </c>
      <c r="C283" s="16" t="s">
        <v>243</v>
      </c>
      <c r="D283" s="17">
        <v>2.0</v>
      </c>
      <c r="E283" s="18">
        <v>0.38333333333333336</v>
      </c>
      <c r="F283" s="34">
        <v>0.6597222222222222</v>
      </c>
      <c r="G283" s="33">
        <v>232.0</v>
      </c>
      <c r="H283" s="14" t="s">
        <v>249</v>
      </c>
      <c r="I283" s="14" t="s">
        <v>48</v>
      </c>
      <c r="J283" s="21" t="s">
        <v>49</v>
      </c>
      <c r="K283" s="22" t="s">
        <v>63</v>
      </c>
      <c r="L283" s="23" t="s">
        <v>38</v>
      </c>
      <c r="M283" s="24" t="s">
        <v>39</v>
      </c>
      <c r="N283" s="25" t="s">
        <v>40</v>
      </c>
      <c r="O283" s="26" t="s">
        <v>30</v>
      </c>
      <c r="P283" s="14">
        <v>0.0</v>
      </c>
      <c r="Q283" s="14">
        <v>0.0</v>
      </c>
      <c r="R283" s="27">
        <v>0.0</v>
      </c>
      <c r="S283" s="33">
        <v>0.0</v>
      </c>
      <c r="T283" s="28">
        <v>0.0</v>
      </c>
      <c r="U283" s="33">
        <v>0.0</v>
      </c>
      <c r="V283" s="14">
        <v>0.0</v>
      </c>
      <c r="W283" s="14">
        <v>0.0</v>
      </c>
      <c r="X283" s="25" t="s">
        <v>44</v>
      </c>
      <c r="Y283" s="30" t="s">
        <v>44</v>
      </c>
      <c r="Z283" s="25" t="s">
        <v>44</v>
      </c>
      <c r="AA283" s="32" t="s">
        <v>45</v>
      </c>
      <c r="AB283" s="25" t="s">
        <v>44</v>
      </c>
    </row>
    <row r="284" ht="19.5" hidden="1" customHeight="1">
      <c r="A284" s="14">
        <v>7.0</v>
      </c>
      <c r="B284" s="15">
        <v>45972.0</v>
      </c>
      <c r="C284" s="16" t="s">
        <v>128</v>
      </c>
      <c r="D284" s="17">
        <v>1.0</v>
      </c>
      <c r="E284" s="18">
        <v>0.36180555555555555</v>
      </c>
      <c r="F284" s="34">
        <v>0.6041666666666666</v>
      </c>
      <c r="G284" s="33">
        <v>98.0</v>
      </c>
      <c r="H284" s="14">
        <v>1133.0</v>
      </c>
      <c r="I284" s="14" t="s">
        <v>48</v>
      </c>
      <c r="J284" s="21" t="s">
        <v>87</v>
      </c>
      <c r="K284" s="22" t="s">
        <v>100</v>
      </c>
      <c r="L284" s="23" t="s">
        <v>38</v>
      </c>
      <c r="M284" s="24" t="s">
        <v>113</v>
      </c>
      <c r="N284" s="25" t="s">
        <v>441</v>
      </c>
      <c r="O284" s="26"/>
      <c r="P284" s="14">
        <v>0.0</v>
      </c>
      <c r="Q284" s="14">
        <v>0.0</v>
      </c>
      <c r="R284" s="27">
        <v>0.0</v>
      </c>
      <c r="S284" s="33">
        <v>1.0</v>
      </c>
      <c r="T284" s="28">
        <v>0.0</v>
      </c>
      <c r="U284" s="33">
        <v>0.0</v>
      </c>
      <c r="V284" s="14">
        <v>0.0</v>
      </c>
      <c r="W284" s="14">
        <v>0.0</v>
      </c>
      <c r="X284" s="25" t="s">
        <v>44</v>
      </c>
      <c r="Y284" s="30" t="s">
        <v>44</v>
      </c>
      <c r="Z284" s="25" t="s">
        <v>44</v>
      </c>
      <c r="AA284" s="32" t="s">
        <v>45</v>
      </c>
      <c r="AB284" s="25" t="s">
        <v>44</v>
      </c>
    </row>
    <row r="285" ht="19.5" hidden="1" customHeight="1">
      <c r="A285" s="14">
        <v>8.0</v>
      </c>
      <c r="B285" s="15">
        <v>45972.0</v>
      </c>
      <c r="C285" s="16" t="s">
        <v>34</v>
      </c>
      <c r="D285" s="17" t="s">
        <v>50</v>
      </c>
      <c r="E285" s="18">
        <v>0.48333333333333334</v>
      </c>
      <c r="F285" s="34">
        <v>0.5222222222222223</v>
      </c>
      <c r="G285" s="33">
        <v>84.0</v>
      </c>
      <c r="H285" s="14">
        <v>1131.0</v>
      </c>
      <c r="I285" s="14" t="s">
        <v>106</v>
      </c>
      <c r="J285" s="21" t="s">
        <v>49</v>
      </c>
      <c r="K285" s="22" t="s">
        <v>75</v>
      </c>
      <c r="L285" s="23" t="s">
        <v>323</v>
      </c>
      <c r="M285" s="24" t="s">
        <v>324</v>
      </c>
      <c r="N285" s="25" t="s">
        <v>442</v>
      </c>
      <c r="O285" s="26"/>
      <c r="P285" s="14">
        <v>0.0</v>
      </c>
      <c r="Q285" s="14">
        <v>0.0</v>
      </c>
      <c r="R285" s="27">
        <v>1.0</v>
      </c>
      <c r="S285" s="33">
        <v>0.0</v>
      </c>
      <c r="T285" s="28">
        <v>0.0</v>
      </c>
      <c r="U285" s="33">
        <v>0.0</v>
      </c>
      <c r="V285" s="14">
        <v>0.0</v>
      </c>
      <c r="W285" s="14">
        <v>0.0</v>
      </c>
      <c r="X285" s="25" t="s">
        <v>44</v>
      </c>
      <c r="Y285" s="30" t="s">
        <v>44</v>
      </c>
      <c r="Z285" s="25" t="s">
        <v>44</v>
      </c>
      <c r="AA285" s="32" t="s">
        <v>45</v>
      </c>
      <c r="AB285" s="25" t="s">
        <v>44</v>
      </c>
    </row>
    <row r="286" ht="19.5" hidden="1" customHeight="1">
      <c r="A286" s="14">
        <v>9.0</v>
      </c>
      <c r="B286" s="15">
        <v>45972.0</v>
      </c>
      <c r="C286" s="16" t="s">
        <v>46</v>
      </c>
      <c r="D286" s="17" t="s">
        <v>50</v>
      </c>
      <c r="E286" s="18">
        <v>0.38680555555555557</v>
      </c>
      <c r="F286" s="34">
        <v>0.5270833333333333</v>
      </c>
      <c r="G286" s="33">
        <v>26.5</v>
      </c>
      <c r="H286" s="14" t="s">
        <v>96</v>
      </c>
      <c r="I286" s="14" t="s">
        <v>443</v>
      </c>
      <c r="J286" s="21" t="s">
        <v>49</v>
      </c>
      <c r="K286" s="22" t="s">
        <v>75</v>
      </c>
      <c r="L286" s="23" t="s">
        <v>54</v>
      </c>
      <c r="M286" s="24" t="s">
        <v>76</v>
      </c>
      <c r="N286" s="25" t="s">
        <v>444</v>
      </c>
      <c r="O286" s="26"/>
      <c r="P286" s="14">
        <v>0.0</v>
      </c>
      <c r="Q286" s="14">
        <v>0.0</v>
      </c>
      <c r="R286" s="27">
        <v>0.0</v>
      </c>
      <c r="S286" s="33">
        <v>0.0</v>
      </c>
      <c r="T286" s="28">
        <v>0.0</v>
      </c>
      <c r="U286" s="33">
        <v>0.0</v>
      </c>
      <c r="V286" s="14">
        <v>0.0</v>
      </c>
      <c r="W286" s="14">
        <v>0.0</v>
      </c>
      <c r="X286" s="25" t="s">
        <v>44</v>
      </c>
      <c r="Y286" s="30" t="s">
        <v>44</v>
      </c>
      <c r="Z286" s="25" t="s">
        <v>44</v>
      </c>
      <c r="AA286" s="32" t="s">
        <v>45</v>
      </c>
      <c r="AB286" s="25" t="s">
        <v>44</v>
      </c>
    </row>
    <row r="287" ht="19.5" hidden="1" customHeight="1">
      <c r="A287" s="14"/>
      <c r="B287" s="15">
        <v>45972.0</v>
      </c>
      <c r="C287" s="16"/>
      <c r="D287" s="17"/>
      <c r="E287" s="18"/>
      <c r="F287" s="34"/>
      <c r="G287" s="33"/>
      <c r="H287" s="14"/>
      <c r="I287" s="14"/>
      <c r="J287" s="21"/>
      <c r="K287" s="22" t="s">
        <v>29</v>
      </c>
      <c r="L287" s="23"/>
      <c r="M287" s="24"/>
      <c r="N287" s="25"/>
      <c r="O287" s="26" t="s">
        <v>77</v>
      </c>
      <c r="P287" s="14">
        <v>1.0</v>
      </c>
      <c r="Q287" s="14">
        <v>0.0</v>
      </c>
      <c r="R287" s="27">
        <v>0.0</v>
      </c>
      <c r="S287" s="33">
        <v>0.0</v>
      </c>
      <c r="T287" s="28">
        <v>1.0</v>
      </c>
      <c r="U287" s="33">
        <v>0.0</v>
      </c>
      <c r="V287" s="14">
        <v>0.0</v>
      </c>
      <c r="W287" s="14">
        <v>0.0</v>
      </c>
      <c r="X287" s="25" t="s">
        <v>445</v>
      </c>
      <c r="Y287" s="30" t="s">
        <v>32</v>
      </c>
      <c r="Z287" s="25">
        <v>2.48487878170101E14</v>
      </c>
      <c r="AA287" s="32" t="s">
        <v>33</v>
      </c>
      <c r="AB287" s="25">
        <v>43.0</v>
      </c>
    </row>
    <row r="288" ht="19.5" hidden="1" customHeight="1">
      <c r="A288" s="14">
        <v>10.0</v>
      </c>
      <c r="B288" s="15">
        <v>45972.0</v>
      </c>
      <c r="C288" s="16" t="s">
        <v>243</v>
      </c>
      <c r="D288" s="17">
        <v>2.0</v>
      </c>
      <c r="E288" s="18">
        <v>0.5625</v>
      </c>
      <c r="F288" s="34">
        <v>0.6409722222222223</v>
      </c>
      <c r="G288" s="45">
        <v>232100.0</v>
      </c>
      <c r="H288" s="14" t="s">
        <v>249</v>
      </c>
      <c r="I288" s="14" t="s">
        <v>48</v>
      </c>
      <c r="J288" s="21" t="s">
        <v>87</v>
      </c>
      <c r="K288" s="22" t="s">
        <v>29</v>
      </c>
      <c r="L288" s="23" t="s">
        <v>38</v>
      </c>
      <c r="M288" s="24" t="s">
        <v>39</v>
      </c>
      <c r="N288" s="25" t="s">
        <v>446</v>
      </c>
      <c r="O288" s="26" t="s">
        <v>77</v>
      </c>
      <c r="P288" s="14">
        <v>1.0</v>
      </c>
      <c r="Q288" s="14">
        <v>0.0</v>
      </c>
      <c r="R288" s="27">
        <v>0.0</v>
      </c>
      <c r="S288" s="33">
        <v>0.0</v>
      </c>
      <c r="T288" s="28">
        <v>1.0</v>
      </c>
      <c r="U288" s="33">
        <v>0.0</v>
      </c>
      <c r="V288" s="14">
        <v>0.0</v>
      </c>
      <c r="W288" s="14">
        <v>0.0</v>
      </c>
      <c r="X288" s="25" t="s">
        <v>447</v>
      </c>
      <c r="Y288" s="30" t="s">
        <v>32</v>
      </c>
      <c r="Z288" s="25">
        <v>2.350359980501E12</v>
      </c>
      <c r="AA288" s="32" t="s">
        <v>33</v>
      </c>
      <c r="AB288" s="25">
        <v>43.0</v>
      </c>
    </row>
    <row r="289" ht="19.5" hidden="1" customHeight="1">
      <c r="A289" s="14"/>
      <c r="B289" s="15">
        <v>45972.0</v>
      </c>
      <c r="C289" s="16"/>
      <c r="D289" s="17"/>
      <c r="E289" s="18"/>
      <c r="F289" s="34"/>
      <c r="G289" s="33"/>
      <c r="H289" s="14"/>
      <c r="I289" s="14"/>
      <c r="J289" s="21"/>
      <c r="K289" s="22" t="s">
        <v>81</v>
      </c>
      <c r="L289" s="23"/>
      <c r="M289" s="24"/>
      <c r="N289" s="25"/>
      <c r="O289" s="26" t="s">
        <v>30</v>
      </c>
      <c r="P289" s="14">
        <v>0.0</v>
      </c>
      <c r="Q289" s="14">
        <v>0.0</v>
      </c>
      <c r="R289" s="27">
        <v>0.0</v>
      </c>
      <c r="S289" s="33">
        <v>2.0</v>
      </c>
      <c r="T289" s="28">
        <v>0.0</v>
      </c>
      <c r="U289" s="33">
        <v>0.0</v>
      </c>
      <c r="V289" s="14">
        <v>0.0</v>
      </c>
      <c r="W289" s="14">
        <v>0.0</v>
      </c>
      <c r="X289" s="25" t="s">
        <v>45</v>
      </c>
      <c r="Y289" s="30" t="s">
        <v>44</v>
      </c>
      <c r="Z289" s="25" t="s">
        <v>45</v>
      </c>
      <c r="AA289" s="32" t="s">
        <v>45</v>
      </c>
      <c r="AB289" s="25"/>
    </row>
    <row r="290" ht="19.5" hidden="1" customHeight="1">
      <c r="A290" s="14">
        <v>12.0</v>
      </c>
      <c r="B290" s="15">
        <v>45972.0</v>
      </c>
      <c r="C290" s="16" t="s">
        <v>46</v>
      </c>
      <c r="D290" s="17">
        <v>2.0</v>
      </c>
      <c r="E290" s="18">
        <v>0.575</v>
      </c>
      <c r="F290" s="34">
        <v>0.8229166666666666</v>
      </c>
      <c r="G290" s="45">
        <v>53300.0</v>
      </c>
      <c r="H290" s="14" t="s">
        <v>99</v>
      </c>
      <c r="I290" s="14" t="s">
        <v>48</v>
      </c>
      <c r="J290" s="21" t="s">
        <v>87</v>
      </c>
      <c r="K290" s="22" t="s">
        <v>29</v>
      </c>
      <c r="L290" s="23" t="s">
        <v>38</v>
      </c>
      <c r="M290" s="24" t="s">
        <v>39</v>
      </c>
      <c r="N290" s="25" t="s">
        <v>448</v>
      </c>
      <c r="O290" s="26" t="s">
        <v>30</v>
      </c>
      <c r="P290" s="14">
        <v>0.0</v>
      </c>
      <c r="Q290" s="14">
        <v>0.0</v>
      </c>
      <c r="R290" s="27">
        <v>0.0</v>
      </c>
      <c r="S290" s="33">
        <v>2.0</v>
      </c>
      <c r="T290" s="28">
        <v>0.0</v>
      </c>
      <c r="U290" s="33">
        <v>0.0</v>
      </c>
      <c r="V290" s="14">
        <v>0.0</v>
      </c>
      <c r="W290" s="14">
        <v>0.0</v>
      </c>
      <c r="X290" s="25" t="s">
        <v>45</v>
      </c>
      <c r="Y290" s="30" t="s">
        <v>44</v>
      </c>
      <c r="Z290" s="25" t="s">
        <v>45</v>
      </c>
      <c r="AA290" s="32" t="s">
        <v>45</v>
      </c>
      <c r="AB290" s="25"/>
    </row>
    <row r="291" ht="19.5" hidden="1" customHeight="1">
      <c r="A291" s="14">
        <v>13.0</v>
      </c>
      <c r="B291" s="15">
        <v>45972.0</v>
      </c>
      <c r="C291" s="16" t="s">
        <v>46</v>
      </c>
      <c r="D291" s="17">
        <v>1.0</v>
      </c>
      <c r="E291" s="18">
        <v>0.5513888888888889</v>
      </c>
      <c r="F291" s="34">
        <v>0.5819444444444445</v>
      </c>
      <c r="G291" s="33">
        <v>52.0</v>
      </c>
      <c r="H291" s="14" t="s">
        <v>147</v>
      </c>
      <c r="I291" s="14" t="s">
        <v>52</v>
      </c>
      <c r="J291" s="21" t="s">
        <v>53</v>
      </c>
      <c r="K291" s="22" t="s">
        <v>63</v>
      </c>
      <c r="L291" s="23" t="s">
        <v>54</v>
      </c>
      <c r="M291" s="24" t="s">
        <v>64</v>
      </c>
      <c r="N291" s="25" t="s">
        <v>169</v>
      </c>
      <c r="O291" s="26" t="s">
        <v>30</v>
      </c>
      <c r="P291" s="14">
        <v>1.0</v>
      </c>
      <c r="Q291" s="14">
        <v>0.0</v>
      </c>
      <c r="R291" s="27">
        <v>0.0</v>
      </c>
      <c r="S291" s="33">
        <v>0.0</v>
      </c>
      <c r="T291" s="28">
        <v>1.0</v>
      </c>
      <c r="U291" s="33">
        <v>0.0</v>
      </c>
      <c r="V291" s="14">
        <v>0.0</v>
      </c>
      <c r="W291" s="14">
        <v>0.0</v>
      </c>
      <c r="X291" s="25" t="s">
        <v>449</v>
      </c>
      <c r="Y291" s="30" t="s">
        <v>61</v>
      </c>
      <c r="Z291" s="25">
        <v>3.0644308170404E13</v>
      </c>
      <c r="AA291" s="32" t="s">
        <v>33</v>
      </c>
      <c r="AB291" s="25">
        <v>34.0</v>
      </c>
    </row>
    <row r="292" ht="19.5" hidden="1" customHeight="1">
      <c r="A292" s="14">
        <v>14.0</v>
      </c>
      <c r="B292" s="15">
        <v>45972.0</v>
      </c>
      <c r="C292" s="16" t="s">
        <v>407</v>
      </c>
      <c r="D292" s="17"/>
      <c r="E292" s="18">
        <v>0.5555555555555556</v>
      </c>
      <c r="F292" s="34">
        <v>0.6472222222222223</v>
      </c>
      <c r="G292" s="33">
        <v>284.0</v>
      </c>
      <c r="H292" s="14" t="s">
        <v>408</v>
      </c>
      <c r="I292" s="14" t="s">
        <v>80</v>
      </c>
      <c r="J292" s="21" t="s">
        <v>74</v>
      </c>
      <c r="K292" s="22" t="s">
        <v>75</v>
      </c>
      <c r="L292" s="23" t="s">
        <v>323</v>
      </c>
      <c r="M292" s="24" t="s">
        <v>324</v>
      </c>
      <c r="N292" s="25" t="s">
        <v>325</v>
      </c>
      <c r="O292" s="26" t="s">
        <v>30</v>
      </c>
      <c r="P292" s="14">
        <v>0.0</v>
      </c>
      <c r="Q292" s="14">
        <v>0.0</v>
      </c>
      <c r="R292" s="27">
        <v>0.0</v>
      </c>
      <c r="S292" s="33">
        <v>0.0</v>
      </c>
      <c r="T292" s="28">
        <v>0.0</v>
      </c>
      <c r="U292" s="33">
        <v>0.0</v>
      </c>
      <c r="V292" s="14">
        <v>0.0</v>
      </c>
      <c r="W292" s="14">
        <v>0.0</v>
      </c>
      <c r="X292" s="25" t="s">
        <v>30</v>
      </c>
      <c r="Y292" s="30" t="s">
        <v>44</v>
      </c>
      <c r="Z292" s="25" t="s">
        <v>45</v>
      </c>
      <c r="AA292" s="32" t="s">
        <v>45</v>
      </c>
      <c r="AB292" s="25"/>
    </row>
    <row r="293" ht="19.5" hidden="1" customHeight="1">
      <c r="A293" s="14"/>
      <c r="B293" s="15">
        <v>45972.0</v>
      </c>
      <c r="C293" s="16"/>
      <c r="D293" s="17"/>
      <c r="E293" s="18"/>
      <c r="F293" s="34"/>
      <c r="G293" s="33"/>
      <c r="H293" s="14"/>
      <c r="I293" s="14"/>
      <c r="J293" s="21"/>
      <c r="K293" s="22" t="s">
        <v>81</v>
      </c>
      <c r="L293" s="23"/>
      <c r="M293" s="24"/>
      <c r="N293" s="25"/>
      <c r="O293" s="26" t="s">
        <v>30</v>
      </c>
      <c r="P293" s="14">
        <v>1.0</v>
      </c>
      <c r="Q293" s="14">
        <v>0.0</v>
      </c>
      <c r="R293" s="27">
        <v>0.0</v>
      </c>
      <c r="S293" s="33">
        <v>0.0</v>
      </c>
      <c r="T293" s="28">
        <v>1.0</v>
      </c>
      <c r="U293" s="33">
        <v>0.0</v>
      </c>
      <c r="V293" s="14">
        <v>0.0</v>
      </c>
      <c r="W293" s="14">
        <v>0.0</v>
      </c>
      <c r="X293" s="25"/>
      <c r="Y293" s="30"/>
      <c r="Z293" s="25"/>
      <c r="AA293" s="32"/>
      <c r="AB293" s="25"/>
    </row>
    <row r="294" ht="19.5" hidden="1" customHeight="1">
      <c r="A294" s="14">
        <v>15.0</v>
      </c>
      <c r="B294" s="15">
        <v>45972.0</v>
      </c>
      <c r="C294" s="16" t="s">
        <v>128</v>
      </c>
      <c r="D294" s="17">
        <v>2.0</v>
      </c>
      <c r="E294" s="18">
        <v>0.7083333333333334</v>
      </c>
      <c r="F294" s="34">
        <v>0.8125</v>
      </c>
      <c r="G294" s="33"/>
      <c r="H294" s="14" t="s">
        <v>252</v>
      </c>
      <c r="I294" s="14" t="s">
        <v>48</v>
      </c>
      <c r="J294" s="21" t="s">
        <v>87</v>
      </c>
      <c r="K294" s="22" t="s">
        <v>81</v>
      </c>
      <c r="L294" s="23" t="s">
        <v>38</v>
      </c>
      <c r="M294" s="24" t="s">
        <v>39</v>
      </c>
      <c r="N294" s="25" t="s">
        <v>450</v>
      </c>
      <c r="O294" s="26" t="s">
        <v>30</v>
      </c>
      <c r="P294" s="14">
        <v>1.0</v>
      </c>
      <c r="Q294" s="14">
        <v>0.0</v>
      </c>
      <c r="R294" s="27">
        <v>0.0</v>
      </c>
      <c r="S294" s="33">
        <v>0.0</v>
      </c>
      <c r="T294" s="28">
        <v>1.0</v>
      </c>
      <c r="U294" s="33">
        <v>0.0</v>
      </c>
      <c r="V294" s="14">
        <v>0.0</v>
      </c>
      <c r="W294" s="14">
        <v>0.0</v>
      </c>
      <c r="X294" s="25"/>
      <c r="Y294" s="30"/>
      <c r="Z294" s="25"/>
      <c r="AA294" s="32"/>
      <c r="AB294" s="25"/>
    </row>
    <row r="295" ht="19.5" hidden="1" customHeight="1">
      <c r="A295" s="14"/>
      <c r="B295" s="15">
        <v>45973.0</v>
      </c>
      <c r="C295" s="16"/>
      <c r="D295" s="17"/>
      <c r="E295" s="18"/>
      <c r="F295" s="34"/>
      <c r="G295" s="33"/>
      <c r="H295" s="14"/>
      <c r="I295" s="14"/>
      <c r="J295" s="21"/>
      <c r="K295" s="22" t="s">
        <v>81</v>
      </c>
      <c r="L295" s="23"/>
      <c r="M295" s="24"/>
      <c r="N295" s="25"/>
      <c r="O295" s="26" t="s">
        <v>30</v>
      </c>
      <c r="P295" s="14">
        <v>0.0</v>
      </c>
      <c r="Q295" s="14">
        <v>0.0</v>
      </c>
      <c r="R295" s="27">
        <v>0.0</v>
      </c>
      <c r="S295" s="33">
        <v>0.0</v>
      </c>
      <c r="T295" s="28">
        <v>0.0</v>
      </c>
      <c r="U295" s="33">
        <v>0.0</v>
      </c>
      <c r="V295" s="14">
        <v>0.0</v>
      </c>
      <c r="W295" s="14">
        <v>0.0</v>
      </c>
      <c r="X295" s="25" t="s">
        <v>77</v>
      </c>
      <c r="Y295" s="30" t="s">
        <v>44</v>
      </c>
      <c r="Z295" s="25" t="s">
        <v>45</v>
      </c>
      <c r="AA295" s="32" t="s">
        <v>45</v>
      </c>
      <c r="AB295" s="25" t="s">
        <v>45</v>
      </c>
    </row>
    <row r="296" ht="19.5" hidden="1" customHeight="1">
      <c r="A296" s="14">
        <v>1.0</v>
      </c>
      <c r="B296" s="15">
        <v>45973.0</v>
      </c>
      <c r="C296" s="16" t="s">
        <v>46</v>
      </c>
      <c r="D296" s="17">
        <v>2.0</v>
      </c>
      <c r="E296" s="18">
        <v>0.25069444444444444</v>
      </c>
      <c r="F296" s="34">
        <v>0.28125</v>
      </c>
      <c r="G296" s="33">
        <v>16.0</v>
      </c>
      <c r="H296" s="14" t="s">
        <v>47</v>
      </c>
      <c r="I296" s="14" t="s">
        <v>48</v>
      </c>
      <c r="J296" s="21" t="s">
        <v>87</v>
      </c>
      <c r="K296" s="22" t="s">
        <v>29</v>
      </c>
      <c r="L296" s="23" t="s">
        <v>38</v>
      </c>
      <c r="M296" s="24" t="s">
        <v>39</v>
      </c>
      <c r="N296" s="25" t="s">
        <v>451</v>
      </c>
      <c r="O296" s="26" t="s">
        <v>30</v>
      </c>
      <c r="P296" s="14">
        <v>1.0</v>
      </c>
      <c r="Q296" s="14">
        <v>0.0</v>
      </c>
      <c r="R296" s="27">
        <v>0.0</v>
      </c>
      <c r="S296" s="33">
        <v>0.0</v>
      </c>
      <c r="T296" s="28">
        <v>1.0</v>
      </c>
      <c r="U296" s="33">
        <v>0.0</v>
      </c>
      <c r="V296" s="14">
        <v>0.0</v>
      </c>
      <c r="W296" s="14">
        <v>0.0</v>
      </c>
      <c r="X296" s="25" t="s">
        <v>452</v>
      </c>
      <c r="Y296" s="30" t="s">
        <v>32</v>
      </c>
      <c r="Z296" s="25">
        <v>1.575806670313E12</v>
      </c>
      <c r="AA296" s="32" t="s">
        <v>33</v>
      </c>
      <c r="AB296" s="25"/>
    </row>
    <row r="297" ht="19.5" hidden="1" customHeight="1">
      <c r="A297" s="14"/>
      <c r="B297" s="15">
        <v>45973.0</v>
      </c>
      <c r="C297" s="16"/>
      <c r="D297" s="17"/>
      <c r="E297" s="18"/>
      <c r="F297" s="34"/>
      <c r="G297" s="33"/>
      <c r="H297" s="14"/>
      <c r="I297" s="14"/>
      <c r="J297" s="21"/>
      <c r="K297" s="22" t="s">
        <v>100</v>
      </c>
      <c r="L297" s="23"/>
      <c r="M297" s="24"/>
      <c r="N297" s="25"/>
      <c r="O297" s="26" t="s">
        <v>77</v>
      </c>
      <c r="P297" s="14">
        <v>1.0</v>
      </c>
      <c r="Q297" s="14">
        <v>0.0</v>
      </c>
      <c r="R297" s="27">
        <v>0.0</v>
      </c>
      <c r="S297" s="33">
        <v>0.0</v>
      </c>
      <c r="T297" s="28">
        <v>1.0</v>
      </c>
      <c r="U297" s="33">
        <v>0.0</v>
      </c>
      <c r="V297" s="14">
        <v>0.0</v>
      </c>
      <c r="W297" s="14">
        <v>0.0</v>
      </c>
      <c r="X297" s="35" t="s">
        <v>453</v>
      </c>
      <c r="Y297" s="30" t="s">
        <v>61</v>
      </c>
      <c r="Z297" s="35">
        <v>3.068147730401E12</v>
      </c>
      <c r="AA297" s="32" t="s">
        <v>33</v>
      </c>
      <c r="AB297" s="25">
        <v>23.0</v>
      </c>
    </row>
    <row r="298" ht="19.5" hidden="1" customHeight="1">
      <c r="A298" s="14">
        <v>2.0</v>
      </c>
      <c r="B298" s="15">
        <v>45973.0</v>
      </c>
      <c r="C298" s="16" t="s">
        <v>46</v>
      </c>
      <c r="D298" s="17">
        <v>2.0</v>
      </c>
      <c r="E298" s="18">
        <v>0.24444444444444444</v>
      </c>
      <c r="F298" s="34">
        <v>0.30972222222222223</v>
      </c>
      <c r="G298" s="33">
        <v>22.0</v>
      </c>
      <c r="H298" s="14" t="s">
        <v>51</v>
      </c>
      <c r="I298" s="14" t="s">
        <v>52</v>
      </c>
      <c r="J298" s="21" t="s">
        <v>37</v>
      </c>
      <c r="K298" s="22" t="s">
        <v>100</v>
      </c>
      <c r="L298" s="23" t="s">
        <v>38</v>
      </c>
      <c r="M298" s="24" t="s">
        <v>39</v>
      </c>
      <c r="N298" s="25" t="s">
        <v>345</v>
      </c>
      <c r="O298" s="26" t="s">
        <v>30</v>
      </c>
      <c r="P298" s="14">
        <v>1.0</v>
      </c>
      <c r="Q298" s="14">
        <v>0.0</v>
      </c>
      <c r="R298" s="27">
        <v>0.0</v>
      </c>
      <c r="S298" s="33">
        <v>0.0</v>
      </c>
      <c r="T298" s="28">
        <v>1.0</v>
      </c>
      <c r="U298" s="33">
        <v>0.0</v>
      </c>
      <c r="V298" s="14">
        <v>0.0</v>
      </c>
      <c r="W298" s="14">
        <v>0.0</v>
      </c>
      <c r="X298" s="35" t="s">
        <v>454</v>
      </c>
      <c r="Y298" s="30" t="s">
        <v>61</v>
      </c>
      <c r="Z298" s="35">
        <v>2.426262700301E12</v>
      </c>
      <c r="AA298" s="32" t="s">
        <v>127</v>
      </c>
      <c r="AB298" s="25">
        <v>36.0</v>
      </c>
    </row>
    <row r="299" ht="19.5" hidden="1" customHeight="1">
      <c r="A299" s="14">
        <v>3.0</v>
      </c>
      <c r="B299" s="15">
        <v>45973.0</v>
      </c>
      <c r="C299" s="16" t="s">
        <v>71</v>
      </c>
      <c r="D299" s="17">
        <v>1.0</v>
      </c>
      <c r="E299" s="18">
        <v>0.2513888888888889</v>
      </c>
      <c r="F299" s="34">
        <v>0.30972222222222223</v>
      </c>
      <c r="G299" s="33">
        <v>194.0</v>
      </c>
      <c r="H299" s="14">
        <v>1135.0</v>
      </c>
      <c r="I299" s="14" t="s">
        <v>73</v>
      </c>
      <c r="J299" s="21" t="s">
        <v>87</v>
      </c>
      <c r="K299" s="22" t="s">
        <v>42</v>
      </c>
      <c r="L299" s="23" t="s">
        <v>54</v>
      </c>
      <c r="M299" s="24" t="s">
        <v>131</v>
      </c>
      <c r="N299" s="25" t="s">
        <v>169</v>
      </c>
      <c r="O299" s="26" t="s">
        <v>30</v>
      </c>
      <c r="P299" s="14">
        <v>1.0</v>
      </c>
      <c r="Q299" s="14">
        <v>0.0</v>
      </c>
      <c r="R299" s="27">
        <v>0.0</v>
      </c>
      <c r="S299" s="33">
        <v>0.0</v>
      </c>
      <c r="T299" s="28">
        <v>1.0</v>
      </c>
      <c r="U299" s="33">
        <v>0.0</v>
      </c>
      <c r="V299" s="14">
        <v>0.0</v>
      </c>
      <c r="W299" s="14">
        <v>0.0</v>
      </c>
      <c r="X299" s="35" t="s">
        <v>455</v>
      </c>
      <c r="Y299" s="30" t="s">
        <v>85</v>
      </c>
      <c r="Z299" s="35">
        <v>2.555769431001E12</v>
      </c>
      <c r="AA299" s="32" t="s">
        <v>33</v>
      </c>
      <c r="AB299" s="25">
        <v>66.0</v>
      </c>
    </row>
    <row r="300" ht="19.5" hidden="1" customHeight="1">
      <c r="A300" s="14">
        <v>4.0</v>
      </c>
      <c r="B300" s="15">
        <v>45973.0</v>
      </c>
      <c r="C300" s="16" t="s">
        <v>34</v>
      </c>
      <c r="D300" s="17"/>
      <c r="E300" s="18">
        <v>0.29375</v>
      </c>
      <c r="F300" s="34">
        <v>0.75</v>
      </c>
      <c r="G300" s="33">
        <v>80.6</v>
      </c>
      <c r="H300" s="14">
        <v>1131.0</v>
      </c>
      <c r="I300" s="14" t="s">
        <v>36</v>
      </c>
      <c r="J300" s="21" t="s">
        <v>37</v>
      </c>
      <c r="K300" s="22" t="s">
        <v>75</v>
      </c>
      <c r="L300" s="23" t="s">
        <v>54</v>
      </c>
      <c r="M300" s="24" t="s">
        <v>76</v>
      </c>
      <c r="N300" s="25" t="s">
        <v>56</v>
      </c>
      <c r="O300" s="26" t="s">
        <v>77</v>
      </c>
      <c r="P300" s="14">
        <v>0.0</v>
      </c>
      <c r="Q300" s="14">
        <v>0.0</v>
      </c>
      <c r="R300" s="27">
        <v>0.0</v>
      </c>
      <c r="S300" s="33">
        <v>0.0</v>
      </c>
      <c r="T300" s="28">
        <v>0.0</v>
      </c>
      <c r="U300" s="33">
        <v>0.0</v>
      </c>
      <c r="V300" s="14">
        <v>0.0</v>
      </c>
      <c r="W300" s="14">
        <v>0.0</v>
      </c>
      <c r="X300" s="25" t="s">
        <v>77</v>
      </c>
      <c r="Y300" s="30" t="s">
        <v>44</v>
      </c>
      <c r="Z300" s="25" t="s">
        <v>45</v>
      </c>
      <c r="AA300" s="32" t="s">
        <v>45</v>
      </c>
      <c r="AB300" s="25" t="s">
        <v>45</v>
      </c>
    </row>
    <row r="301" ht="19.5" hidden="1" customHeight="1">
      <c r="A301" s="14">
        <v>5.0</v>
      </c>
      <c r="B301" s="15">
        <v>45973.0</v>
      </c>
      <c r="C301" s="16" t="s">
        <v>71</v>
      </c>
      <c r="D301" s="17" t="s">
        <v>50</v>
      </c>
      <c r="E301" s="18">
        <v>0.3159722222222222</v>
      </c>
      <c r="F301" s="34">
        <v>0.6909722222222222</v>
      </c>
      <c r="G301" s="33">
        <v>194.0</v>
      </c>
      <c r="H301" s="14" t="s">
        <v>72</v>
      </c>
      <c r="I301" s="14" t="s">
        <v>73</v>
      </c>
      <c r="J301" s="21" t="s">
        <v>49</v>
      </c>
      <c r="K301" s="22" t="s">
        <v>75</v>
      </c>
      <c r="L301" s="23" t="s">
        <v>54</v>
      </c>
      <c r="M301" s="24" t="s">
        <v>76</v>
      </c>
      <c r="N301" s="25" t="s">
        <v>456</v>
      </c>
      <c r="O301" s="26" t="s">
        <v>30</v>
      </c>
      <c r="P301" s="14">
        <v>0.0</v>
      </c>
      <c r="Q301" s="14">
        <v>0.0</v>
      </c>
      <c r="R301" s="27">
        <v>0.0</v>
      </c>
      <c r="S301" s="33">
        <v>0.0</v>
      </c>
      <c r="T301" s="28">
        <v>0.0</v>
      </c>
      <c r="U301" s="33">
        <v>0.0</v>
      </c>
      <c r="V301" s="14">
        <v>0.0</v>
      </c>
      <c r="W301" s="14">
        <v>0.0</v>
      </c>
      <c r="X301" s="25" t="s">
        <v>77</v>
      </c>
      <c r="Y301" s="30" t="s">
        <v>44</v>
      </c>
      <c r="Z301" s="25" t="s">
        <v>45</v>
      </c>
      <c r="AA301" s="32" t="s">
        <v>45</v>
      </c>
      <c r="AB301" s="25" t="s">
        <v>45</v>
      </c>
    </row>
    <row r="302" ht="19.5" hidden="1" customHeight="1">
      <c r="A302" s="14">
        <v>6.0</v>
      </c>
      <c r="B302" s="15">
        <v>45973.0</v>
      </c>
      <c r="C302" s="16" t="s">
        <v>46</v>
      </c>
      <c r="D302" s="17">
        <v>1.0</v>
      </c>
      <c r="E302" s="18">
        <v>0.3506944444444444</v>
      </c>
      <c r="F302" s="34">
        <v>0.37430555555555556</v>
      </c>
      <c r="G302" s="33">
        <v>21.0</v>
      </c>
      <c r="H302" s="14" t="s">
        <v>139</v>
      </c>
      <c r="I302" s="14" t="s">
        <v>88</v>
      </c>
      <c r="J302" s="21" t="s">
        <v>49</v>
      </c>
      <c r="K302" s="22" t="s">
        <v>100</v>
      </c>
      <c r="L302" s="23" t="s">
        <v>54</v>
      </c>
      <c r="M302" s="24" t="s">
        <v>131</v>
      </c>
      <c r="N302" s="25" t="s">
        <v>83</v>
      </c>
      <c r="O302" s="26" t="s">
        <v>30</v>
      </c>
      <c r="P302" s="14">
        <v>2.0</v>
      </c>
      <c r="Q302" s="14">
        <v>0.0</v>
      </c>
      <c r="R302" s="27">
        <v>0.0</v>
      </c>
      <c r="S302" s="33">
        <v>0.0</v>
      </c>
      <c r="T302" s="28">
        <v>2.0</v>
      </c>
      <c r="U302" s="33">
        <v>0.0</v>
      </c>
      <c r="V302" s="14">
        <v>0.0</v>
      </c>
      <c r="W302" s="14">
        <v>0.0</v>
      </c>
      <c r="X302" s="35" t="s">
        <v>457</v>
      </c>
      <c r="Y302" s="30" t="s">
        <v>61</v>
      </c>
      <c r="Z302" s="35">
        <v>2.296944772207E12</v>
      </c>
      <c r="AA302" s="32" t="s">
        <v>33</v>
      </c>
      <c r="AB302" s="25">
        <v>35.0</v>
      </c>
    </row>
    <row r="303" ht="19.5" hidden="1" customHeight="1">
      <c r="A303" s="14">
        <v>7.0</v>
      </c>
      <c r="B303" s="15">
        <v>45973.0</v>
      </c>
      <c r="C303" s="16" t="s">
        <v>46</v>
      </c>
      <c r="D303" s="17">
        <v>1.0</v>
      </c>
      <c r="E303" s="18">
        <v>0.3909722222222222</v>
      </c>
      <c r="F303" s="34">
        <v>0.4444444444444444</v>
      </c>
      <c r="G303" s="33">
        <v>36.0</v>
      </c>
      <c r="H303" s="14" t="s">
        <v>173</v>
      </c>
      <c r="I303" s="14" t="s">
        <v>52</v>
      </c>
      <c r="J303" s="21" t="s">
        <v>53</v>
      </c>
      <c r="K303" s="22" t="s">
        <v>81</v>
      </c>
      <c r="L303" s="23" t="s">
        <v>38</v>
      </c>
      <c r="M303" s="24" t="s">
        <v>108</v>
      </c>
      <c r="N303" s="25" t="s">
        <v>345</v>
      </c>
      <c r="O303" s="26" t="s">
        <v>30</v>
      </c>
      <c r="P303" s="14">
        <v>1.0</v>
      </c>
      <c r="Q303" s="14">
        <v>0.0</v>
      </c>
      <c r="R303" s="27">
        <v>0.0</v>
      </c>
      <c r="S303" s="33">
        <v>0.0</v>
      </c>
      <c r="T303" s="28">
        <v>1.0</v>
      </c>
      <c r="U303" s="33">
        <v>0.0</v>
      </c>
      <c r="V303" s="14">
        <v>0.0</v>
      </c>
      <c r="W303" s="14">
        <v>0.0</v>
      </c>
      <c r="X303" s="35" t="s">
        <v>458</v>
      </c>
      <c r="Y303" s="30" t="s">
        <v>85</v>
      </c>
      <c r="Z303" s="35">
        <v>3.007355880101E12</v>
      </c>
      <c r="AA303" s="32" t="s">
        <v>33</v>
      </c>
      <c r="AB303" s="25">
        <v>24.0</v>
      </c>
    </row>
    <row r="304" ht="19.5" hidden="1" customHeight="1">
      <c r="A304" s="14">
        <v>8.0</v>
      </c>
      <c r="B304" s="15">
        <v>45973.0</v>
      </c>
      <c r="C304" s="16" t="s">
        <v>243</v>
      </c>
      <c r="D304" s="17">
        <v>1.0</v>
      </c>
      <c r="E304" s="18">
        <v>0.4013888888888889</v>
      </c>
      <c r="F304" s="34">
        <v>0.45208333333333334</v>
      </c>
      <c r="G304" s="33">
        <v>280.0</v>
      </c>
      <c r="H304" s="14" t="s">
        <v>244</v>
      </c>
      <c r="I304" s="14" t="s">
        <v>48</v>
      </c>
      <c r="J304" s="21" t="s">
        <v>87</v>
      </c>
      <c r="K304" s="22" t="s">
        <v>29</v>
      </c>
      <c r="L304" s="23" t="s">
        <v>38</v>
      </c>
      <c r="M304" s="24" t="s">
        <v>82</v>
      </c>
      <c r="N304" s="25" t="s">
        <v>83</v>
      </c>
      <c r="O304" s="26" t="s">
        <v>30</v>
      </c>
      <c r="P304" s="14">
        <v>0.0</v>
      </c>
      <c r="Q304" s="14">
        <v>0.0</v>
      </c>
      <c r="R304" s="27">
        <v>0.0</v>
      </c>
      <c r="S304" s="33">
        <v>0.0</v>
      </c>
      <c r="T304" s="28">
        <v>0.0</v>
      </c>
      <c r="U304" s="33">
        <v>0.0</v>
      </c>
      <c r="V304" s="14">
        <v>0.0</v>
      </c>
      <c r="W304" s="14">
        <v>0.0</v>
      </c>
      <c r="X304" s="25" t="s">
        <v>77</v>
      </c>
      <c r="Y304" s="30" t="s">
        <v>44</v>
      </c>
      <c r="Z304" s="25" t="s">
        <v>45</v>
      </c>
      <c r="AA304" s="32" t="s">
        <v>45</v>
      </c>
      <c r="AB304" s="25" t="s">
        <v>45</v>
      </c>
    </row>
    <row r="305" ht="19.5" hidden="1" customHeight="1">
      <c r="A305" s="14">
        <v>9.0</v>
      </c>
      <c r="B305" s="15">
        <v>45973.0</v>
      </c>
      <c r="C305" s="16" t="s">
        <v>46</v>
      </c>
      <c r="D305" s="17">
        <v>1.0</v>
      </c>
      <c r="E305" s="18">
        <v>0.43472222222222223</v>
      </c>
      <c r="F305" s="34">
        <v>0.45694444444444443</v>
      </c>
      <c r="G305" s="33">
        <v>59.0</v>
      </c>
      <c r="H305" s="14" t="s">
        <v>51</v>
      </c>
      <c r="I305" s="14" t="s">
        <v>52</v>
      </c>
      <c r="J305" s="21" t="s">
        <v>53</v>
      </c>
      <c r="K305" s="22" t="s">
        <v>29</v>
      </c>
      <c r="L305" s="23" t="s">
        <v>54</v>
      </c>
      <c r="M305" s="24" t="s">
        <v>64</v>
      </c>
      <c r="N305" s="25" t="s">
        <v>459</v>
      </c>
      <c r="O305" s="26" t="s">
        <v>30</v>
      </c>
      <c r="P305" s="14">
        <v>1.0</v>
      </c>
      <c r="Q305" s="14">
        <v>0.0</v>
      </c>
      <c r="R305" s="27">
        <v>0.0</v>
      </c>
      <c r="S305" s="33">
        <v>0.0</v>
      </c>
      <c r="T305" s="28">
        <v>1.0</v>
      </c>
      <c r="U305" s="33">
        <v>0.0</v>
      </c>
      <c r="V305" s="14">
        <v>0.0</v>
      </c>
      <c r="W305" s="14">
        <v>0.0</v>
      </c>
      <c r="X305" s="25" t="s">
        <v>460</v>
      </c>
      <c r="Y305" s="30" t="s">
        <v>115</v>
      </c>
      <c r="Z305" s="38">
        <v>3.027932520105E12</v>
      </c>
      <c r="AA305" s="32" t="s">
        <v>33</v>
      </c>
      <c r="AB305" s="25">
        <v>36.0</v>
      </c>
    </row>
    <row r="306" ht="19.5" hidden="1" customHeight="1">
      <c r="A306" s="14"/>
      <c r="B306" s="15">
        <v>45973.0</v>
      </c>
      <c r="C306" s="16"/>
      <c r="D306" s="17"/>
      <c r="E306" s="18"/>
      <c r="F306" s="34"/>
      <c r="G306" s="33"/>
      <c r="H306" s="14"/>
      <c r="I306" s="14"/>
      <c r="J306" s="21"/>
      <c r="K306" s="22" t="s">
        <v>29</v>
      </c>
      <c r="L306" s="23"/>
      <c r="M306" s="24"/>
      <c r="N306" s="25"/>
      <c r="O306" s="26" t="s">
        <v>30</v>
      </c>
      <c r="P306" s="14">
        <v>1.0</v>
      </c>
      <c r="Q306" s="14">
        <v>0.0</v>
      </c>
      <c r="R306" s="27">
        <v>0.0</v>
      </c>
      <c r="S306" s="33">
        <v>0.0</v>
      </c>
      <c r="T306" s="28">
        <v>1.0</v>
      </c>
      <c r="U306" s="33">
        <v>0.0</v>
      </c>
      <c r="V306" s="14">
        <v>0.0</v>
      </c>
      <c r="W306" s="14">
        <v>0.0</v>
      </c>
      <c r="X306" s="35" t="s">
        <v>461</v>
      </c>
      <c r="Y306" s="30" t="s">
        <v>32</v>
      </c>
      <c r="Z306" s="35">
        <v>1.851026032106E12</v>
      </c>
      <c r="AA306" s="32" t="s">
        <v>33</v>
      </c>
      <c r="AB306" s="25">
        <v>22.0</v>
      </c>
    </row>
    <row r="307" ht="19.5" hidden="1" customHeight="1">
      <c r="A307" s="14"/>
      <c r="B307" s="15">
        <v>45973.0</v>
      </c>
      <c r="C307" s="16"/>
      <c r="D307" s="17"/>
      <c r="E307" s="18"/>
      <c r="F307" s="34"/>
      <c r="G307" s="33"/>
      <c r="H307" s="14"/>
      <c r="I307" s="14"/>
      <c r="J307" s="21"/>
      <c r="K307" s="22" t="s">
        <v>29</v>
      </c>
      <c r="L307" s="23"/>
      <c r="M307" s="24"/>
      <c r="N307" s="25"/>
      <c r="O307" s="26" t="s">
        <v>30</v>
      </c>
      <c r="P307" s="14">
        <v>1.0</v>
      </c>
      <c r="Q307" s="14">
        <v>0.0</v>
      </c>
      <c r="R307" s="27">
        <v>0.0</v>
      </c>
      <c r="S307" s="33">
        <v>0.0</v>
      </c>
      <c r="T307" s="28">
        <v>1.0</v>
      </c>
      <c r="U307" s="33">
        <v>0.0</v>
      </c>
      <c r="V307" s="14">
        <v>0.0</v>
      </c>
      <c r="W307" s="14">
        <v>0.0</v>
      </c>
      <c r="X307" s="35" t="s">
        <v>462</v>
      </c>
      <c r="Y307" s="30" t="s">
        <v>32</v>
      </c>
      <c r="Z307" s="35">
        <v>2.333380712101E12</v>
      </c>
      <c r="AA307" s="32" t="s">
        <v>33</v>
      </c>
      <c r="AB307" s="25">
        <v>41.0</v>
      </c>
    </row>
    <row r="308" ht="19.5" hidden="1" customHeight="1">
      <c r="A308" s="14">
        <v>10.0</v>
      </c>
      <c r="B308" s="15">
        <v>45973.0</v>
      </c>
      <c r="C308" s="16" t="s">
        <v>128</v>
      </c>
      <c r="D308" s="17">
        <v>3.0</v>
      </c>
      <c r="E308" s="18">
        <v>0.44513888888888886</v>
      </c>
      <c r="F308" s="34">
        <v>0.5875</v>
      </c>
      <c r="G308" s="33">
        <v>72.0</v>
      </c>
      <c r="H308" s="14" t="s">
        <v>129</v>
      </c>
      <c r="I308" s="14" t="s">
        <v>48</v>
      </c>
      <c r="J308" s="21" t="s">
        <v>87</v>
      </c>
      <c r="K308" s="22" t="s">
        <v>29</v>
      </c>
      <c r="L308" s="23" t="s">
        <v>38</v>
      </c>
      <c r="M308" s="24" t="s">
        <v>288</v>
      </c>
      <c r="N308" s="25" t="s">
        <v>463</v>
      </c>
      <c r="O308" s="26" t="s">
        <v>30</v>
      </c>
      <c r="P308" s="14">
        <v>1.0</v>
      </c>
      <c r="Q308" s="14">
        <v>0.0</v>
      </c>
      <c r="R308" s="27">
        <v>0.0</v>
      </c>
      <c r="S308" s="33">
        <v>0.0</v>
      </c>
      <c r="T308" s="28">
        <v>1.0</v>
      </c>
      <c r="U308" s="33">
        <v>0.0</v>
      </c>
      <c r="V308" s="14">
        <v>0.0</v>
      </c>
      <c r="W308" s="14">
        <v>0.0</v>
      </c>
      <c r="X308" s="35" t="s">
        <v>464</v>
      </c>
      <c r="Y308" s="30" t="s">
        <v>32</v>
      </c>
      <c r="Z308" s="35">
        <v>3.237112190511E12</v>
      </c>
      <c r="AA308" s="32" t="s">
        <v>33</v>
      </c>
      <c r="AB308" s="25">
        <v>27.0</v>
      </c>
    </row>
    <row r="309" ht="19.5" hidden="1" customHeight="1">
      <c r="A309" s="14">
        <v>11.0</v>
      </c>
      <c r="B309" s="15">
        <v>45973.0</v>
      </c>
      <c r="C309" s="16" t="s">
        <v>71</v>
      </c>
      <c r="D309" s="17">
        <v>1.0</v>
      </c>
      <c r="E309" s="18">
        <v>0.46458333333333335</v>
      </c>
      <c r="F309" s="34">
        <v>0.4909722222222222</v>
      </c>
      <c r="G309" s="33" t="s">
        <v>465</v>
      </c>
      <c r="H309" s="14">
        <v>1135.0</v>
      </c>
      <c r="I309" s="14" t="s">
        <v>52</v>
      </c>
      <c r="J309" s="21" t="s">
        <v>53</v>
      </c>
      <c r="K309" s="22" t="s">
        <v>63</v>
      </c>
      <c r="L309" s="23" t="s">
        <v>54</v>
      </c>
      <c r="M309" s="24" t="s">
        <v>64</v>
      </c>
      <c r="N309" s="25" t="s">
        <v>165</v>
      </c>
      <c r="O309" s="26" t="s">
        <v>30</v>
      </c>
      <c r="P309" s="14">
        <v>1.0</v>
      </c>
      <c r="Q309" s="14">
        <v>0.0</v>
      </c>
      <c r="R309" s="27">
        <v>0.0</v>
      </c>
      <c r="S309" s="33">
        <v>0.0</v>
      </c>
      <c r="T309" s="28">
        <v>1.0</v>
      </c>
      <c r="U309" s="33">
        <v>0.0</v>
      </c>
      <c r="V309" s="14">
        <v>0.0</v>
      </c>
      <c r="W309" s="14">
        <v>0.0</v>
      </c>
      <c r="X309" s="35" t="s">
        <v>466</v>
      </c>
      <c r="Y309" s="30" t="s">
        <v>61</v>
      </c>
      <c r="Z309" s="35">
        <v>3.031518380108E12</v>
      </c>
      <c r="AA309" s="32" t="s">
        <v>33</v>
      </c>
      <c r="AB309" s="25">
        <v>26.0</v>
      </c>
    </row>
    <row r="310" ht="19.5" hidden="1" customHeight="1">
      <c r="A310" s="14">
        <v>12.0</v>
      </c>
      <c r="B310" s="15">
        <v>45973.0</v>
      </c>
      <c r="C310" s="16" t="s">
        <v>243</v>
      </c>
      <c r="D310" s="17">
        <v>1.0</v>
      </c>
      <c r="E310" s="18">
        <v>0.41805555555555557</v>
      </c>
      <c r="F310" s="34">
        <v>0.7097222222222223</v>
      </c>
      <c r="G310" s="33">
        <v>288.0</v>
      </c>
      <c r="H310" s="14" t="s">
        <v>249</v>
      </c>
      <c r="I310" s="14" t="s">
        <v>48</v>
      </c>
      <c r="J310" s="21" t="s">
        <v>87</v>
      </c>
      <c r="K310" s="22" t="s">
        <v>75</v>
      </c>
      <c r="L310" s="23" t="s">
        <v>54</v>
      </c>
      <c r="M310" s="24" t="s">
        <v>467</v>
      </c>
      <c r="N310" s="25" t="s">
        <v>56</v>
      </c>
      <c r="O310" s="26" t="s">
        <v>468</v>
      </c>
      <c r="P310" s="14">
        <v>1.0</v>
      </c>
      <c r="Q310" s="14">
        <v>0.0</v>
      </c>
      <c r="R310" s="27">
        <v>0.0</v>
      </c>
      <c r="S310" s="33">
        <v>0.0</v>
      </c>
      <c r="T310" s="28">
        <v>1.0</v>
      </c>
      <c r="U310" s="33">
        <v>0.0</v>
      </c>
      <c r="V310" s="14">
        <v>0.0</v>
      </c>
      <c r="W310" s="14">
        <v>0.0</v>
      </c>
      <c r="X310" s="25" t="s">
        <v>469</v>
      </c>
      <c r="Y310" s="30" t="s">
        <v>32</v>
      </c>
      <c r="Z310" s="25" t="s">
        <v>470</v>
      </c>
      <c r="AA310" s="32" t="s">
        <v>33</v>
      </c>
      <c r="AB310" s="25">
        <v>38.0</v>
      </c>
    </row>
    <row r="311" ht="19.5" hidden="1" customHeight="1">
      <c r="A311" s="14">
        <v>13.0</v>
      </c>
      <c r="B311" s="15">
        <v>45973.0</v>
      </c>
      <c r="C311" s="16" t="s">
        <v>46</v>
      </c>
      <c r="D311" s="17">
        <v>1.0</v>
      </c>
      <c r="E311" s="18">
        <v>0.5395833333333333</v>
      </c>
      <c r="F311" s="34">
        <v>0.5902777777777778</v>
      </c>
      <c r="G311" s="20">
        <v>45739.0</v>
      </c>
      <c r="H311" s="14" t="s">
        <v>139</v>
      </c>
      <c r="I311" s="14" t="s">
        <v>88</v>
      </c>
      <c r="J311" s="21" t="s">
        <v>49</v>
      </c>
      <c r="K311" s="22" t="s">
        <v>81</v>
      </c>
      <c r="L311" s="23" t="s">
        <v>54</v>
      </c>
      <c r="M311" s="24" t="s">
        <v>131</v>
      </c>
      <c r="N311" s="25" t="s">
        <v>169</v>
      </c>
      <c r="O311" s="26" t="s">
        <v>30</v>
      </c>
      <c r="P311" s="14">
        <v>1.0</v>
      </c>
      <c r="Q311" s="14">
        <v>0.0</v>
      </c>
      <c r="R311" s="27">
        <v>0.0</v>
      </c>
      <c r="S311" s="33">
        <v>0.0</v>
      </c>
      <c r="T311" s="28">
        <v>1.0</v>
      </c>
      <c r="U311" s="33">
        <v>0.0</v>
      </c>
      <c r="V311" s="14">
        <v>0.0</v>
      </c>
      <c r="W311" s="14">
        <v>0.0</v>
      </c>
      <c r="X311" s="35" t="s">
        <v>471</v>
      </c>
      <c r="Y311" s="30" t="s">
        <v>32</v>
      </c>
      <c r="Z311" s="35" t="s">
        <v>472</v>
      </c>
      <c r="AA311" s="32" t="s">
        <v>33</v>
      </c>
      <c r="AB311" s="25">
        <v>37.0</v>
      </c>
    </row>
    <row r="312" ht="19.5" hidden="1" customHeight="1">
      <c r="A312" s="14">
        <v>14.0</v>
      </c>
      <c r="B312" s="15">
        <v>45973.0</v>
      </c>
      <c r="C312" s="16" t="s">
        <v>71</v>
      </c>
      <c r="D312" s="17">
        <v>1.0</v>
      </c>
      <c r="E312" s="18">
        <v>0.6118055555555556</v>
      </c>
      <c r="F312" s="34">
        <v>0.6909722222222222</v>
      </c>
      <c r="G312" s="33" t="s">
        <v>473</v>
      </c>
      <c r="H312" s="14">
        <v>1135.0</v>
      </c>
      <c r="I312" s="14" t="s">
        <v>52</v>
      </c>
      <c r="J312" s="21" t="s">
        <v>53</v>
      </c>
      <c r="K312" s="22" t="s">
        <v>42</v>
      </c>
      <c r="L312" s="23" t="s">
        <v>54</v>
      </c>
      <c r="M312" s="24" t="s">
        <v>64</v>
      </c>
      <c r="N312" s="25" t="s">
        <v>474</v>
      </c>
      <c r="O312" s="26" t="s">
        <v>30</v>
      </c>
      <c r="P312" s="14">
        <v>2.0</v>
      </c>
      <c r="Q312" s="14">
        <v>0.0</v>
      </c>
      <c r="R312" s="27">
        <v>0.0</v>
      </c>
      <c r="S312" s="33">
        <v>0.0</v>
      </c>
      <c r="T312" s="28">
        <v>2.0</v>
      </c>
      <c r="U312" s="33">
        <v>0.0</v>
      </c>
      <c r="V312" s="14">
        <v>0.0</v>
      </c>
      <c r="W312" s="14">
        <v>0.0</v>
      </c>
      <c r="X312" s="35" t="s">
        <v>475</v>
      </c>
      <c r="Y312" s="30" t="s">
        <v>32</v>
      </c>
      <c r="Z312" s="35">
        <v>1.982190320713E12</v>
      </c>
      <c r="AA312" s="32" t="s">
        <v>33</v>
      </c>
      <c r="AB312" s="25">
        <v>40.0</v>
      </c>
    </row>
    <row r="313" ht="19.5" hidden="1" customHeight="1">
      <c r="A313" s="14">
        <v>15.0</v>
      </c>
      <c r="B313" s="15">
        <v>45973.0</v>
      </c>
      <c r="C313" s="16" t="s">
        <v>128</v>
      </c>
      <c r="D313" s="17">
        <v>1.0</v>
      </c>
      <c r="E313" s="18">
        <v>0.7125</v>
      </c>
      <c r="F313" s="34">
        <v>0.7236111111111111</v>
      </c>
      <c r="G313" s="33">
        <v>69.0</v>
      </c>
      <c r="H313" s="14" t="s">
        <v>129</v>
      </c>
      <c r="I313" s="14" t="s">
        <v>48</v>
      </c>
      <c r="J313" s="21" t="s">
        <v>49</v>
      </c>
      <c r="K313" s="22" t="s">
        <v>29</v>
      </c>
      <c r="L313" s="23" t="s">
        <v>38</v>
      </c>
      <c r="M313" s="24" t="s">
        <v>196</v>
      </c>
      <c r="N313" s="25" t="s">
        <v>448</v>
      </c>
      <c r="O313" s="26" t="s">
        <v>30</v>
      </c>
      <c r="P313" s="14">
        <v>2.0</v>
      </c>
      <c r="Q313" s="14">
        <v>0.0</v>
      </c>
      <c r="R313" s="27">
        <v>0.0</v>
      </c>
      <c r="S313" s="33">
        <v>0.0</v>
      </c>
      <c r="T313" s="28">
        <v>2.0</v>
      </c>
      <c r="U313" s="33">
        <v>0.0</v>
      </c>
      <c r="V313" s="14">
        <v>0.0</v>
      </c>
      <c r="W313" s="14">
        <v>0.0</v>
      </c>
      <c r="X313" s="25" t="s">
        <v>476</v>
      </c>
      <c r="Y313" s="30" t="s">
        <v>115</v>
      </c>
      <c r="Z313" s="25">
        <v>2.734633361804E12</v>
      </c>
      <c r="AA313" s="32" t="s">
        <v>33</v>
      </c>
      <c r="AB313" s="25">
        <v>30.0</v>
      </c>
    </row>
    <row r="314" ht="19.5" hidden="1" customHeight="1">
      <c r="A314" s="14">
        <v>16.0</v>
      </c>
      <c r="B314" s="15">
        <v>45973.0</v>
      </c>
      <c r="C314" s="16" t="s">
        <v>125</v>
      </c>
      <c r="D314" s="17">
        <v>1.0</v>
      </c>
      <c r="E314" s="18">
        <v>0.7166666666666667</v>
      </c>
      <c r="F314" s="34">
        <v>0.7423611111111111</v>
      </c>
      <c r="G314" s="33">
        <v>132.0</v>
      </c>
      <c r="H314" s="14" t="s">
        <v>126</v>
      </c>
      <c r="I314" s="14" t="s">
        <v>36</v>
      </c>
      <c r="J314" s="21" t="s">
        <v>53</v>
      </c>
      <c r="K314" s="22" t="s">
        <v>81</v>
      </c>
      <c r="L314" s="23" t="s">
        <v>54</v>
      </c>
      <c r="M314" s="24" t="s">
        <v>131</v>
      </c>
      <c r="N314" s="25" t="s">
        <v>148</v>
      </c>
      <c r="O314" s="26" t="s">
        <v>30</v>
      </c>
      <c r="P314" s="14">
        <v>3.0</v>
      </c>
      <c r="Q314" s="14">
        <v>0.0</v>
      </c>
      <c r="R314" s="27">
        <v>0.0</v>
      </c>
      <c r="S314" s="33">
        <v>0.0</v>
      </c>
      <c r="T314" s="28">
        <v>3.0</v>
      </c>
      <c r="U314" s="33">
        <v>0.0</v>
      </c>
      <c r="V314" s="14">
        <v>0.0</v>
      </c>
      <c r="W314" s="14">
        <v>0.0</v>
      </c>
      <c r="X314" s="35" t="s">
        <v>477</v>
      </c>
      <c r="Y314" s="30" t="s">
        <v>32</v>
      </c>
      <c r="Z314" s="35">
        <v>3.245220291006E12</v>
      </c>
      <c r="AA314" s="32" t="s">
        <v>33</v>
      </c>
      <c r="AB314" s="25">
        <v>24.0</v>
      </c>
    </row>
    <row r="315" ht="19.5" hidden="1" customHeight="1">
      <c r="A315" s="14">
        <v>17.0</v>
      </c>
      <c r="B315" s="15">
        <v>45973.0</v>
      </c>
      <c r="C315" s="16" t="s">
        <v>46</v>
      </c>
      <c r="D315" s="17">
        <v>1.0</v>
      </c>
      <c r="E315" s="18">
        <v>0.7416666666666667</v>
      </c>
      <c r="F315" s="34">
        <v>0.7159722222222222</v>
      </c>
      <c r="G315" s="33">
        <v>30.0</v>
      </c>
      <c r="H315" s="14" t="s">
        <v>150</v>
      </c>
      <c r="I315" s="14" t="s">
        <v>59</v>
      </c>
      <c r="J315" s="21" t="s">
        <v>37</v>
      </c>
      <c r="K315" s="22" t="s">
        <v>81</v>
      </c>
      <c r="L315" s="23" t="s">
        <v>54</v>
      </c>
      <c r="M315" s="24" t="s">
        <v>64</v>
      </c>
      <c r="N315" s="25" t="s">
        <v>169</v>
      </c>
      <c r="O315" s="26" t="s">
        <v>30</v>
      </c>
      <c r="P315" s="14">
        <v>1.0</v>
      </c>
      <c r="Q315" s="14">
        <v>0.0</v>
      </c>
      <c r="R315" s="27">
        <v>0.0</v>
      </c>
      <c r="S315" s="33">
        <v>0.0</v>
      </c>
      <c r="T315" s="28">
        <v>1.0</v>
      </c>
      <c r="U315" s="33">
        <v>0.0</v>
      </c>
      <c r="V315" s="14">
        <v>0.0</v>
      </c>
      <c r="W315" s="14">
        <v>0.0</v>
      </c>
      <c r="X315" s="25" t="s">
        <v>30</v>
      </c>
      <c r="Y315" s="30" t="s">
        <v>44</v>
      </c>
      <c r="Z315" s="25" t="s">
        <v>45</v>
      </c>
      <c r="AA315" s="32" t="s">
        <v>45</v>
      </c>
      <c r="AB315" s="25" t="s">
        <v>45</v>
      </c>
    </row>
    <row r="316" ht="19.5" hidden="1" customHeight="1">
      <c r="A316" s="14">
        <v>18.0</v>
      </c>
      <c r="B316" s="15">
        <v>45973.0</v>
      </c>
      <c r="C316" s="16" t="s">
        <v>34</v>
      </c>
      <c r="D316" s="17">
        <v>1.0</v>
      </c>
      <c r="E316" s="18">
        <v>0.7597222222222222</v>
      </c>
      <c r="F316" s="34"/>
      <c r="G316" s="33">
        <v>51.0</v>
      </c>
      <c r="H316" s="14" t="s">
        <v>35</v>
      </c>
      <c r="I316" s="14" t="s">
        <v>88</v>
      </c>
      <c r="J316" s="21" t="s">
        <v>49</v>
      </c>
      <c r="K316" s="22" t="s">
        <v>29</v>
      </c>
      <c r="L316" s="23" t="s">
        <v>54</v>
      </c>
      <c r="M316" s="24" t="s">
        <v>64</v>
      </c>
      <c r="N316" s="25" t="s">
        <v>83</v>
      </c>
      <c r="O316" s="26" t="s">
        <v>30</v>
      </c>
      <c r="P316" s="14">
        <v>1.0</v>
      </c>
      <c r="Q316" s="14">
        <v>0.0</v>
      </c>
      <c r="R316" s="27">
        <v>0.0</v>
      </c>
      <c r="S316" s="33">
        <v>0.0</v>
      </c>
      <c r="T316" s="28">
        <v>1.0</v>
      </c>
      <c r="U316" s="33">
        <v>0.0</v>
      </c>
      <c r="V316" s="14">
        <v>0.0</v>
      </c>
      <c r="W316" s="14">
        <v>0.0</v>
      </c>
      <c r="X316" s="25" t="s">
        <v>478</v>
      </c>
      <c r="Y316" s="30" t="s">
        <v>115</v>
      </c>
      <c r="Z316" s="25">
        <v>3.126858740415E12</v>
      </c>
      <c r="AA316" s="32" t="s">
        <v>33</v>
      </c>
      <c r="AB316" s="25">
        <v>26.0</v>
      </c>
    </row>
    <row r="317" ht="19.5" hidden="1" customHeight="1">
      <c r="A317" s="14">
        <v>19.0</v>
      </c>
      <c r="B317" s="15">
        <v>45973.0</v>
      </c>
      <c r="C317" s="16" t="s">
        <v>46</v>
      </c>
      <c r="D317" s="17" t="s">
        <v>50</v>
      </c>
      <c r="E317" s="18">
        <v>0.41875</v>
      </c>
      <c r="F317" s="34">
        <v>0.7993055555555556</v>
      </c>
      <c r="G317" s="33">
        <v>45.0</v>
      </c>
      <c r="H317" s="14" t="s">
        <v>150</v>
      </c>
      <c r="I317" s="14" t="s">
        <v>59</v>
      </c>
      <c r="J317" s="21" t="s">
        <v>53</v>
      </c>
      <c r="K317" s="22" t="s">
        <v>75</v>
      </c>
      <c r="L317" s="23" t="s">
        <v>54</v>
      </c>
      <c r="M317" s="24" t="s">
        <v>76</v>
      </c>
      <c r="N317" s="25" t="s">
        <v>479</v>
      </c>
      <c r="O317" s="26" t="s">
        <v>30</v>
      </c>
      <c r="P317" s="14">
        <v>0.0</v>
      </c>
      <c r="Q317" s="14">
        <v>0.0</v>
      </c>
      <c r="R317" s="27">
        <v>0.0</v>
      </c>
      <c r="S317" s="33">
        <v>0.0</v>
      </c>
      <c r="T317" s="28">
        <v>0.0</v>
      </c>
      <c r="U317" s="33">
        <v>0.0</v>
      </c>
      <c r="V317" s="14">
        <v>0.0</v>
      </c>
      <c r="W317" s="14">
        <v>0.0</v>
      </c>
      <c r="X317" s="25" t="s">
        <v>30</v>
      </c>
      <c r="Y317" s="30" t="s">
        <v>44</v>
      </c>
      <c r="Z317" s="25" t="s">
        <v>45</v>
      </c>
      <c r="AA317" s="32" t="s">
        <v>45</v>
      </c>
      <c r="AB317" s="25" t="s">
        <v>45</v>
      </c>
    </row>
    <row r="318" ht="19.5" hidden="1" customHeight="1">
      <c r="A318" s="14"/>
      <c r="B318" s="15">
        <v>45973.0</v>
      </c>
      <c r="C318" s="16"/>
      <c r="D318" s="17"/>
      <c r="E318" s="18"/>
      <c r="F318" s="34"/>
      <c r="G318" s="33"/>
      <c r="H318" s="14"/>
      <c r="I318" s="14"/>
      <c r="J318" s="21"/>
      <c r="K318" s="22" t="s">
        <v>29</v>
      </c>
      <c r="L318" s="23"/>
      <c r="M318" s="24"/>
      <c r="N318" s="25"/>
      <c r="O318" s="26" t="s">
        <v>77</v>
      </c>
      <c r="P318" s="14">
        <v>1.0</v>
      </c>
      <c r="Q318" s="14">
        <v>0.0</v>
      </c>
      <c r="R318" s="27">
        <v>0.0</v>
      </c>
      <c r="S318" s="33">
        <v>0.0</v>
      </c>
      <c r="T318" s="28">
        <v>1.0</v>
      </c>
      <c r="U318" s="33">
        <v>0.0</v>
      </c>
      <c r="V318" s="14">
        <v>0.0</v>
      </c>
      <c r="W318" s="14">
        <v>0.0</v>
      </c>
      <c r="X318" s="25" t="s">
        <v>480</v>
      </c>
      <c r="Y318" s="30" t="s">
        <v>481</v>
      </c>
      <c r="Z318" s="25" t="s">
        <v>482</v>
      </c>
      <c r="AA318" s="32" t="s">
        <v>33</v>
      </c>
      <c r="AB318" s="25">
        <v>78.0</v>
      </c>
    </row>
    <row r="319" ht="19.5" hidden="1" customHeight="1">
      <c r="A319" s="14">
        <v>20.0</v>
      </c>
      <c r="B319" s="15">
        <v>45973.0</v>
      </c>
      <c r="C319" s="16" t="s">
        <v>243</v>
      </c>
      <c r="D319" s="17">
        <v>2.0</v>
      </c>
      <c r="E319" s="18">
        <v>0.9673611111111111</v>
      </c>
      <c r="F319" s="34">
        <v>0.10069444444444445</v>
      </c>
      <c r="G319" s="33">
        <v>256.0</v>
      </c>
      <c r="H319" s="14" t="s">
        <v>244</v>
      </c>
      <c r="I319" s="14" t="s">
        <v>48</v>
      </c>
      <c r="J319" s="21" t="s">
        <v>49</v>
      </c>
      <c r="K319" s="22" t="s">
        <v>29</v>
      </c>
      <c r="L319" s="23" t="s">
        <v>38</v>
      </c>
      <c r="M319" s="24" t="s">
        <v>39</v>
      </c>
      <c r="N319" s="25" t="s">
        <v>56</v>
      </c>
      <c r="O319" s="26" t="s">
        <v>77</v>
      </c>
      <c r="P319" s="14">
        <v>1.0</v>
      </c>
      <c r="Q319" s="14">
        <v>0.0</v>
      </c>
      <c r="R319" s="27">
        <v>0.0</v>
      </c>
      <c r="S319" s="33">
        <v>0.0</v>
      </c>
      <c r="T319" s="28">
        <v>1.0</v>
      </c>
      <c r="U319" s="33">
        <v>0.0</v>
      </c>
      <c r="V319" s="14">
        <v>0.0</v>
      </c>
      <c r="W319" s="14">
        <v>0.0</v>
      </c>
      <c r="X319" s="25" t="s">
        <v>483</v>
      </c>
      <c r="Y319" s="30" t="s">
        <v>32</v>
      </c>
      <c r="Z319" s="25">
        <v>2.386210300101E12</v>
      </c>
      <c r="AA319" s="32" t="s">
        <v>33</v>
      </c>
      <c r="AB319" s="25">
        <v>55.0</v>
      </c>
    </row>
    <row r="320" ht="19.5" hidden="1" customHeight="1">
      <c r="A320" s="14"/>
      <c r="B320" s="15">
        <v>45973.0</v>
      </c>
      <c r="C320" s="16" t="s">
        <v>46</v>
      </c>
      <c r="D320" s="17">
        <v>1.0</v>
      </c>
      <c r="E320" s="18">
        <v>0.9965277777777778</v>
      </c>
      <c r="F320" s="34">
        <v>0.5104166666666666</v>
      </c>
      <c r="G320" s="33">
        <v>0.0</v>
      </c>
      <c r="H320" s="14">
        <v>1104.0</v>
      </c>
      <c r="I320" s="14" t="s">
        <v>143</v>
      </c>
      <c r="J320" s="21" t="s">
        <v>144</v>
      </c>
      <c r="K320" s="22" t="s">
        <v>100</v>
      </c>
      <c r="L320" s="23" t="s">
        <v>54</v>
      </c>
      <c r="M320" s="24" t="s">
        <v>64</v>
      </c>
      <c r="N320" s="25" t="s">
        <v>40</v>
      </c>
      <c r="O320" s="26"/>
      <c r="P320" s="14">
        <v>2.0</v>
      </c>
      <c r="Q320" s="14">
        <v>0.0</v>
      </c>
      <c r="R320" s="27">
        <v>0.0</v>
      </c>
      <c r="S320" s="33">
        <v>0.0</v>
      </c>
      <c r="T320" s="28">
        <v>2.0</v>
      </c>
      <c r="U320" s="33">
        <v>0.0</v>
      </c>
      <c r="V320" s="14">
        <v>0.0</v>
      </c>
      <c r="W320" s="14">
        <v>0.0</v>
      </c>
      <c r="X320" s="25" t="s">
        <v>484</v>
      </c>
      <c r="Y320" s="30" t="s">
        <v>61</v>
      </c>
      <c r="Z320" s="25">
        <v>2.067322520101E12</v>
      </c>
      <c r="AA320" s="32" t="s">
        <v>33</v>
      </c>
      <c r="AB320" s="25">
        <v>34.0</v>
      </c>
    </row>
    <row r="321" ht="19.5" hidden="1" customHeight="1">
      <c r="A321" s="14">
        <v>1.0</v>
      </c>
      <c r="B321" s="15">
        <v>45974.0</v>
      </c>
      <c r="C321" s="16" t="s">
        <v>46</v>
      </c>
      <c r="D321" s="17">
        <v>1.0</v>
      </c>
      <c r="E321" s="18">
        <v>0.14305555555555555</v>
      </c>
      <c r="F321" s="34">
        <v>0.7347222222222223</v>
      </c>
      <c r="G321" s="33">
        <v>65.0</v>
      </c>
      <c r="H321" s="14" t="s">
        <v>97</v>
      </c>
      <c r="I321" s="14" t="s">
        <v>485</v>
      </c>
      <c r="J321" s="21" t="s">
        <v>37</v>
      </c>
      <c r="K321" s="22" t="s">
        <v>75</v>
      </c>
      <c r="L321" s="23" t="s">
        <v>54</v>
      </c>
      <c r="M321" s="24" t="s">
        <v>76</v>
      </c>
      <c r="N321" s="25" t="s">
        <v>486</v>
      </c>
      <c r="O321" s="26" t="s">
        <v>30</v>
      </c>
      <c r="P321" s="14">
        <v>0.0</v>
      </c>
      <c r="Q321" s="14">
        <v>0.0</v>
      </c>
      <c r="R321" s="27">
        <v>0.0</v>
      </c>
      <c r="S321" s="33">
        <v>0.0</v>
      </c>
      <c r="T321" s="28">
        <v>0.0</v>
      </c>
      <c r="U321" s="33">
        <v>0.0</v>
      </c>
      <c r="V321" s="14">
        <v>0.0</v>
      </c>
      <c r="W321" s="14">
        <v>0.0</v>
      </c>
      <c r="X321" s="25" t="s">
        <v>487</v>
      </c>
      <c r="Y321" s="30" t="s">
        <v>44</v>
      </c>
      <c r="Z321" s="25" t="s">
        <v>45</v>
      </c>
      <c r="AA321" s="32" t="s">
        <v>45</v>
      </c>
      <c r="AB321" s="25" t="s">
        <v>45</v>
      </c>
    </row>
    <row r="322" ht="19.5" hidden="1" customHeight="1">
      <c r="A322" s="14">
        <v>2.0</v>
      </c>
      <c r="B322" s="15">
        <v>45974.0</v>
      </c>
      <c r="C322" s="16" t="s">
        <v>34</v>
      </c>
      <c r="D322" s="17">
        <v>1.0</v>
      </c>
      <c r="E322" s="18">
        <v>0.2916666666666667</v>
      </c>
      <c r="F322" s="34">
        <v>0.31875</v>
      </c>
      <c r="G322" s="33" t="s">
        <v>488</v>
      </c>
      <c r="H322" s="14">
        <v>1125.0</v>
      </c>
      <c r="I322" s="14" t="s">
        <v>36</v>
      </c>
      <c r="J322" s="21" t="s">
        <v>53</v>
      </c>
      <c r="K322" s="22" t="s">
        <v>63</v>
      </c>
      <c r="L322" s="23" t="s">
        <v>54</v>
      </c>
      <c r="M322" s="24" t="s">
        <v>102</v>
      </c>
      <c r="N322" s="25" t="s">
        <v>159</v>
      </c>
      <c r="O322" s="26" t="s">
        <v>30</v>
      </c>
      <c r="P322" s="14">
        <v>1.0</v>
      </c>
      <c r="Q322" s="14">
        <v>0.0</v>
      </c>
      <c r="R322" s="27">
        <v>0.0</v>
      </c>
      <c r="S322" s="33">
        <v>0.0</v>
      </c>
      <c r="T322" s="28">
        <v>1.0</v>
      </c>
      <c r="U322" s="33">
        <v>0.0</v>
      </c>
      <c r="V322" s="14">
        <v>0.0</v>
      </c>
      <c r="W322" s="14">
        <v>0.0</v>
      </c>
      <c r="X322" s="25" t="s">
        <v>30</v>
      </c>
      <c r="Y322" s="30" t="s">
        <v>44</v>
      </c>
      <c r="Z322" s="25" t="s">
        <v>45</v>
      </c>
      <c r="AA322" s="32" t="s">
        <v>45</v>
      </c>
      <c r="AB322" s="25" t="s">
        <v>45</v>
      </c>
    </row>
    <row r="323" ht="19.5" hidden="1" customHeight="1">
      <c r="A323" s="14">
        <v>3.0</v>
      </c>
      <c r="B323" s="15">
        <v>45974.0</v>
      </c>
      <c r="C323" s="16" t="s">
        <v>34</v>
      </c>
      <c r="D323" s="17" t="s">
        <v>50</v>
      </c>
      <c r="E323" s="18">
        <v>0.3229166666666667</v>
      </c>
      <c r="F323" s="34">
        <v>0.7638888888888888</v>
      </c>
      <c r="G323" s="33" t="s">
        <v>488</v>
      </c>
      <c r="H323" s="14">
        <v>1125.0</v>
      </c>
      <c r="I323" s="14" t="s">
        <v>36</v>
      </c>
      <c r="J323" s="21" t="s">
        <v>53</v>
      </c>
      <c r="K323" s="22" t="s">
        <v>75</v>
      </c>
      <c r="L323" s="23" t="s">
        <v>54</v>
      </c>
      <c r="M323" s="24" t="s">
        <v>76</v>
      </c>
      <c r="N323" s="25" t="s">
        <v>56</v>
      </c>
      <c r="O323" s="26" t="s">
        <v>489</v>
      </c>
      <c r="P323" s="14">
        <v>0.0</v>
      </c>
      <c r="Q323" s="14">
        <v>0.0</v>
      </c>
      <c r="R323" s="27">
        <v>0.0</v>
      </c>
      <c r="S323" s="33">
        <v>0.0</v>
      </c>
      <c r="T323" s="28">
        <v>0.0</v>
      </c>
      <c r="U323" s="33">
        <v>0.0</v>
      </c>
      <c r="V323" s="14">
        <v>0.0</v>
      </c>
      <c r="W323" s="14">
        <v>0.0</v>
      </c>
      <c r="X323" s="25" t="s">
        <v>30</v>
      </c>
      <c r="Y323" s="30" t="s">
        <v>44</v>
      </c>
      <c r="Z323" s="25" t="s">
        <v>45</v>
      </c>
      <c r="AA323" s="32" t="s">
        <v>45</v>
      </c>
      <c r="AB323" s="25" t="s">
        <v>45</v>
      </c>
    </row>
    <row r="324" ht="19.5" hidden="1" customHeight="1">
      <c r="A324" s="14">
        <v>4.0</v>
      </c>
      <c r="B324" s="15">
        <v>45974.0</v>
      </c>
      <c r="C324" s="16" t="s">
        <v>46</v>
      </c>
      <c r="D324" s="17">
        <v>1.0</v>
      </c>
      <c r="E324" s="18">
        <v>0.3347222222222222</v>
      </c>
      <c r="F324" s="34">
        <v>0.35625</v>
      </c>
      <c r="G324" s="33">
        <v>46.0</v>
      </c>
      <c r="H324" s="14" t="s">
        <v>147</v>
      </c>
      <c r="I324" s="14" t="s">
        <v>59</v>
      </c>
      <c r="J324" s="21" t="s">
        <v>37</v>
      </c>
      <c r="K324" s="22" t="s">
        <v>42</v>
      </c>
      <c r="L324" s="23" t="s">
        <v>54</v>
      </c>
      <c r="M324" s="24" t="s">
        <v>64</v>
      </c>
      <c r="N324" s="25" t="s">
        <v>117</v>
      </c>
      <c r="O324" s="26" t="s">
        <v>30</v>
      </c>
      <c r="P324" s="14">
        <v>1.0</v>
      </c>
      <c r="Q324" s="14">
        <v>0.0</v>
      </c>
      <c r="R324" s="27">
        <v>0.0</v>
      </c>
      <c r="S324" s="33">
        <v>0.0</v>
      </c>
      <c r="T324" s="28">
        <v>1.0</v>
      </c>
      <c r="U324" s="33">
        <v>0.0</v>
      </c>
      <c r="V324" s="14">
        <v>0.0</v>
      </c>
      <c r="W324" s="14">
        <v>0.0</v>
      </c>
      <c r="X324" s="35" t="s">
        <v>490</v>
      </c>
      <c r="Y324" s="30" t="s">
        <v>85</v>
      </c>
      <c r="Z324" s="35" t="s">
        <v>491</v>
      </c>
      <c r="AA324" s="32" t="s">
        <v>33</v>
      </c>
      <c r="AB324" s="25">
        <v>51.0</v>
      </c>
    </row>
    <row r="325" ht="19.5" hidden="1" customHeight="1">
      <c r="A325" s="14">
        <v>5.0</v>
      </c>
      <c r="B325" s="53">
        <v>45974.0</v>
      </c>
      <c r="C325" s="16" t="s">
        <v>46</v>
      </c>
      <c r="D325" s="17" t="s">
        <v>50</v>
      </c>
      <c r="E325" s="18">
        <v>0.3611111111111111</v>
      </c>
      <c r="F325" s="34">
        <v>0.7715277777777778</v>
      </c>
      <c r="G325" s="33">
        <v>42.0</v>
      </c>
      <c r="H325" s="14" t="s">
        <v>147</v>
      </c>
      <c r="I325" s="14" t="s">
        <v>59</v>
      </c>
      <c r="J325" s="21" t="s">
        <v>37</v>
      </c>
      <c r="K325" s="22" t="s">
        <v>75</v>
      </c>
      <c r="L325" s="23" t="s">
        <v>54</v>
      </c>
      <c r="M325" s="24" t="s">
        <v>76</v>
      </c>
      <c r="N325" s="25" t="s">
        <v>492</v>
      </c>
      <c r="O325" s="26" t="s">
        <v>489</v>
      </c>
      <c r="P325" s="14">
        <v>0.0</v>
      </c>
      <c r="Q325" s="14">
        <v>0.0</v>
      </c>
      <c r="R325" s="27">
        <v>0.0</v>
      </c>
      <c r="S325" s="33">
        <v>0.0</v>
      </c>
      <c r="T325" s="28">
        <v>0.0</v>
      </c>
      <c r="U325" s="33">
        <v>0.0</v>
      </c>
      <c r="V325" s="14">
        <v>0.0</v>
      </c>
      <c r="W325" s="14">
        <v>0.0</v>
      </c>
      <c r="X325" s="25" t="s">
        <v>30</v>
      </c>
      <c r="Y325" s="30" t="s">
        <v>44</v>
      </c>
      <c r="Z325" s="25" t="s">
        <v>45</v>
      </c>
      <c r="AA325" s="32" t="s">
        <v>45</v>
      </c>
      <c r="AB325" s="25" t="s">
        <v>45</v>
      </c>
    </row>
    <row r="326" ht="19.5" hidden="1" customHeight="1">
      <c r="A326" s="14">
        <v>6.0</v>
      </c>
      <c r="B326" s="53">
        <v>45974.0</v>
      </c>
      <c r="C326" s="16" t="s">
        <v>243</v>
      </c>
      <c r="D326" s="17" t="s">
        <v>50</v>
      </c>
      <c r="E326" s="18">
        <v>0.38472222222222224</v>
      </c>
      <c r="F326" s="34">
        <v>0.6451388888888889</v>
      </c>
      <c r="G326" s="33">
        <v>200.0</v>
      </c>
      <c r="H326" s="14" t="s">
        <v>249</v>
      </c>
      <c r="I326" s="14" t="s">
        <v>48</v>
      </c>
      <c r="J326" s="21" t="s">
        <v>87</v>
      </c>
      <c r="K326" s="22" t="s">
        <v>75</v>
      </c>
      <c r="L326" s="23" t="s">
        <v>54</v>
      </c>
      <c r="M326" s="24" t="s">
        <v>467</v>
      </c>
      <c r="N326" s="25" t="s">
        <v>493</v>
      </c>
      <c r="O326" s="26" t="s">
        <v>494</v>
      </c>
      <c r="P326" s="14">
        <v>0.0</v>
      </c>
      <c r="Q326" s="14">
        <v>0.0</v>
      </c>
      <c r="R326" s="27">
        <v>0.0</v>
      </c>
      <c r="S326" s="33">
        <v>0.0</v>
      </c>
      <c r="T326" s="28">
        <v>0.0</v>
      </c>
      <c r="U326" s="33">
        <v>0.0</v>
      </c>
      <c r="V326" s="14">
        <v>0.0</v>
      </c>
      <c r="W326" s="14">
        <v>0.0</v>
      </c>
      <c r="X326" s="25" t="s">
        <v>77</v>
      </c>
      <c r="Y326" s="30" t="s">
        <v>44</v>
      </c>
      <c r="Z326" s="25" t="s">
        <v>45</v>
      </c>
      <c r="AA326" s="32" t="s">
        <v>45</v>
      </c>
      <c r="AB326" s="25" t="s">
        <v>45</v>
      </c>
    </row>
    <row r="327" ht="19.5" hidden="1" customHeight="1">
      <c r="A327" s="14">
        <v>7.0</v>
      </c>
      <c r="B327" s="15">
        <v>45974.0</v>
      </c>
      <c r="C327" s="16" t="s">
        <v>46</v>
      </c>
      <c r="D327" s="17">
        <v>1.0</v>
      </c>
      <c r="E327" s="18">
        <v>0.4048611111111111</v>
      </c>
      <c r="F327" s="34">
        <v>0.5243055555555556</v>
      </c>
      <c r="G327" s="33" t="s">
        <v>495</v>
      </c>
      <c r="H327" s="14" t="s">
        <v>139</v>
      </c>
      <c r="I327" s="14" t="s">
        <v>48</v>
      </c>
      <c r="J327" s="21" t="s">
        <v>87</v>
      </c>
      <c r="K327" s="22" t="s">
        <v>29</v>
      </c>
      <c r="L327" s="23" t="s">
        <v>38</v>
      </c>
      <c r="M327" s="24" t="s">
        <v>196</v>
      </c>
      <c r="N327" s="25" t="s">
        <v>40</v>
      </c>
      <c r="O327" s="26" t="s">
        <v>30</v>
      </c>
      <c r="P327" s="14">
        <v>2.0</v>
      </c>
      <c r="Q327" s="14">
        <v>0.0</v>
      </c>
      <c r="R327" s="27">
        <v>0.0</v>
      </c>
      <c r="S327" s="33">
        <v>0.0</v>
      </c>
      <c r="T327" s="28">
        <v>2.0</v>
      </c>
      <c r="U327" s="33">
        <v>0.0</v>
      </c>
      <c r="V327" s="14">
        <v>0.0</v>
      </c>
      <c r="W327" s="14">
        <v>0.0</v>
      </c>
      <c r="X327" s="35" t="s">
        <v>496</v>
      </c>
      <c r="Y327" s="30" t="s">
        <v>32</v>
      </c>
      <c r="Z327" s="35">
        <v>2.413017340508E12</v>
      </c>
      <c r="AA327" s="32" t="s">
        <v>33</v>
      </c>
      <c r="AB327" s="25">
        <v>37.0</v>
      </c>
    </row>
    <row r="328" ht="19.5" hidden="1" customHeight="1">
      <c r="A328" s="14">
        <v>8.0</v>
      </c>
      <c r="B328" s="15">
        <v>45974.0</v>
      </c>
      <c r="C328" s="16" t="s">
        <v>46</v>
      </c>
      <c r="D328" s="17">
        <v>1.0</v>
      </c>
      <c r="E328" s="18">
        <v>0.43472222222222223</v>
      </c>
      <c r="F328" s="34">
        <v>0.4354166666666667</v>
      </c>
      <c r="G328" s="33">
        <v>24.0</v>
      </c>
      <c r="H328" s="14">
        <v>1137.0</v>
      </c>
      <c r="I328" s="14" t="s">
        <v>52</v>
      </c>
      <c r="J328" s="21" t="s">
        <v>37</v>
      </c>
      <c r="K328" s="22" t="s">
        <v>42</v>
      </c>
      <c r="L328" s="23" t="s">
        <v>54</v>
      </c>
      <c r="M328" s="24" t="s">
        <v>64</v>
      </c>
      <c r="N328" s="25" t="s">
        <v>497</v>
      </c>
      <c r="O328" s="26" t="s">
        <v>30</v>
      </c>
      <c r="P328" s="14">
        <v>2.0</v>
      </c>
      <c r="Q328" s="14">
        <v>0.0</v>
      </c>
      <c r="R328" s="27">
        <v>0.0</v>
      </c>
      <c r="S328" s="33">
        <v>0.0</v>
      </c>
      <c r="T328" s="28">
        <v>2.0</v>
      </c>
      <c r="U328" s="33">
        <v>0.0</v>
      </c>
      <c r="V328" s="14">
        <v>0.0</v>
      </c>
      <c r="W328" s="14">
        <v>0.0</v>
      </c>
      <c r="X328" s="35" t="s">
        <v>498</v>
      </c>
      <c r="Y328" s="30" t="s">
        <v>61</v>
      </c>
      <c r="Z328" s="25" t="s">
        <v>45</v>
      </c>
      <c r="AA328" s="32" t="s">
        <v>33</v>
      </c>
      <c r="AB328" s="25">
        <v>61.0</v>
      </c>
    </row>
    <row r="329" ht="19.5" hidden="1" customHeight="1">
      <c r="A329" s="14">
        <v>9.0</v>
      </c>
      <c r="B329" s="15">
        <v>45974.0</v>
      </c>
      <c r="C329" s="16" t="s">
        <v>71</v>
      </c>
      <c r="D329" s="17">
        <v>1.0</v>
      </c>
      <c r="E329" s="18">
        <v>0.4375</v>
      </c>
      <c r="F329" s="34">
        <v>0.5555555555555556</v>
      </c>
      <c r="G329" s="33">
        <v>121.0</v>
      </c>
      <c r="H329" s="14">
        <v>1105.0</v>
      </c>
      <c r="I329" s="14" t="s">
        <v>52</v>
      </c>
      <c r="J329" s="21" t="s">
        <v>37</v>
      </c>
      <c r="K329" s="22" t="s">
        <v>100</v>
      </c>
      <c r="L329" s="23" t="s">
        <v>38</v>
      </c>
      <c r="M329" s="24" t="s">
        <v>140</v>
      </c>
      <c r="N329" s="25" t="s">
        <v>40</v>
      </c>
      <c r="O329" s="26" t="s">
        <v>30</v>
      </c>
      <c r="P329" s="14">
        <v>0.0</v>
      </c>
      <c r="Q329" s="14">
        <v>0.0</v>
      </c>
      <c r="R329" s="27">
        <v>0.0</v>
      </c>
      <c r="S329" s="33">
        <v>0.0</v>
      </c>
      <c r="T329" s="28">
        <v>0.0</v>
      </c>
      <c r="U329" s="33">
        <v>0.0</v>
      </c>
      <c r="V329" s="14">
        <v>0.0</v>
      </c>
      <c r="W329" s="14">
        <v>0.0</v>
      </c>
      <c r="X329" s="25" t="s">
        <v>487</v>
      </c>
      <c r="Y329" s="30" t="s">
        <v>44</v>
      </c>
      <c r="Z329" s="25" t="s">
        <v>45</v>
      </c>
      <c r="AA329" s="32" t="s">
        <v>45</v>
      </c>
      <c r="AB329" s="25" t="s">
        <v>45</v>
      </c>
    </row>
    <row r="330" ht="19.5" hidden="1" customHeight="1">
      <c r="A330" s="14">
        <v>10.0</v>
      </c>
      <c r="B330" s="15">
        <v>45974.0</v>
      </c>
      <c r="C330" s="16" t="s">
        <v>46</v>
      </c>
      <c r="D330" s="17">
        <v>1.0</v>
      </c>
      <c r="E330" s="18">
        <v>0.5381944444444444</v>
      </c>
      <c r="F330" s="34">
        <v>0.6041666666666666</v>
      </c>
      <c r="G330" s="33">
        <v>43.0</v>
      </c>
      <c r="H330" s="14" t="s">
        <v>98</v>
      </c>
      <c r="I330" s="14" t="s">
        <v>52</v>
      </c>
      <c r="J330" s="21" t="s">
        <v>37</v>
      </c>
      <c r="K330" s="22" t="s">
        <v>29</v>
      </c>
      <c r="L330" s="23" t="s">
        <v>54</v>
      </c>
      <c r="M330" s="24" t="s">
        <v>64</v>
      </c>
      <c r="N330" s="25" t="s">
        <v>135</v>
      </c>
      <c r="O330" s="26" t="s">
        <v>30</v>
      </c>
      <c r="P330" s="14">
        <v>1.0</v>
      </c>
      <c r="Q330" s="14">
        <v>0.0</v>
      </c>
      <c r="R330" s="27">
        <v>0.0</v>
      </c>
      <c r="S330" s="33">
        <v>0.0</v>
      </c>
      <c r="T330" s="28">
        <v>1.0</v>
      </c>
      <c r="U330" s="33">
        <v>0.0</v>
      </c>
      <c r="V330" s="14">
        <v>0.0</v>
      </c>
      <c r="W330" s="14">
        <v>0.0</v>
      </c>
      <c r="X330" s="25" t="s">
        <v>499</v>
      </c>
      <c r="Y330" s="30" t="s">
        <v>32</v>
      </c>
      <c r="Z330" s="35">
        <v>1.808563751612E12</v>
      </c>
      <c r="AA330" s="32" t="s">
        <v>33</v>
      </c>
      <c r="AB330" s="25">
        <v>38.0</v>
      </c>
    </row>
    <row r="331" ht="19.5" hidden="1" customHeight="1">
      <c r="A331" s="14">
        <v>11.0</v>
      </c>
      <c r="B331" s="15">
        <v>45974.0</v>
      </c>
      <c r="C331" s="16" t="s">
        <v>46</v>
      </c>
      <c r="D331" s="17">
        <v>1.0</v>
      </c>
      <c r="E331" s="18">
        <v>0.5375</v>
      </c>
      <c r="F331" s="34">
        <v>0.5597222222222222</v>
      </c>
      <c r="G331" s="33">
        <v>52.6</v>
      </c>
      <c r="H331" s="14" t="s">
        <v>139</v>
      </c>
      <c r="I331" s="14" t="s">
        <v>48</v>
      </c>
      <c r="J331" s="21" t="s">
        <v>87</v>
      </c>
      <c r="K331" s="22" t="s">
        <v>63</v>
      </c>
      <c r="L331" s="23" t="s">
        <v>54</v>
      </c>
      <c r="M331" s="24" t="s">
        <v>64</v>
      </c>
      <c r="N331" s="25" t="s">
        <v>135</v>
      </c>
      <c r="O331" s="26" t="s">
        <v>30</v>
      </c>
      <c r="P331" s="14">
        <v>2.0</v>
      </c>
      <c r="Q331" s="14">
        <v>0.0</v>
      </c>
      <c r="R331" s="27">
        <v>0.0</v>
      </c>
      <c r="S331" s="33">
        <v>0.0</v>
      </c>
      <c r="T331" s="28">
        <v>2.0</v>
      </c>
      <c r="U331" s="33">
        <v>0.0</v>
      </c>
      <c r="V331" s="14">
        <v>0.0</v>
      </c>
      <c r="W331" s="14">
        <v>0.0</v>
      </c>
      <c r="X331" s="35" t="s">
        <v>500</v>
      </c>
      <c r="Y331" s="30" t="s">
        <v>85</v>
      </c>
      <c r="Z331" s="35">
        <v>2.535491671503E12</v>
      </c>
      <c r="AA331" s="32" t="s">
        <v>33</v>
      </c>
      <c r="AB331" s="25">
        <v>36.0</v>
      </c>
    </row>
    <row r="332" ht="19.5" hidden="1" customHeight="1">
      <c r="A332" s="14">
        <v>12.0</v>
      </c>
      <c r="B332" s="15">
        <v>45974.0</v>
      </c>
      <c r="C332" s="16" t="s">
        <v>46</v>
      </c>
      <c r="D332" s="17">
        <v>1.0</v>
      </c>
      <c r="E332" s="18">
        <v>0.5979166666666667</v>
      </c>
      <c r="F332" s="34">
        <v>0.625</v>
      </c>
      <c r="G332" s="33">
        <v>23.0</v>
      </c>
      <c r="H332" s="14">
        <v>1137.0</v>
      </c>
      <c r="I332" s="14" t="s">
        <v>52</v>
      </c>
      <c r="J332" s="21" t="s">
        <v>53</v>
      </c>
      <c r="K332" s="22" t="s">
        <v>100</v>
      </c>
      <c r="L332" s="23" t="s">
        <v>54</v>
      </c>
      <c r="M332" s="24" t="s">
        <v>64</v>
      </c>
      <c r="N332" s="25" t="s">
        <v>40</v>
      </c>
      <c r="O332" s="26" t="s">
        <v>30</v>
      </c>
      <c r="P332" s="14">
        <v>3.0</v>
      </c>
      <c r="Q332" s="14">
        <v>0.0</v>
      </c>
      <c r="R332" s="27">
        <v>0.0</v>
      </c>
      <c r="S332" s="33">
        <v>0.0</v>
      </c>
      <c r="T332" s="28">
        <v>3.0</v>
      </c>
      <c r="U332" s="33">
        <v>0.0</v>
      </c>
      <c r="V332" s="14">
        <v>0.0</v>
      </c>
      <c r="W332" s="14">
        <v>0.0</v>
      </c>
      <c r="X332" s="25" t="s">
        <v>501</v>
      </c>
      <c r="Y332" s="30" t="s">
        <v>85</v>
      </c>
      <c r="Z332" s="25">
        <v>2.531951010101E12</v>
      </c>
      <c r="AA332" s="32" t="s">
        <v>33</v>
      </c>
      <c r="AB332" s="25">
        <v>36.0</v>
      </c>
    </row>
    <row r="333" ht="19.5" hidden="1" customHeight="1">
      <c r="A333" s="14">
        <v>13.0</v>
      </c>
      <c r="B333" s="15">
        <v>45974.0</v>
      </c>
      <c r="C333" s="16" t="s">
        <v>46</v>
      </c>
      <c r="D333" s="17">
        <v>1.0</v>
      </c>
      <c r="E333" s="18">
        <v>0.6861111111111111</v>
      </c>
      <c r="F333" s="34">
        <v>0.7590277777777777</v>
      </c>
      <c r="G333" s="33" t="s">
        <v>502</v>
      </c>
      <c r="H333" s="14">
        <v>1105.0</v>
      </c>
      <c r="I333" s="14" t="s">
        <v>52</v>
      </c>
      <c r="J333" s="21" t="s">
        <v>53</v>
      </c>
      <c r="K333" s="22" t="s">
        <v>29</v>
      </c>
      <c r="L333" s="23" t="s">
        <v>54</v>
      </c>
      <c r="M333" s="24" t="s">
        <v>64</v>
      </c>
      <c r="N333" s="25" t="s">
        <v>40</v>
      </c>
      <c r="O333" s="26" t="s">
        <v>30</v>
      </c>
      <c r="P333" s="14">
        <v>1.0</v>
      </c>
      <c r="Q333" s="14">
        <v>0.0</v>
      </c>
      <c r="R333" s="27">
        <v>0.0</v>
      </c>
      <c r="S333" s="33">
        <v>0.0</v>
      </c>
      <c r="T333" s="28">
        <v>1.0</v>
      </c>
      <c r="U333" s="33">
        <v>0.0</v>
      </c>
      <c r="V333" s="14">
        <v>0.0</v>
      </c>
      <c r="W333" s="14">
        <v>0.0</v>
      </c>
      <c r="X333" s="25" t="s">
        <v>503</v>
      </c>
      <c r="Y333" s="30" t="s">
        <v>32</v>
      </c>
      <c r="Z333" s="25">
        <v>1.93870251412E11</v>
      </c>
      <c r="AA333" s="32" t="s">
        <v>33</v>
      </c>
      <c r="AB333" s="25">
        <v>45.0</v>
      </c>
    </row>
    <row r="334" ht="19.5" hidden="1" customHeight="1">
      <c r="A334" s="14">
        <v>14.0</v>
      </c>
      <c r="B334" s="15">
        <v>45974.0</v>
      </c>
      <c r="C334" s="16" t="s">
        <v>46</v>
      </c>
      <c r="D334" s="17">
        <v>1.0</v>
      </c>
      <c r="E334" s="18">
        <v>0.7083333333333334</v>
      </c>
      <c r="F334" s="34">
        <v>0.7631944444444444</v>
      </c>
      <c r="G334" s="33">
        <v>15.0</v>
      </c>
      <c r="H334" s="14" t="s">
        <v>66</v>
      </c>
      <c r="I334" s="14" t="s">
        <v>88</v>
      </c>
      <c r="J334" s="21" t="s">
        <v>49</v>
      </c>
      <c r="K334" s="22" t="s">
        <v>81</v>
      </c>
      <c r="L334" s="23" t="s">
        <v>38</v>
      </c>
      <c r="M334" s="24" t="s">
        <v>108</v>
      </c>
      <c r="N334" s="25" t="s">
        <v>135</v>
      </c>
      <c r="O334" s="26" t="s">
        <v>77</v>
      </c>
      <c r="P334" s="14">
        <v>1.0</v>
      </c>
      <c r="Q334" s="14">
        <v>0.0</v>
      </c>
      <c r="R334" s="27">
        <v>0.0</v>
      </c>
      <c r="S334" s="33">
        <v>0.0</v>
      </c>
      <c r="T334" s="28">
        <v>1.0</v>
      </c>
      <c r="U334" s="33">
        <v>0.0</v>
      </c>
      <c r="V334" s="14">
        <v>0.0</v>
      </c>
      <c r="W334" s="14">
        <v>0.0</v>
      </c>
      <c r="X334" s="25" t="s">
        <v>504</v>
      </c>
      <c r="Y334" s="30" t="s">
        <v>32</v>
      </c>
      <c r="Z334" s="25">
        <v>2.629050000101E12</v>
      </c>
      <c r="AA334" s="32" t="s">
        <v>33</v>
      </c>
      <c r="AB334" s="25">
        <v>38.0</v>
      </c>
    </row>
    <row r="335" ht="19.5" hidden="1" customHeight="1">
      <c r="A335" s="14">
        <v>15.0</v>
      </c>
      <c r="B335" s="15">
        <v>45974.0</v>
      </c>
      <c r="C335" s="16" t="s">
        <v>46</v>
      </c>
      <c r="D335" s="17">
        <v>1.0</v>
      </c>
      <c r="E335" s="18">
        <v>0.71875</v>
      </c>
      <c r="F335" s="34">
        <v>0.7326388888888888</v>
      </c>
      <c r="G335" s="33">
        <v>28.0</v>
      </c>
      <c r="H335" s="14">
        <v>1137.0</v>
      </c>
      <c r="I335" s="14" t="s">
        <v>52</v>
      </c>
      <c r="J335" s="21" t="s">
        <v>53</v>
      </c>
      <c r="K335" s="22" t="s">
        <v>505</v>
      </c>
      <c r="L335" s="23" t="s">
        <v>54</v>
      </c>
      <c r="M335" s="24" t="s">
        <v>64</v>
      </c>
      <c r="N335" s="25" t="s">
        <v>135</v>
      </c>
      <c r="O335" s="26" t="s">
        <v>77</v>
      </c>
      <c r="P335" s="14">
        <v>1.0</v>
      </c>
      <c r="Q335" s="14">
        <v>0.0</v>
      </c>
      <c r="R335" s="27">
        <v>0.0</v>
      </c>
      <c r="S335" s="33">
        <v>0.0</v>
      </c>
      <c r="T335" s="28">
        <v>1.0</v>
      </c>
      <c r="U335" s="33">
        <v>0.0</v>
      </c>
      <c r="V335" s="14">
        <v>0.0</v>
      </c>
      <c r="W335" s="14">
        <v>0.0</v>
      </c>
      <c r="X335" s="35" t="s">
        <v>506</v>
      </c>
      <c r="Y335" s="30" t="s">
        <v>32</v>
      </c>
      <c r="Z335" s="35">
        <v>2.629050000101E12</v>
      </c>
      <c r="AA335" s="32" t="s">
        <v>33</v>
      </c>
      <c r="AB335" s="25">
        <v>38.0</v>
      </c>
    </row>
    <row r="336" ht="19.5" hidden="1" customHeight="1">
      <c r="A336" s="14">
        <v>16.0</v>
      </c>
      <c r="B336" s="15">
        <v>45974.0</v>
      </c>
      <c r="C336" s="16" t="s">
        <v>71</v>
      </c>
      <c r="D336" s="17">
        <v>1.0</v>
      </c>
      <c r="E336" s="18">
        <v>0.7777777777777778</v>
      </c>
      <c r="F336" s="34">
        <v>0.8270833333333333</v>
      </c>
      <c r="G336" s="33" t="s">
        <v>507</v>
      </c>
      <c r="H336" s="14">
        <v>1105.0</v>
      </c>
      <c r="I336" s="14" t="s">
        <v>52</v>
      </c>
      <c r="J336" s="21" t="s">
        <v>37</v>
      </c>
      <c r="K336" s="22" t="s">
        <v>29</v>
      </c>
      <c r="L336" s="23" t="s">
        <v>54</v>
      </c>
      <c r="M336" s="24" t="s">
        <v>64</v>
      </c>
      <c r="N336" s="25" t="s">
        <v>103</v>
      </c>
      <c r="O336" s="26" t="s">
        <v>30</v>
      </c>
      <c r="P336" s="14">
        <v>1.0</v>
      </c>
      <c r="Q336" s="14">
        <v>0.0</v>
      </c>
      <c r="R336" s="27">
        <v>0.0</v>
      </c>
      <c r="S336" s="33">
        <v>0.0</v>
      </c>
      <c r="T336" s="28">
        <v>1.0</v>
      </c>
      <c r="U336" s="33">
        <v>0.0</v>
      </c>
      <c r="V336" s="14">
        <v>0.0</v>
      </c>
      <c r="W336" s="14">
        <v>0.0</v>
      </c>
      <c r="X336" s="35" t="s">
        <v>508</v>
      </c>
      <c r="Y336" s="30" t="s">
        <v>32</v>
      </c>
      <c r="Z336" s="35">
        <v>1.951313980914E12</v>
      </c>
      <c r="AA336" s="32" t="s">
        <v>33</v>
      </c>
      <c r="AB336" s="25">
        <v>57.0</v>
      </c>
    </row>
    <row r="337" ht="19.5" hidden="1" customHeight="1">
      <c r="A337" s="14">
        <v>17.0</v>
      </c>
      <c r="B337" s="15">
        <v>45974.0</v>
      </c>
      <c r="C337" s="16" t="s">
        <v>46</v>
      </c>
      <c r="D337" s="17">
        <v>1.0</v>
      </c>
      <c r="E337" s="18">
        <v>0.8215277777777777</v>
      </c>
      <c r="F337" s="34">
        <v>0.8305555555555556</v>
      </c>
      <c r="G337" s="33">
        <v>46.0</v>
      </c>
      <c r="H337" s="14" t="s">
        <v>147</v>
      </c>
      <c r="I337" s="14" t="s">
        <v>59</v>
      </c>
      <c r="J337" s="21" t="s">
        <v>37</v>
      </c>
      <c r="K337" s="22" t="s">
        <v>100</v>
      </c>
      <c r="L337" s="23" t="s">
        <v>54</v>
      </c>
      <c r="M337" s="24" t="s">
        <v>131</v>
      </c>
      <c r="N337" s="25" t="s">
        <v>103</v>
      </c>
      <c r="O337" s="26" t="s">
        <v>30</v>
      </c>
      <c r="P337" s="14">
        <v>3.0</v>
      </c>
      <c r="Q337" s="14">
        <v>0.0</v>
      </c>
      <c r="R337" s="27">
        <v>0.0</v>
      </c>
      <c r="S337" s="33">
        <v>0.0</v>
      </c>
      <c r="T337" s="28">
        <v>3.0</v>
      </c>
      <c r="U337" s="33">
        <v>0.0</v>
      </c>
      <c r="V337" s="14">
        <v>0.0</v>
      </c>
      <c r="W337" s="14">
        <v>0.0</v>
      </c>
      <c r="X337" s="25" t="s">
        <v>509</v>
      </c>
      <c r="Y337" s="30" t="s">
        <v>61</v>
      </c>
      <c r="Z337" s="25">
        <v>3.58783870101E11</v>
      </c>
      <c r="AA337" s="32" t="s">
        <v>33</v>
      </c>
      <c r="AB337" s="25">
        <v>19.0</v>
      </c>
    </row>
    <row r="338" ht="19.5" hidden="1" customHeight="1">
      <c r="A338" s="14">
        <v>18.0</v>
      </c>
      <c r="B338" s="15">
        <v>45974.0</v>
      </c>
      <c r="C338" s="16" t="s">
        <v>34</v>
      </c>
      <c r="D338" s="17" t="s">
        <v>50</v>
      </c>
      <c r="E338" s="18">
        <v>0.8756944444444444</v>
      </c>
      <c r="F338" s="34">
        <v>0.9569444444444445</v>
      </c>
      <c r="G338" s="33">
        <v>58.0</v>
      </c>
      <c r="H338" s="14" t="s">
        <v>35</v>
      </c>
      <c r="I338" s="14" t="s">
        <v>36</v>
      </c>
      <c r="J338" s="21" t="s">
        <v>37</v>
      </c>
      <c r="K338" s="22" t="s">
        <v>75</v>
      </c>
      <c r="L338" s="23" t="s">
        <v>38</v>
      </c>
      <c r="M338" s="24" t="s">
        <v>510</v>
      </c>
      <c r="N338" s="25" t="s">
        <v>511</v>
      </c>
      <c r="O338" s="26" t="s">
        <v>77</v>
      </c>
      <c r="P338" s="14">
        <v>0.0</v>
      </c>
      <c r="Q338" s="14">
        <v>0.0</v>
      </c>
      <c r="R338" s="27">
        <v>2.0</v>
      </c>
      <c r="S338" s="33">
        <v>0.0</v>
      </c>
      <c r="T338" s="28">
        <v>0.0</v>
      </c>
      <c r="U338" s="33">
        <v>0.0</v>
      </c>
      <c r="V338" s="14">
        <v>0.0</v>
      </c>
      <c r="W338" s="14">
        <v>0.0</v>
      </c>
      <c r="X338" s="25" t="s">
        <v>512</v>
      </c>
      <c r="Y338" s="30" t="s">
        <v>259</v>
      </c>
      <c r="Z338" s="25">
        <v>3.136669540501E12</v>
      </c>
      <c r="AA338" s="32" t="s">
        <v>33</v>
      </c>
      <c r="AB338" s="25">
        <v>23.0</v>
      </c>
    </row>
    <row r="339" ht="19.5" hidden="1" customHeight="1">
      <c r="A339" s="14">
        <v>1.0</v>
      </c>
      <c r="B339" s="15">
        <v>45975.0</v>
      </c>
      <c r="C339" s="16" t="s">
        <v>71</v>
      </c>
      <c r="D339" s="17">
        <v>1.0</v>
      </c>
      <c r="E339" s="18">
        <v>0.09513888888888888</v>
      </c>
      <c r="F339" s="34">
        <v>0.4666666666666667</v>
      </c>
      <c r="G339" s="33">
        <v>152.0</v>
      </c>
      <c r="H339" s="14">
        <v>1105.0</v>
      </c>
      <c r="I339" s="14" t="s">
        <v>52</v>
      </c>
      <c r="J339" s="21" t="s">
        <v>53</v>
      </c>
      <c r="K339" s="22" t="s">
        <v>29</v>
      </c>
      <c r="L339" s="23" t="s">
        <v>38</v>
      </c>
      <c r="M339" s="24" t="s">
        <v>140</v>
      </c>
      <c r="N339" s="25" t="s">
        <v>513</v>
      </c>
      <c r="O339" s="26" t="s">
        <v>514</v>
      </c>
      <c r="P339" s="14">
        <v>1.0</v>
      </c>
      <c r="Q339" s="14">
        <v>0.0</v>
      </c>
      <c r="R339" s="27">
        <v>0.0</v>
      </c>
      <c r="S339" s="33">
        <v>0.0</v>
      </c>
      <c r="T339" s="28">
        <v>0.0</v>
      </c>
      <c r="U339" s="33">
        <v>0.0</v>
      </c>
      <c r="V339" s="14">
        <v>0.0</v>
      </c>
      <c r="W339" s="14">
        <v>0.0</v>
      </c>
      <c r="X339" s="25" t="s">
        <v>515</v>
      </c>
      <c r="Y339" s="30" t="s">
        <v>32</v>
      </c>
      <c r="Z339" s="25" t="s">
        <v>516</v>
      </c>
      <c r="AA339" s="32" t="s">
        <v>33</v>
      </c>
      <c r="AB339" s="25">
        <v>42.0</v>
      </c>
    </row>
    <row r="340" ht="19.5" hidden="1" customHeight="1">
      <c r="A340" s="14">
        <v>2.0</v>
      </c>
      <c r="B340" s="15">
        <v>45975.0</v>
      </c>
      <c r="C340" s="16" t="s">
        <v>71</v>
      </c>
      <c r="D340" s="17">
        <v>1.0</v>
      </c>
      <c r="E340" s="18">
        <v>0.22708333333333333</v>
      </c>
      <c r="F340" s="34">
        <v>0.40069444444444446</v>
      </c>
      <c r="G340" s="33">
        <v>213.0</v>
      </c>
      <c r="H340" s="14">
        <v>1135.0</v>
      </c>
      <c r="I340" s="14" t="s">
        <v>73</v>
      </c>
      <c r="J340" s="21" t="s">
        <v>87</v>
      </c>
      <c r="K340" s="22" t="s">
        <v>29</v>
      </c>
      <c r="L340" s="23" t="s">
        <v>54</v>
      </c>
      <c r="M340" s="24" t="s">
        <v>64</v>
      </c>
      <c r="N340" s="25" t="s">
        <v>40</v>
      </c>
      <c r="O340" s="26" t="s">
        <v>30</v>
      </c>
      <c r="P340" s="14">
        <v>1.0</v>
      </c>
      <c r="Q340" s="14">
        <v>0.0</v>
      </c>
      <c r="R340" s="27">
        <v>0.0</v>
      </c>
      <c r="S340" s="33">
        <v>0.0</v>
      </c>
      <c r="T340" s="28">
        <v>1.0</v>
      </c>
      <c r="U340" s="33">
        <v>0.0</v>
      </c>
      <c r="V340" s="14">
        <v>0.0</v>
      </c>
      <c r="W340" s="14">
        <v>0.0</v>
      </c>
      <c r="X340" s="35" t="s">
        <v>517</v>
      </c>
      <c r="Y340" s="30" t="s">
        <v>32</v>
      </c>
      <c r="Z340" s="35">
        <v>3.065307160401E12</v>
      </c>
      <c r="AA340" s="32" t="s">
        <v>33</v>
      </c>
      <c r="AB340" s="25">
        <v>27.0</v>
      </c>
    </row>
    <row r="341" ht="19.5" hidden="1" customHeight="1">
      <c r="A341" s="14">
        <v>3.0</v>
      </c>
      <c r="B341" s="15">
        <v>45975.0</v>
      </c>
      <c r="C341" s="16" t="s">
        <v>71</v>
      </c>
      <c r="D341" s="17">
        <v>1.0</v>
      </c>
      <c r="E341" s="18">
        <v>0.24861111111111112</v>
      </c>
      <c r="F341" s="34">
        <v>0.3111111111111111</v>
      </c>
      <c r="G341" s="33">
        <v>210.0</v>
      </c>
      <c r="H341" s="14">
        <v>1135.0</v>
      </c>
      <c r="I341" s="14" t="s">
        <v>73</v>
      </c>
      <c r="J341" s="21" t="s">
        <v>87</v>
      </c>
      <c r="K341" s="22" t="s">
        <v>81</v>
      </c>
      <c r="L341" s="23" t="s">
        <v>54</v>
      </c>
      <c r="M341" s="24" t="s">
        <v>64</v>
      </c>
      <c r="N341" s="25" t="s">
        <v>169</v>
      </c>
      <c r="O341" s="26" t="s">
        <v>77</v>
      </c>
      <c r="P341" s="14">
        <v>4.0</v>
      </c>
      <c r="Q341" s="14">
        <v>0.0</v>
      </c>
      <c r="R341" s="27">
        <v>0.0</v>
      </c>
      <c r="S341" s="33">
        <v>0.0</v>
      </c>
      <c r="T341" s="28">
        <v>4.0</v>
      </c>
      <c r="U341" s="33">
        <v>0.0</v>
      </c>
      <c r="V341" s="14">
        <v>0.0</v>
      </c>
      <c r="W341" s="14">
        <v>0.0</v>
      </c>
      <c r="X341" s="25" t="s">
        <v>518</v>
      </c>
      <c r="Y341" s="30" t="s">
        <v>61</v>
      </c>
      <c r="Z341" s="25">
        <v>3.434459840919E12</v>
      </c>
      <c r="AA341" s="32" t="s">
        <v>33</v>
      </c>
      <c r="AB341" s="25">
        <v>28.0</v>
      </c>
    </row>
    <row r="342" ht="19.5" hidden="1" customHeight="1">
      <c r="A342" s="14">
        <v>4.0</v>
      </c>
      <c r="B342" s="15">
        <v>45975.0</v>
      </c>
      <c r="C342" s="16" t="s">
        <v>71</v>
      </c>
      <c r="D342" s="17">
        <v>1.0</v>
      </c>
      <c r="E342" s="18">
        <v>0.24861111111111112</v>
      </c>
      <c r="F342" s="34">
        <v>0.4013888888888889</v>
      </c>
      <c r="G342" s="33" t="s">
        <v>519</v>
      </c>
      <c r="H342" s="14">
        <v>1135.0</v>
      </c>
      <c r="I342" s="14" t="s">
        <v>73</v>
      </c>
      <c r="J342" s="21" t="s">
        <v>87</v>
      </c>
      <c r="K342" s="22" t="s">
        <v>29</v>
      </c>
      <c r="L342" s="23" t="s">
        <v>54</v>
      </c>
      <c r="M342" s="24" t="s">
        <v>64</v>
      </c>
      <c r="N342" s="25" t="s">
        <v>40</v>
      </c>
      <c r="O342" s="26" t="s">
        <v>30</v>
      </c>
      <c r="P342" s="14">
        <v>0.0</v>
      </c>
      <c r="Q342" s="14">
        <v>0.0</v>
      </c>
      <c r="R342" s="27">
        <v>0.0</v>
      </c>
      <c r="S342" s="33">
        <v>0.0</v>
      </c>
      <c r="T342" s="28">
        <v>0.0</v>
      </c>
      <c r="U342" s="33">
        <v>0.0</v>
      </c>
      <c r="V342" s="14">
        <v>0.0</v>
      </c>
      <c r="W342" s="14">
        <v>0.0</v>
      </c>
      <c r="X342" s="25" t="s">
        <v>44</v>
      </c>
      <c r="Y342" s="30" t="s">
        <v>44</v>
      </c>
      <c r="Z342" s="25" t="s">
        <v>44</v>
      </c>
      <c r="AA342" s="32" t="s">
        <v>45</v>
      </c>
      <c r="AB342" s="25" t="s">
        <v>44</v>
      </c>
    </row>
    <row r="343" ht="19.5" hidden="1" customHeight="1">
      <c r="A343" s="14">
        <v>5.0</v>
      </c>
      <c r="B343" s="15">
        <v>45975.0</v>
      </c>
      <c r="C343" s="16" t="s">
        <v>46</v>
      </c>
      <c r="D343" s="17">
        <v>1.0</v>
      </c>
      <c r="E343" s="18">
        <v>0.26180555555555557</v>
      </c>
      <c r="F343" s="34">
        <v>0.65625</v>
      </c>
      <c r="G343" s="33">
        <v>98.0</v>
      </c>
      <c r="H343" s="14" t="s">
        <v>150</v>
      </c>
      <c r="I343" s="14" t="s">
        <v>36</v>
      </c>
      <c r="J343" s="21" t="s">
        <v>53</v>
      </c>
      <c r="K343" s="22" t="s">
        <v>75</v>
      </c>
      <c r="L343" s="23" t="s">
        <v>54</v>
      </c>
      <c r="M343" s="24" t="s">
        <v>467</v>
      </c>
      <c r="N343" s="25" t="s">
        <v>325</v>
      </c>
      <c r="O343" s="26" t="s">
        <v>30</v>
      </c>
      <c r="P343" s="14">
        <v>0.0</v>
      </c>
      <c r="Q343" s="14">
        <v>0.0</v>
      </c>
      <c r="R343" s="27">
        <v>0.0</v>
      </c>
      <c r="S343" s="33">
        <v>0.0</v>
      </c>
      <c r="T343" s="28">
        <v>0.0</v>
      </c>
      <c r="U343" s="33">
        <v>0.0</v>
      </c>
      <c r="V343" s="14">
        <v>0.0</v>
      </c>
      <c r="W343" s="14">
        <v>0.0</v>
      </c>
      <c r="X343" s="25" t="s">
        <v>30</v>
      </c>
      <c r="Y343" s="30" t="s">
        <v>44</v>
      </c>
      <c r="Z343" s="25" t="s">
        <v>45</v>
      </c>
      <c r="AA343" s="32" t="s">
        <v>45</v>
      </c>
      <c r="AB343" s="25" t="s">
        <v>45</v>
      </c>
    </row>
    <row r="344" ht="19.5" hidden="1" customHeight="1">
      <c r="A344" s="14">
        <v>6.0</v>
      </c>
      <c r="B344" s="15">
        <v>45975.0</v>
      </c>
      <c r="C344" s="16" t="s">
        <v>46</v>
      </c>
      <c r="D344" s="17">
        <v>1.0</v>
      </c>
      <c r="E344" s="18">
        <v>0.2833333333333333</v>
      </c>
      <c r="F344" s="34">
        <v>0.38125</v>
      </c>
      <c r="G344" s="33">
        <v>56.0</v>
      </c>
      <c r="H344" s="14" t="s">
        <v>94</v>
      </c>
      <c r="I344" s="14" t="s">
        <v>52</v>
      </c>
      <c r="J344" s="21" t="s">
        <v>53</v>
      </c>
      <c r="K344" s="22" t="s">
        <v>63</v>
      </c>
      <c r="L344" s="23" t="s">
        <v>38</v>
      </c>
      <c r="M344" s="24" t="s">
        <v>108</v>
      </c>
      <c r="N344" s="25" t="s">
        <v>159</v>
      </c>
      <c r="O344" s="26" t="s">
        <v>30</v>
      </c>
      <c r="P344" s="14">
        <v>4.0</v>
      </c>
      <c r="Q344" s="14">
        <v>0.0</v>
      </c>
      <c r="R344" s="27">
        <v>0.0</v>
      </c>
      <c r="S344" s="33">
        <v>0.0</v>
      </c>
      <c r="T344" s="28">
        <v>4.0</v>
      </c>
      <c r="U344" s="33">
        <v>0.0</v>
      </c>
      <c r="V344" s="14">
        <v>0.0</v>
      </c>
      <c r="W344" s="14">
        <v>0.0</v>
      </c>
      <c r="X344" s="35" t="s">
        <v>520</v>
      </c>
      <c r="Y344" s="30" t="s">
        <v>32</v>
      </c>
      <c r="Z344" s="35">
        <v>1.972429270411E12</v>
      </c>
      <c r="AA344" s="32" t="s">
        <v>33</v>
      </c>
      <c r="AB344" s="25">
        <v>40.0</v>
      </c>
    </row>
    <row r="345" ht="19.5" hidden="1" customHeight="1">
      <c r="A345" s="14">
        <v>7.0</v>
      </c>
      <c r="B345" s="15">
        <v>45975.0</v>
      </c>
      <c r="C345" s="16" t="s">
        <v>46</v>
      </c>
      <c r="D345" s="17">
        <v>1.0</v>
      </c>
      <c r="E345" s="18">
        <v>0.375</v>
      </c>
      <c r="F345" s="34">
        <v>0.3972222222222222</v>
      </c>
      <c r="G345" s="20">
        <v>45861.0</v>
      </c>
      <c r="H345" s="14" t="s">
        <v>147</v>
      </c>
      <c r="I345" s="14" t="s">
        <v>88</v>
      </c>
      <c r="J345" s="21" t="s">
        <v>49</v>
      </c>
      <c r="K345" s="22" t="s">
        <v>29</v>
      </c>
      <c r="L345" s="23" t="s">
        <v>54</v>
      </c>
      <c r="M345" s="24" t="s">
        <v>64</v>
      </c>
      <c r="N345" s="25" t="s">
        <v>148</v>
      </c>
      <c r="O345" s="26" t="s">
        <v>77</v>
      </c>
      <c r="P345" s="14">
        <v>1.0</v>
      </c>
      <c r="Q345" s="14">
        <v>0.0</v>
      </c>
      <c r="R345" s="27">
        <v>0.0</v>
      </c>
      <c r="S345" s="33">
        <v>0.0</v>
      </c>
      <c r="T345" s="28">
        <v>1.0</v>
      </c>
      <c r="U345" s="33">
        <v>0.0</v>
      </c>
      <c r="V345" s="14">
        <v>0.0</v>
      </c>
      <c r="W345" s="14">
        <v>0.0</v>
      </c>
      <c r="X345" s="25" t="s">
        <v>521</v>
      </c>
      <c r="Y345" s="30" t="s">
        <v>32</v>
      </c>
      <c r="Z345" s="25" t="s">
        <v>522</v>
      </c>
      <c r="AA345" s="32" t="s">
        <v>33</v>
      </c>
      <c r="AB345" s="25">
        <v>42.0</v>
      </c>
    </row>
    <row r="346" ht="19.5" hidden="1" customHeight="1">
      <c r="A346" s="14">
        <v>8.0</v>
      </c>
      <c r="B346" s="15">
        <v>45975.0</v>
      </c>
      <c r="C346" s="16" t="s">
        <v>46</v>
      </c>
      <c r="D346" s="17">
        <v>1.0</v>
      </c>
      <c r="E346" s="18">
        <v>0.3541666666666667</v>
      </c>
      <c r="F346" s="34">
        <v>0.6666666666666666</v>
      </c>
      <c r="G346" s="33">
        <v>42.0</v>
      </c>
      <c r="H346" s="14" t="s">
        <v>47</v>
      </c>
      <c r="I346" s="14" t="s">
        <v>59</v>
      </c>
      <c r="J346" s="21" t="s">
        <v>53</v>
      </c>
      <c r="K346" s="22" t="s">
        <v>75</v>
      </c>
      <c r="L346" s="23" t="s">
        <v>54</v>
      </c>
      <c r="M346" s="24" t="s">
        <v>76</v>
      </c>
      <c r="N346" s="25" t="s">
        <v>523</v>
      </c>
      <c r="O346" s="26" t="s">
        <v>30</v>
      </c>
      <c r="P346" s="14">
        <v>100.0</v>
      </c>
      <c r="Q346" s="14">
        <v>0.0</v>
      </c>
      <c r="R346" s="27">
        <v>0.0</v>
      </c>
      <c r="S346" s="33">
        <v>0.0</v>
      </c>
      <c r="T346" s="28">
        <v>100.0</v>
      </c>
      <c r="U346" s="33">
        <v>0.0</v>
      </c>
      <c r="V346" s="14">
        <v>0.0</v>
      </c>
      <c r="W346" s="14">
        <v>0.0</v>
      </c>
      <c r="X346" s="25" t="s">
        <v>44</v>
      </c>
      <c r="Y346" s="30" t="s">
        <v>44</v>
      </c>
      <c r="Z346" s="25" t="s">
        <v>44</v>
      </c>
      <c r="AA346" s="32" t="s">
        <v>45</v>
      </c>
      <c r="AB346" s="25" t="s">
        <v>44</v>
      </c>
    </row>
    <row r="347" ht="19.5" hidden="1" customHeight="1">
      <c r="A347" s="14">
        <v>9.0</v>
      </c>
      <c r="B347" s="15">
        <v>45975.0</v>
      </c>
      <c r="C347" s="16" t="s">
        <v>243</v>
      </c>
      <c r="D347" s="17">
        <v>1.0</v>
      </c>
      <c r="E347" s="18">
        <v>0.3958333333333333</v>
      </c>
      <c r="F347" s="34">
        <v>0.6736111111111112</v>
      </c>
      <c r="G347" s="33">
        <v>173.0</v>
      </c>
      <c r="H347" s="14" t="s">
        <v>249</v>
      </c>
      <c r="I347" s="14" t="s">
        <v>48</v>
      </c>
      <c r="J347" s="21" t="s">
        <v>49</v>
      </c>
      <c r="K347" s="22" t="s">
        <v>75</v>
      </c>
      <c r="L347" s="23" t="s">
        <v>54</v>
      </c>
      <c r="M347" s="24" t="s">
        <v>467</v>
      </c>
      <c r="N347" s="25" t="s">
        <v>511</v>
      </c>
      <c r="O347" s="26" t="s">
        <v>30</v>
      </c>
      <c r="P347" s="14">
        <v>0.0</v>
      </c>
      <c r="Q347" s="14">
        <v>0.0</v>
      </c>
      <c r="R347" s="27">
        <v>0.0</v>
      </c>
      <c r="S347" s="33">
        <v>0.0</v>
      </c>
      <c r="T347" s="28">
        <v>150.0</v>
      </c>
      <c r="U347" s="33">
        <v>0.0</v>
      </c>
      <c r="V347" s="14">
        <v>0.0</v>
      </c>
      <c r="W347" s="14">
        <v>0.0</v>
      </c>
      <c r="X347" s="25" t="s">
        <v>44</v>
      </c>
      <c r="Y347" s="30" t="s">
        <v>44</v>
      </c>
      <c r="Z347" s="25" t="s">
        <v>44</v>
      </c>
      <c r="AA347" s="32" t="s">
        <v>45</v>
      </c>
      <c r="AB347" s="25" t="s">
        <v>44</v>
      </c>
    </row>
    <row r="348" ht="19.5" hidden="1" customHeight="1">
      <c r="A348" s="14">
        <v>10.0</v>
      </c>
      <c r="B348" s="15">
        <v>45975.0</v>
      </c>
      <c r="C348" s="16" t="s">
        <v>46</v>
      </c>
      <c r="D348" s="17">
        <v>1.0</v>
      </c>
      <c r="E348" s="18">
        <v>0.125</v>
      </c>
      <c r="F348" s="34">
        <v>0.8333333333333334</v>
      </c>
      <c r="G348" s="33">
        <v>65.0</v>
      </c>
      <c r="H348" s="14" t="s">
        <v>62</v>
      </c>
      <c r="I348" s="14" t="s">
        <v>59</v>
      </c>
      <c r="J348" s="21" t="s">
        <v>53</v>
      </c>
      <c r="K348" s="22" t="s">
        <v>75</v>
      </c>
      <c r="L348" s="23" t="s">
        <v>54</v>
      </c>
      <c r="M348" s="24" t="s">
        <v>76</v>
      </c>
      <c r="N348" s="25" t="s">
        <v>486</v>
      </c>
      <c r="O348" s="26" t="s">
        <v>524</v>
      </c>
      <c r="P348" s="14">
        <v>0.0</v>
      </c>
      <c r="Q348" s="14">
        <v>0.0</v>
      </c>
      <c r="R348" s="27">
        <v>0.0</v>
      </c>
      <c r="S348" s="33">
        <v>0.0</v>
      </c>
      <c r="T348" s="28">
        <v>0.0</v>
      </c>
      <c r="U348" s="33">
        <v>0.0</v>
      </c>
      <c r="V348" s="14">
        <v>0.0</v>
      </c>
      <c r="W348" s="14">
        <v>0.0</v>
      </c>
      <c r="X348" s="25" t="s">
        <v>44</v>
      </c>
      <c r="Y348" s="30" t="s">
        <v>44</v>
      </c>
      <c r="Z348" s="25" t="s">
        <v>44</v>
      </c>
      <c r="AA348" s="32" t="s">
        <v>45</v>
      </c>
      <c r="AB348" s="25" t="s">
        <v>44</v>
      </c>
    </row>
    <row r="349" ht="19.5" hidden="1" customHeight="1">
      <c r="A349" s="14">
        <v>11.0</v>
      </c>
      <c r="B349" s="15">
        <v>45975.0</v>
      </c>
      <c r="C349" s="16" t="s">
        <v>46</v>
      </c>
      <c r="D349" s="17">
        <v>1.0</v>
      </c>
      <c r="E349" s="18">
        <v>0.4361111111111111</v>
      </c>
      <c r="F349" s="34">
        <v>0.6666666666666666</v>
      </c>
      <c r="G349" s="33">
        <v>45.5</v>
      </c>
      <c r="H349" s="14" t="s">
        <v>66</v>
      </c>
      <c r="I349" s="14" t="s">
        <v>48</v>
      </c>
      <c r="J349" s="21" t="s">
        <v>87</v>
      </c>
      <c r="K349" s="22" t="s">
        <v>29</v>
      </c>
      <c r="L349" s="23" t="s">
        <v>38</v>
      </c>
      <c r="M349" s="24" t="s">
        <v>196</v>
      </c>
      <c r="N349" s="25" t="s">
        <v>103</v>
      </c>
      <c r="O349" s="26" t="s">
        <v>30</v>
      </c>
      <c r="P349" s="14">
        <v>2.0</v>
      </c>
      <c r="Q349" s="14">
        <v>0.0</v>
      </c>
      <c r="R349" s="27">
        <v>0.0</v>
      </c>
      <c r="S349" s="33">
        <v>0.0</v>
      </c>
      <c r="T349" s="28">
        <v>2.0</v>
      </c>
      <c r="U349" s="33">
        <v>0.0</v>
      </c>
      <c r="V349" s="14">
        <v>0.0</v>
      </c>
      <c r="W349" s="14">
        <v>0.0</v>
      </c>
      <c r="X349" s="25" t="s">
        <v>525</v>
      </c>
      <c r="Y349" s="30" t="s">
        <v>32</v>
      </c>
      <c r="Z349" s="25">
        <v>2.054020031103E12</v>
      </c>
      <c r="AA349" s="32" t="s">
        <v>33</v>
      </c>
      <c r="AB349" s="25">
        <v>34.0</v>
      </c>
    </row>
    <row r="350" ht="19.5" hidden="1" customHeight="1">
      <c r="A350" s="14">
        <v>12.0</v>
      </c>
      <c r="B350" s="15">
        <v>45975.0</v>
      </c>
      <c r="C350" s="16" t="s">
        <v>407</v>
      </c>
      <c r="D350" s="17">
        <v>1.0</v>
      </c>
      <c r="E350" s="18">
        <v>0.4486111111111111</v>
      </c>
      <c r="F350" s="34">
        <v>0.4930555555555556</v>
      </c>
      <c r="G350" s="33">
        <v>251.0</v>
      </c>
      <c r="H350" s="14">
        <v>1132.0</v>
      </c>
      <c r="I350" s="14" t="s">
        <v>80</v>
      </c>
      <c r="J350" s="21" t="s">
        <v>49</v>
      </c>
      <c r="K350" s="22" t="s">
        <v>29</v>
      </c>
      <c r="L350" s="23" t="s">
        <v>54</v>
      </c>
      <c r="M350" s="24" t="s">
        <v>526</v>
      </c>
      <c r="N350" s="25" t="s">
        <v>103</v>
      </c>
      <c r="O350" s="26" t="s">
        <v>30</v>
      </c>
      <c r="P350" s="14">
        <v>0.0</v>
      </c>
      <c r="Q350" s="14">
        <v>0.0</v>
      </c>
      <c r="R350" s="27">
        <v>0.0</v>
      </c>
      <c r="S350" s="33">
        <v>0.0</v>
      </c>
      <c r="T350" s="28">
        <v>0.0</v>
      </c>
      <c r="U350" s="33">
        <v>0.0</v>
      </c>
      <c r="V350" s="14">
        <v>0.0</v>
      </c>
      <c r="W350" s="14">
        <v>0.0</v>
      </c>
      <c r="X350" s="25" t="s">
        <v>44</v>
      </c>
      <c r="Y350" s="30" t="s">
        <v>44</v>
      </c>
      <c r="Z350" s="25" t="s">
        <v>44</v>
      </c>
      <c r="AA350" s="32" t="s">
        <v>45</v>
      </c>
      <c r="AB350" s="25" t="s">
        <v>44</v>
      </c>
    </row>
    <row r="351" ht="19.5" hidden="1" customHeight="1">
      <c r="A351" s="14">
        <v>13.0</v>
      </c>
      <c r="B351" s="15">
        <v>45975.0</v>
      </c>
      <c r="C351" s="16" t="s">
        <v>125</v>
      </c>
      <c r="D351" s="17">
        <v>1.0</v>
      </c>
      <c r="E351" s="18">
        <v>0.4777777777777778</v>
      </c>
      <c r="F351" s="34">
        <v>0.6229166666666667</v>
      </c>
      <c r="G351" s="33">
        <v>130.0</v>
      </c>
      <c r="H351" s="14" t="s">
        <v>126</v>
      </c>
      <c r="I351" s="14" t="s">
        <v>36</v>
      </c>
      <c r="J351" s="21" t="s">
        <v>53</v>
      </c>
      <c r="K351" s="22" t="s">
        <v>29</v>
      </c>
      <c r="L351" s="23" t="s">
        <v>38</v>
      </c>
      <c r="M351" s="24" t="s">
        <v>527</v>
      </c>
      <c r="N351" s="25" t="s">
        <v>528</v>
      </c>
      <c r="O351" s="26" t="s">
        <v>30</v>
      </c>
      <c r="P351" s="14">
        <v>2.0</v>
      </c>
      <c r="Q351" s="14">
        <v>0.0</v>
      </c>
      <c r="R351" s="27">
        <v>0.0</v>
      </c>
      <c r="S351" s="33">
        <v>0.0</v>
      </c>
      <c r="T351" s="28">
        <v>2.0</v>
      </c>
      <c r="U351" s="33">
        <v>0.0</v>
      </c>
      <c r="V351" s="14">
        <v>0.0</v>
      </c>
      <c r="W351" s="14">
        <v>0.0</v>
      </c>
      <c r="X351" s="25" t="s">
        <v>529</v>
      </c>
      <c r="Y351" s="30" t="s">
        <v>32</v>
      </c>
      <c r="Z351" s="25">
        <v>2.01900078164E11</v>
      </c>
      <c r="AA351" s="32" t="s">
        <v>33</v>
      </c>
      <c r="AB351" s="25">
        <v>36.0</v>
      </c>
    </row>
    <row r="352" ht="19.5" hidden="1" customHeight="1">
      <c r="A352" s="14">
        <v>14.0</v>
      </c>
      <c r="B352" s="15">
        <v>45975.0</v>
      </c>
      <c r="C352" s="16" t="s">
        <v>46</v>
      </c>
      <c r="D352" s="17">
        <v>1.0</v>
      </c>
      <c r="E352" s="18">
        <v>0.5618055555555556</v>
      </c>
      <c r="F352" s="34">
        <v>0.5951388888888889</v>
      </c>
      <c r="G352" s="33">
        <v>34.0</v>
      </c>
      <c r="H352" s="14">
        <v>1137.0</v>
      </c>
      <c r="I352" s="14" t="s">
        <v>52</v>
      </c>
      <c r="J352" s="21" t="s">
        <v>53</v>
      </c>
      <c r="K352" s="22" t="s">
        <v>100</v>
      </c>
      <c r="L352" s="23" t="s">
        <v>38</v>
      </c>
      <c r="M352" s="24" t="s">
        <v>39</v>
      </c>
      <c r="N352" s="25" t="s">
        <v>135</v>
      </c>
      <c r="O352" s="26" t="s">
        <v>30</v>
      </c>
      <c r="P352" s="14">
        <v>2.0</v>
      </c>
      <c r="Q352" s="14">
        <v>0.0</v>
      </c>
      <c r="R352" s="27">
        <v>0.0</v>
      </c>
      <c r="S352" s="33">
        <v>0.0</v>
      </c>
      <c r="T352" s="28">
        <v>2.0</v>
      </c>
      <c r="U352" s="33">
        <v>0.0</v>
      </c>
      <c r="V352" s="14">
        <v>0.0</v>
      </c>
      <c r="W352" s="14">
        <v>0.0</v>
      </c>
      <c r="X352" s="35" t="s">
        <v>530</v>
      </c>
      <c r="Y352" s="30" t="s">
        <v>85</v>
      </c>
      <c r="Z352" s="35">
        <v>2.277590790404E12</v>
      </c>
      <c r="AA352" s="32" t="s">
        <v>33</v>
      </c>
      <c r="AB352" s="25">
        <v>49.0</v>
      </c>
    </row>
    <row r="353" ht="19.5" hidden="1" customHeight="1">
      <c r="A353" s="14">
        <v>15.0</v>
      </c>
      <c r="B353" s="15">
        <v>45975.0</v>
      </c>
      <c r="C353" s="16" t="s">
        <v>243</v>
      </c>
      <c r="D353" s="17">
        <v>1.0</v>
      </c>
      <c r="E353" s="18">
        <v>0.6284722222222222</v>
      </c>
      <c r="F353" s="34">
        <v>0.6590277777777778</v>
      </c>
      <c r="G353" s="33">
        <v>255.0</v>
      </c>
      <c r="H353" s="14" t="s">
        <v>244</v>
      </c>
      <c r="I353" s="14" t="s">
        <v>48</v>
      </c>
      <c r="J353" s="21" t="s">
        <v>49</v>
      </c>
      <c r="K353" s="22" t="s">
        <v>29</v>
      </c>
      <c r="L353" s="23" t="s">
        <v>54</v>
      </c>
      <c r="M353" s="24" t="s">
        <v>64</v>
      </c>
      <c r="N353" s="25" t="s">
        <v>531</v>
      </c>
      <c r="O353" s="26" t="s">
        <v>30</v>
      </c>
      <c r="P353" s="14">
        <v>1.0</v>
      </c>
      <c r="Q353" s="14">
        <v>0.0</v>
      </c>
      <c r="R353" s="27">
        <v>0.0</v>
      </c>
      <c r="S353" s="33">
        <v>0.0</v>
      </c>
      <c r="T353" s="28">
        <v>1.0</v>
      </c>
      <c r="U353" s="33">
        <v>0.0</v>
      </c>
      <c r="V353" s="14">
        <v>0.0</v>
      </c>
      <c r="W353" s="14">
        <v>0.0</v>
      </c>
      <c r="X353" s="25" t="s">
        <v>30</v>
      </c>
      <c r="Y353" s="30" t="s">
        <v>44</v>
      </c>
      <c r="Z353" s="25" t="s">
        <v>45</v>
      </c>
      <c r="AA353" s="32" t="s">
        <v>45</v>
      </c>
      <c r="AB353" s="25" t="s">
        <v>45</v>
      </c>
    </row>
    <row r="354" ht="19.5" hidden="1" customHeight="1">
      <c r="A354" s="14">
        <v>16.0</v>
      </c>
      <c r="B354" s="15">
        <v>45975.0</v>
      </c>
      <c r="C354" s="16" t="s">
        <v>46</v>
      </c>
      <c r="D354" s="17">
        <v>1.0</v>
      </c>
      <c r="E354" s="18">
        <v>0.2722222222222222</v>
      </c>
      <c r="F354" s="34">
        <v>0.5958333333333333</v>
      </c>
      <c r="G354" s="33">
        <v>98.0</v>
      </c>
      <c r="H354" s="14" t="s">
        <v>98</v>
      </c>
      <c r="I354" s="14" t="s">
        <v>36</v>
      </c>
      <c r="J354" s="21" t="s">
        <v>37</v>
      </c>
      <c r="K354" s="22" t="s">
        <v>75</v>
      </c>
      <c r="L354" s="23" t="s">
        <v>54</v>
      </c>
      <c r="M354" s="24" t="s">
        <v>467</v>
      </c>
      <c r="N354" s="25" t="s">
        <v>56</v>
      </c>
      <c r="O354" s="26" t="s">
        <v>30</v>
      </c>
      <c r="P354" s="14">
        <v>0.0</v>
      </c>
      <c r="Q354" s="14">
        <v>0.0</v>
      </c>
      <c r="R354" s="27">
        <v>0.0</v>
      </c>
      <c r="S354" s="33">
        <v>0.0</v>
      </c>
      <c r="T354" s="28">
        <v>0.0</v>
      </c>
      <c r="U354" s="33">
        <v>0.0</v>
      </c>
      <c r="V354" s="14">
        <v>0.0</v>
      </c>
      <c r="W354" s="14">
        <v>0.0</v>
      </c>
      <c r="X354" s="25" t="s">
        <v>30</v>
      </c>
      <c r="Y354" s="30" t="s">
        <v>44</v>
      </c>
      <c r="Z354" s="25" t="s">
        <v>45</v>
      </c>
      <c r="AA354" s="32" t="s">
        <v>45</v>
      </c>
      <c r="AB354" s="25" t="s">
        <v>45</v>
      </c>
    </row>
    <row r="355" ht="19.5" hidden="1" customHeight="1">
      <c r="A355" s="14">
        <v>17.0</v>
      </c>
      <c r="B355" s="15">
        <v>45975.0</v>
      </c>
      <c r="C355" s="16" t="s">
        <v>243</v>
      </c>
      <c r="D355" s="17">
        <v>1.0</v>
      </c>
      <c r="E355" s="18">
        <v>0.675</v>
      </c>
      <c r="F355" s="34">
        <v>0.7916666666666666</v>
      </c>
      <c r="G355" s="33">
        <v>256.0</v>
      </c>
      <c r="H355" s="14" t="s">
        <v>244</v>
      </c>
      <c r="I355" s="14" t="s">
        <v>48</v>
      </c>
      <c r="J355" s="21" t="s">
        <v>87</v>
      </c>
      <c r="K355" s="22" t="s">
        <v>29</v>
      </c>
      <c r="L355" s="23" t="s">
        <v>54</v>
      </c>
      <c r="M355" s="24" t="s">
        <v>64</v>
      </c>
      <c r="N355" s="25" t="s">
        <v>493</v>
      </c>
      <c r="O355" s="26" t="s">
        <v>30</v>
      </c>
      <c r="P355" s="14">
        <v>1.0</v>
      </c>
      <c r="Q355" s="14">
        <v>0.0</v>
      </c>
      <c r="R355" s="27">
        <v>0.0</v>
      </c>
      <c r="S355" s="33">
        <v>0.0</v>
      </c>
      <c r="T355" s="28">
        <v>1.0</v>
      </c>
      <c r="U355" s="33">
        <v>0.0</v>
      </c>
      <c r="V355" s="14">
        <v>0.0</v>
      </c>
      <c r="W355" s="14">
        <v>0.0</v>
      </c>
      <c r="X355" s="35" t="s">
        <v>532</v>
      </c>
      <c r="Y355" s="30" t="s">
        <v>415</v>
      </c>
      <c r="Z355" s="35" t="s">
        <v>533</v>
      </c>
      <c r="AA355" s="32" t="s">
        <v>33</v>
      </c>
      <c r="AB355" s="25" t="s">
        <v>45</v>
      </c>
    </row>
    <row r="356" ht="19.5" hidden="1" customHeight="1">
      <c r="A356" s="14"/>
      <c r="B356" s="15">
        <v>45975.0</v>
      </c>
      <c r="C356" s="16"/>
      <c r="D356" s="17"/>
      <c r="E356" s="18"/>
      <c r="F356" s="34"/>
      <c r="G356" s="33"/>
      <c r="H356" s="14"/>
      <c r="I356" s="14"/>
      <c r="J356" s="21"/>
      <c r="K356" s="22" t="s">
        <v>63</v>
      </c>
      <c r="L356" s="23"/>
      <c r="M356" s="24"/>
      <c r="N356" s="25"/>
      <c r="O356" s="26" t="s">
        <v>30</v>
      </c>
      <c r="P356" s="14">
        <v>3.0</v>
      </c>
      <c r="Q356" s="14">
        <v>0.0</v>
      </c>
      <c r="R356" s="27">
        <v>0.0</v>
      </c>
      <c r="S356" s="33">
        <v>0.0</v>
      </c>
      <c r="T356" s="28">
        <v>3.0</v>
      </c>
      <c r="U356" s="33">
        <v>0.0</v>
      </c>
      <c r="V356" s="14">
        <v>0.0</v>
      </c>
      <c r="W356" s="14">
        <v>0.0</v>
      </c>
      <c r="X356" s="35" t="s">
        <v>534</v>
      </c>
      <c r="Y356" s="30" t="s">
        <v>61</v>
      </c>
      <c r="Z356" s="35">
        <v>6.098502070613E12</v>
      </c>
      <c r="AA356" s="32" t="s">
        <v>33</v>
      </c>
      <c r="AB356" s="25">
        <v>26.0</v>
      </c>
    </row>
    <row r="357" ht="19.5" hidden="1" customHeight="1">
      <c r="A357" s="14"/>
      <c r="B357" s="15">
        <v>45975.0</v>
      </c>
      <c r="C357" s="16"/>
      <c r="D357" s="17"/>
      <c r="E357" s="18"/>
      <c r="F357" s="34"/>
      <c r="G357" s="33"/>
      <c r="H357" s="14"/>
      <c r="I357" s="14"/>
      <c r="J357" s="21"/>
      <c r="K357" s="22" t="s">
        <v>100</v>
      </c>
      <c r="L357" s="23"/>
      <c r="M357" s="24"/>
      <c r="N357" s="25"/>
      <c r="O357" s="26" t="s">
        <v>30</v>
      </c>
      <c r="P357" s="14">
        <v>2.0</v>
      </c>
      <c r="Q357" s="14">
        <v>0.0</v>
      </c>
      <c r="R357" s="27">
        <v>0.0</v>
      </c>
      <c r="S357" s="33">
        <v>0.0</v>
      </c>
      <c r="T357" s="28">
        <v>2.0</v>
      </c>
      <c r="U357" s="33">
        <v>0.0</v>
      </c>
      <c r="V357" s="14">
        <v>0.0</v>
      </c>
      <c r="W357" s="14">
        <v>0.0</v>
      </c>
      <c r="X357" s="35" t="s">
        <v>535</v>
      </c>
      <c r="Y357" s="30" t="s">
        <v>61</v>
      </c>
      <c r="Z357" s="35">
        <v>2.550362210808E12</v>
      </c>
      <c r="AA357" s="32" t="s">
        <v>33</v>
      </c>
      <c r="AB357" s="25">
        <v>52.0</v>
      </c>
    </row>
    <row r="358" ht="19.5" hidden="1" customHeight="1">
      <c r="A358" s="14">
        <v>18.0</v>
      </c>
      <c r="B358" s="15">
        <v>45975.0</v>
      </c>
      <c r="C358" s="16" t="s">
        <v>128</v>
      </c>
      <c r="D358" s="17">
        <v>3.0</v>
      </c>
      <c r="E358" s="18">
        <v>0.6854166666666667</v>
      </c>
      <c r="F358" s="34">
        <v>0.9069444444444444</v>
      </c>
      <c r="G358" s="33">
        <v>85.0</v>
      </c>
      <c r="H358" s="14" t="s">
        <v>129</v>
      </c>
      <c r="I358" s="14" t="s">
        <v>48</v>
      </c>
      <c r="J358" s="21" t="s">
        <v>49</v>
      </c>
      <c r="K358" s="22" t="s">
        <v>29</v>
      </c>
      <c r="L358" s="23" t="s">
        <v>38</v>
      </c>
      <c r="M358" s="24" t="s">
        <v>288</v>
      </c>
      <c r="N358" s="25" t="s">
        <v>536</v>
      </c>
      <c r="O358" s="26" t="s">
        <v>30</v>
      </c>
      <c r="P358" s="14">
        <v>1.0</v>
      </c>
      <c r="Q358" s="14">
        <v>0.0</v>
      </c>
      <c r="R358" s="27">
        <v>0.0</v>
      </c>
      <c r="S358" s="33">
        <v>0.0</v>
      </c>
      <c r="T358" s="28">
        <v>1.0</v>
      </c>
      <c r="U358" s="33">
        <v>0.0</v>
      </c>
      <c r="V358" s="14">
        <v>0.0</v>
      </c>
      <c r="W358" s="14">
        <v>0.0</v>
      </c>
      <c r="X358" s="35" t="s">
        <v>537</v>
      </c>
      <c r="Y358" s="30" t="s">
        <v>32</v>
      </c>
      <c r="Z358" s="35" t="s">
        <v>538</v>
      </c>
      <c r="AA358" s="32" t="s">
        <v>33</v>
      </c>
      <c r="AB358" s="25">
        <v>31.0</v>
      </c>
    </row>
    <row r="359" ht="19.5" hidden="1" customHeight="1">
      <c r="A359" s="14">
        <v>19.0</v>
      </c>
      <c r="B359" s="15">
        <v>45975.0</v>
      </c>
      <c r="C359" s="16" t="s">
        <v>46</v>
      </c>
      <c r="D359" s="17">
        <v>1.0</v>
      </c>
      <c r="E359" s="18">
        <v>0.7347222222222223</v>
      </c>
      <c r="F359" s="34">
        <v>0.7958333333333333</v>
      </c>
      <c r="G359" s="33">
        <v>28.0</v>
      </c>
      <c r="H359" s="14" t="s">
        <v>47</v>
      </c>
      <c r="I359" s="14" t="s">
        <v>59</v>
      </c>
      <c r="J359" s="21" t="s">
        <v>37</v>
      </c>
      <c r="K359" s="22" t="s">
        <v>100</v>
      </c>
      <c r="L359" s="23" t="s">
        <v>54</v>
      </c>
      <c r="M359" s="24" t="s">
        <v>67</v>
      </c>
      <c r="N359" s="25" t="s">
        <v>539</v>
      </c>
      <c r="O359" s="26" t="s">
        <v>30</v>
      </c>
      <c r="P359" s="14">
        <v>1.0</v>
      </c>
      <c r="Q359" s="14">
        <v>0.0</v>
      </c>
      <c r="R359" s="27">
        <v>0.0</v>
      </c>
      <c r="S359" s="33">
        <v>0.0</v>
      </c>
      <c r="T359" s="28">
        <v>1.0</v>
      </c>
      <c r="U359" s="33">
        <v>0.0</v>
      </c>
      <c r="V359" s="14">
        <v>0.0</v>
      </c>
      <c r="W359" s="14">
        <v>0.0</v>
      </c>
      <c r="X359" s="35" t="s">
        <v>540</v>
      </c>
      <c r="Y359" s="30" t="s">
        <v>85</v>
      </c>
      <c r="Z359" s="35">
        <v>2.103593070101E12</v>
      </c>
      <c r="AA359" s="32" t="s">
        <v>33</v>
      </c>
      <c r="AB359" s="25">
        <v>34.0</v>
      </c>
    </row>
    <row r="360" ht="19.5" hidden="1" customHeight="1">
      <c r="A360" s="14">
        <v>20.0</v>
      </c>
      <c r="B360" s="15">
        <v>45975.0</v>
      </c>
      <c r="C360" s="16" t="s">
        <v>34</v>
      </c>
      <c r="D360" s="17">
        <v>1.0</v>
      </c>
      <c r="E360" s="18">
        <v>0.7395833333333334</v>
      </c>
      <c r="F360" s="34">
        <v>0.80625</v>
      </c>
      <c r="G360" s="33">
        <v>67.0</v>
      </c>
      <c r="H360" s="14" t="s">
        <v>181</v>
      </c>
      <c r="I360" s="14" t="s">
        <v>88</v>
      </c>
      <c r="J360" s="21" t="s">
        <v>87</v>
      </c>
      <c r="K360" s="22" t="s">
        <v>29</v>
      </c>
      <c r="L360" s="23" t="s">
        <v>38</v>
      </c>
      <c r="M360" s="24" t="s">
        <v>39</v>
      </c>
      <c r="N360" s="25" t="s">
        <v>103</v>
      </c>
      <c r="O360" s="26" t="s">
        <v>30</v>
      </c>
      <c r="P360" s="14">
        <v>1.0</v>
      </c>
      <c r="Q360" s="14">
        <v>0.0</v>
      </c>
      <c r="R360" s="27">
        <v>0.0</v>
      </c>
      <c r="S360" s="33">
        <v>0.0</v>
      </c>
      <c r="T360" s="28">
        <v>1.0</v>
      </c>
      <c r="U360" s="33">
        <v>0.0</v>
      </c>
      <c r="V360" s="14">
        <v>0.0</v>
      </c>
      <c r="W360" s="14">
        <v>0.0</v>
      </c>
      <c r="X360" s="35" t="s">
        <v>541</v>
      </c>
      <c r="Y360" s="30" t="s">
        <v>32</v>
      </c>
      <c r="Z360" s="35">
        <v>2.533841760204E12</v>
      </c>
      <c r="AA360" s="32" t="s">
        <v>33</v>
      </c>
      <c r="AB360" s="25">
        <v>31.0</v>
      </c>
    </row>
    <row r="361" ht="19.5" hidden="1" customHeight="1">
      <c r="A361" s="14">
        <v>21.0</v>
      </c>
      <c r="B361" s="15">
        <v>45975.0</v>
      </c>
      <c r="C361" s="16" t="s">
        <v>46</v>
      </c>
      <c r="D361" s="17">
        <v>1.0</v>
      </c>
      <c r="E361" s="18">
        <v>0.7638888888888888</v>
      </c>
      <c r="F361" s="34">
        <v>0.7680555555555556</v>
      </c>
      <c r="G361" s="33">
        <v>22.0</v>
      </c>
      <c r="H361" s="14">
        <v>1137.0</v>
      </c>
      <c r="I361" s="14" t="s">
        <v>88</v>
      </c>
      <c r="J361" s="21" t="s">
        <v>49</v>
      </c>
      <c r="K361" s="22" t="s">
        <v>63</v>
      </c>
      <c r="L361" s="23" t="s">
        <v>54</v>
      </c>
      <c r="M361" s="24" t="s">
        <v>64</v>
      </c>
      <c r="N361" s="25" t="s">
        <v>103</v>
      </c>
      <c r="O361" s="26" t="s">
        <v>30</v>
      </c>
      <c r="P361" s="14">
        <v>1.0</v>
      </c>
      <c r="Q361" s="14">
        <v>0.0</v>
      </c>
      <c r="R361" s="27">
        <v>0.0</v>
      </c>
      <c r="S361" s="33">
        <v>0.0</v>
      </c>
      <c r="T361" s="28">
        <v>1.0</v>
      </c>
      <c r="U361" s="33">
        <v>0.0</v>
      </c>
      <c r="V361" s="14">
        <v>0.0</v>
      </c>
      <c r="W361" s="14">
        <v>0.0</v>
      </c>
      <c r="X361" s="25" t="s">
        <v>542</v>
      </c>
      <c r="Y361" s="30" t="s">
        <v>85</v>
      </c>
      <c r="Z361" s="25">
        <v>2.269203560101E12</v>
      </c>
      <c r="AA361" s="32" t="s">
        <v>33</v>
      </c>
      <c r="AB361" s="25">
        <v>46.0</v>
      </c>
    </row>
    <row r="362" ht="19.5" hidden="1" customHeight="1">
      <c r="A362" s="14">
        <v>22.0</v>
      </c>
      <c r="B362" s="15">
        <v>45975.0</v>
      </c>
      <c r="C362" s="16" t="s">
        <v>46</v>
      </c>
      <c r="D362" s="17">
        <v>1.0</v>
      </c>
      <c r="E362" s="18">
        <v>0.7805555555555556</v>
      </c>
      <c r="F362" s="34">
        <v>0.7923611111111111</v>
      </c>
      <c r="G362" s="33">
        <v>23.0</v>
      </c>
      <c r="H362" s="14">
        <v>1137.0</v>
      </c>
      <c r="I362" s="14" t="s">
        <v>88</v>
      </c>
      <c r="J362" s="21" t="s">
        <v>49</v>
      </c>
      <c r="K362" s="22" t="s">
        <v>63</v>
      </c>
      <c r="L362" s="23" t="s">
        <v>54</v>
      </c>
      <c r="M362" s="24" t="s">
        <v>67</v>
      </c>
      <c r="N362" s="25" t="s">
        <v>103</v>
      </c>
      <c r="O362" s="26" t="s">
        <v>30</v>
      </c>
      <c r="P362" s="14">
        <v>1.0</v>
      </c>
      <c r="Q362" s="14">
        <v>0.0</v>
      </c>
      <c r="R362" s="27">
        <v>0.0</v>
      </c>
      <c r="S362" s="33">
        <v>0.0</v>
      </c>
      <c r="T362" s="28">
        <v>1.0</v>
      </c>
      <c r="U362" s="33">
        <v>0.0</v>
      </c>
      <c r="V362" s="14">
        <v>0.0</v>
      </c>
      <c r="W362" s="14">
        <v>0.0</v>
      </c>
      <c r="X362" s="25" t="s">
        <v>543</v>
      </c>
      <c r="Y362" s="30" t="s">
        <v>32</v>
      </c>
      <c r="Z362" s="25">
        <v>3.1251448404015E13</v>
      </c>
      <c r="AA362" s="32" t="s">
        <v>33</v>
      </c>
      <c r="AB362" s="25">
        <v>35.0</v>
      </c>
    </row>
    <row r="363" ht="19.5" hidden="1" customHeight="1">
      <c r="A363" s="14">
        <v>23.0</v>
      </c>
      <c r="B363" s="15">
        <v>45975.0</v>
      </c>
      <c r="C363" s="16" t="s">
        <v>243</v>
      </c>
      <c r="D363" s="17">
        <v>1.0</v>
      </c>
      <c r="E363" s="18">
        <v>0.7708333333333334</v>
      </c>
      <c r="F363" s="34">
        <v>0.7930555555555555</v>
      </c>
      <c r="G363" s="33">
        <v>256.0</v>
      </c>
      <c r="H363" s="14" t="s">
        <v>244</v>
      </c>
      <c r="I363" s="14" t="s">
        <v>48</v>
      </c>
      <c r="J363" s="21" t="s">
        <v>49</v>
      </c>
      <c r="K363" s="22" t="s">
        <v>29</v>
      </c>
      <c r="L363" s="23" t="s">
        <v>54</v>
      </c>
      <c r="M363" s="24" t="s">
        <v>64</v>
      </c>
      <c r="N363" s="25" t="s">
        <v>544</v>
      </c>
      <c r="O363" s="26" t="s">
        <v>30</v>
      </c>
      <c r="P363" s="14">
        <v>1.0</v>
      </c>
      <c r="Q363" s="14">
        <v>0.0</v>
      </c>
      <c r="R363" s="27">
        <v>0.0</v>
      </c>
      <c r="S363" s="33">
        <v>0.0</v>
      </c>
      <c r="T363" s="28">
        <v>1.0</v>
      </c>
      <c r="U363" s="33">
        <v>0.0</v>
      </c>
      <c r="V363" s="14">
        <v>0.0</v>
      </c>
      <c r="W363" s="14">
        <v>0.0</v>
      </c>
      <c r="X363" s="25" t="s">
        <v>532</v>
      </c>
      <c r="Y363" s="30" t="s">
        <v>32</v>
      </c>
      <c r="Z363" s="25" t="s">
        <v>533</v>
      </c>
      <c r="AA363" s="32" t="s">
        <v>33</v>
      </c>
      <c r="AB363" s="25">
        <v>45.0</v>
      </c>
    </row>
    <row r="364" ht="19.5" hidden="1" customHeight="1">
      <c r="A364" s="14">
        <v>24.0</v>
      </c>
      <c r="B364" s="15">
        <v>45975.0</v>
      </c>
      <c r="C364" s="16" t="s">
        <v>46</v>
      </c>
      <c r="D364" s="17">
        <v>1.0</v>
      </c>
      <c r="E364" s="18">
        <v>0.7958333333333333</v>
      </c>
      <c r="F364" s="34">
        <v>0.5083333333333333</v>
      </c>
      <c r="G364" s="33">
        <v>38.0</v>
      </c>
      <c r="H364" s="14" t="s">
        <v>94</v>
      </c>
      <c r="I364" s="14" t="s">
        <v>52</v>
      </c>
      <c r="J364" s="21" t="s">
        <v>53</v>
      </c>
      <c r="K364" s="22" t="s">
        <v>89</v>
      </c>
      <c r="L364" s="23" t="s">
        <v>38</v>
      </c>
      <c r="M364" s="24" t="s">
        <v>113</v>
      </c>
      <c r="N364" s="25" t="s">
        <v>135</v>
      </c>
      <c r="O364" s="26" t="s">
        <v>30</v>
      </c>
      <c r="P364" s="14">
        <v>0.0</v>
      </c>
      <c r="Q364" s="14">
        <v>0.0</v>
      </c>
      <c r="R364" s="27">
        <v>1.0</v>
      </c>
      <c r="S364" s="33">
        <v>0.0</v>
      </c>
      <c r="T364" s="28">
        <v>1.0</v>
      </c>
      <c r="U364" s="33">
        <v>0.0</v>
      </c>
      <c r="V364" s="14">
        <v>0.0</v>
      </c>
      <c r="W364" s="14">
        <v>0.0</v>
      </c>
      <c r="X364" s="25"/>
      <c r="Y364" s="30"/>
      <c r="Z364" s="25"/>
      <c r="AA364" s="32"/>
      <c r="AB364" s="25"/>
    </row>
    <row r="365" ht="19.5" hidden="1" customHeight="1">
      <c r="A365" s="14">
        <v>25.0</v>
      </c>
      <c r="B365" s="15">
        <v>45975.0</v>
      </c>
      <c r="C365" s="16" t="s">
        <v>34</v>
      </c>
      <c r="D365" s="17">
        <v>1.0</v>
      </c>
      <c r="E365" s="18">
        <v>0.8555555555555555</v>
      </c>
      <c r="F365" s="34">
        <v>0.49583333333333335</v>
      </c>
      <c r="G365" s="33">
        <v>60.0</v>
      </c>
      <c r="H365" s="14">
        <v>1131.0</v>
      </c>
      <c r="I365" s="14" t="s">
        <v>88</v>
      </c>
      <c r="J365" s="21" t="s">
        <v>87</v>
      </c>
      <c r="K365" s="22" t="s">
        <v>29</v>
      </c>
      <c r="L365" s="23" t="s">
        <v>38</v>
      </c>
      <c r="M365" s="24" t="s">
        <v>108</v>
      </c>
      <c r="N365" s="25" t="s">
        <v>103</v>
      </c>
      <c r="O365" s="26" t="s">
        <v>30</v>
      </c>
      <c r="P365" s="14">
        <v>1.0</v>
      </c>
      <c r="Q365" s="14">
        <v>0.0</v>
      </c>
      <c r="R365" s="27">
        <v>0.0</v>
      </c>
      <c r="S365" s="33">
        <v>0.0</v>
      </c>
      <c r="T365" s="28">
        <v>1.0</v>
      </c>
      <c r="U365" s="33">
        <v>0.0</v>
      </c>
      <c r="V365" s="14">
        <v>0.0</v>
      </c>
      <c r="W365" s="14">
        <v>0.0</v>
      </c>
      <c r="X365" s="35" t="s">
        <v>545</v>
      </c>
      <c r="Y365" s="30" t="s">
        <v>32</v>
      </c>
      <c r="Z365" s="35">
        <v>1.596005290507E12</v>
      </c>
      <c r="AA365" s="32" t="s">
        <v>127</v>
      </c>
      <c r="AB365" s="25">
        <v>45.0</v>
      </c>
    </row>
    <row r="366" ht="19.5" hidden="1" customHeight="1">
      <c r="A366" s="14">
        <v>1.0</v>
      </c>
      <c r="B366" s="15">
        <v>45976.0</v>
      </c>
      <c r="C366" s="16" t="s">
        <v>71</v>
      </c>
      <c r="D366" s="17" t="s">
        <v>50</v>
      </c>
      <c r="E366" s="18">
        <v>0.13402777777777777</v>
      </c>
      <c r="F366" s="34">
        <v>0.49444444444444446</v>
      </c>
      <c r="G366" s="33">
        <v>194.0</v>
      </c>
      <c r="H366" s="14">
        <v>1135.0</v>
      </c>
      <c r="I366" s="14" t="s">
        <v>228</v>
      </c>
      <c r="J366" s="21" t="s">
        <v>53</v>
      </c>
      <c r="K366" s="22" t="s">
        <v>75</v>
      </c>
      <c r="L366" s="23" t="s">
        <v>54</v>
      </c>
      <c r="M366" s="24" t="s">
        <v>76</v>
      </c>
      <c r="N366" s="25" t="s">
        <v>56</v>
      </c>
      <c r="O366" s="26" t="s">
        <v>546</v>
      </c>
      <c r="P366" s="14">
        <v>0.0</v>
      </c>
      <c r="Q366" s="14">
        <v>0.0</v>
      </c>
      <c r="R366" s="27">
        <v>0.0</v>
      </c>
      <c r="S366" s="33">
        <v>0.0</v>
      </c>
      <c r="T366" s="28">
        <v>0.0</v>
      </c>
      <c r="U366" s="33">
        <v>0.0</v>
      </c>
      <c r="V366" s="14">
        <v>0.0</v>
      </c>
      <c r="W366" s="14">
        <v>0.0</v>
      </c>
      <c r="X366" s="25" t="s">
        <v>30</v>
      </c>
      <c r="Y366" s="30" t="s">
        <v>44</v>
      </c>
      <c r="Z366" s="25" t="s">
        <v>45</v>
      </c>
      <c r="AA366" s="32" t="s">
        <v>45</v>
      </c>
      <c r="AB366" s="25" t="s">
        <v>45</v>
      </c>
    </row>
    <row r="367" ht="19.5" hidden="1" customHeight="1">
      <c r="A367" s="14">
        <v>2.0</v>
      </c>
      <c r="B367" s="15">
        <v>45976.0</v>
      </c>
      <c r="C367" s="16" t="s">
        <v>34</v>
      </c>
      <c r="D367" s="17">
        <v>1.0</v>
      </c>
      <c r="E367" s="18">
        <v>0.3597222222222222</v>
      </c>
      <c r="F367" s="34">
        <v>0.3798611111111111</v>
      </c>
      <c r="G367" s="33">
        <v>38.0</v>
      </c>
      <c r="H367" s="14" t="s">
        <v>181</v>
      </c>
      <c r="I367" s="14" t="s">
        <v>88</v>
      </c>
      <c r="J367" s="21" t="s">
        <v>49</v>
      </c>
      <c r="K367" s="22" t="s">
        <v>100</v>
      </c>
      <c r="L367" s="23" t="s">
        <v>54</v>
      </c>
      <c r="M367" s="24" t="s">
        <v>131</v>
      </c>
      <c r="N367" s="25" t="s">
        <v>83</v>
      </c>
      <c r="O367" s="26" t="s">
        <v>30</v>
      </c>
      <c r="P367" s="14">
        <v>2.0</v>
      </c>
      <c r="Q367" s="14">
        <v>0.0</v>
      </c>
      <c r="R367" s="27">
        <v>0.0</v>
      </c>
      <c r="S367" s="33">
        <v>0.0</v>
      </c>
      <c r="T367" s="28">
        <v>2.0</v>
      </c>
      <c r="U367" s="33">
        <v>0.0</v>
      </c>
      <c r="V367" s="14">
        <v>0.0</v>
      </c>
      <c r="W367" s="14">
        <v>0.0</v>
      </c>
      <c r="X367" s="35" t="s">
        <v>547</v>
      </c>
      <c r="Y367" s="30" t="s">
        <v>61</v>
      </c>
      <c r="Z367" s="35">
        <v>3.447979450115E12</v>
      </c>
      <c r="AA367" s="32" t="s">
        <v>33</v>
      </c>
      <c r="AB367" s="25">
        <v>47.0</v>
      </c>
    </row>
    <row r="368" ht="19.5" hidden="1" customHeight="1">
      <c r="A368" s="14">
        <v>3.0</v>
      </c>
      <c r="B368" s="15">
        <v>45976.0</v>
      </c>
      <c r="C368" s="16" t="s">
        <v>46</v>
      </c>
      <c r="D368" s="17">
        <v>1.0</v>
      </c>
      <c r="E368" s="18">
        <v>0.3638888888888889</v>
      </c>
      <c r="F368" s="34">
        <v>0.6666666666666666</v>
      </c>
      <c r="G368" s="33" t="s">
        <v>548</v>
      </c>
      <c r="H368" s="14" t="s">
        <v>58</v>
      </c>
      <c r="I368" s="14" t="s">
        <v>59</v>
      </c>
      <c r="J368" s="21" t="s">
        <v>37</v>
      </c>
      <c r="K368" s="22" t="s">
        <v>63</v>
      </c>
      <c r="L368" s="23" t="s">
        <v>54</v>
      </c>
      <c r="M368" s="24" t="s">
        <v>64</v>
      </c>
      <c r="N368" s="25" t="s">
        <v>497</v>
      </c>
      <c r="O368" s="26" t="s">
        <v>30</v>
      </c>
      <c r="P368" s="14">
        <v>4.0</v>
      </c>
      <c r="Q368" s="14">
        <v>0.0</v>
      </c>
      <c r="R368" s="27">
        <v>0.0</v>
      </c>
      <c r="S368" s="33">
        <v>0.0</v>
      </c>
      <c r="T368" s="28">
        <v>4.0</v>
      </c>
      <c r="U368" s="33">
        <v>0.0</v>
      </c>
      <c r="V368" s="14">
        <v>0.0</v>
      </c>
      <c r="W368" s="14">
        <v>0.0</v>
      </c>
      <c r="X368" s="25" t="s">
        <v>30</v>
      </c>
      <c r="Y368" s="30" t="s">
        <v>44</v>
      </c>
      <c r="Z368" s="25" t="s">
        <v>45</v>
      </c>
      <c r="AA368" s="32" t="s">
        <v>45</v>
      </c>
      <c r="AB368" s="25" t="s">
        <v>45</v>
      </c>
    </row>
    <row r="369" ht="19.5" hidden="1" customHeight="1">
      <c r="A369" s="14">
        <v>4.0</v>
      </c>
      <c r="B369" s="15">
        <v>45976.0</v>
      </c>
      <c r="C369" s="16" t="s">
        <v>46</v>
      </c>
      <c r="D369" s="17" t="s">
        <v>50</v>
      </c>
      <c r="E369" s="18">
        <v>0.3875</v>
      </c>
      <c r="F369" s="34">
        <v>0.5069444444444444</v>
      </c>
      <c r="G369" s="33">
        <v>53.0</v>
      </c>
      <c r="H369" s="14" t="s">
        <v>98</v>
      </c>
      <c r="I369" s="14" t="s">
        <v>48</v>
      </c>
      <c r="J369" s="21" t="s">
        <v>74</v>
      </c>
      <c r="K369" s="22" t="s">
        <v>75</v>
      </c>
      <c r="L369" s="23" t="s">
        <v>54</v>
      </c>
      <c r="M369" s="24" t="s">
        <v>95</v>
      </c>
      <c r="N369" s="25" t="s">
        <v>56</v>
      </c>
      <c r="O369" s="26" t="s">
        <v>30</v>
      </c>
      <c r="P369" s="14"/>
      <c r="Q369" s="14"/>
      <c r="R369" s="27"/>
      <c r="S369" s="33"/>
      <c r="T369" s="28"/>
      <c r="U369" s="33"/>
      <c r="V369" s="14"/>
      <c r="W369" s="14"/>
      <c r="X369" s="25" t="s">
        <v>30</v>
      </c>
      <c r="Y369" s="30" t="s">
        <v>44</v>
      </c>
      <c r="Z369" s="25" t="s">
        <v>45</v>
      </c>
      <c r="AA369" s="32" t="s">
        <v>45</v>
      </c>
      <c r="AB369" s="25" t="s">
        <v>45</v>
      </c>
    </row>
    <row r="370" ht="19.5" hidden="1" customHeight="1">
      <c r="A370" s="14">
        <v>5.0</v>
      </c>
      <c r="B370" s="15">
        <v>45976.0</v>
      </c>
      <c r="C370" s="16" t="s">
        <v>46</v>
      </c>
      <c r="D370" s="17">
        <v>1.0</v>
      </c>
      <c r="E370" s="18">
        <v>0.3958333333333333</v>
      </c>
      <c r="F370" s="34">
        <v>0.5069444444444444</v>
      </c>
      <c r="G370" s="33">
        <v>42.0</v>
      </c>
      <c r="H370" s="14" t="s">
        <v>58</v>
      </c>
      <c r="I370" s="14" t="s">
        <v>59</v>
      </c>
      <c r="J370" s="21" t="s">
        <v>53</v>
      </c>
      <c r="K370" s="22" t="s">
        <v>75</v>
      </c>
      <c r="L370" s="23" t="s">
        <v>54</v>
      </c>
      <c r="M370" s="24" t="s">
        <v>76</v>
      </c>
      <c r="N370" s="25" t="s">
        <v>456</v>
      </c>
      <c r="O370" s="26" t="s">
        <v>489</v>
      </c>
      <c r="P370" s="14">
        <v>0.0</v>
      </c>
      <c r="Q370" s="14">
        <v>0.0</v>
      </c>
      <c r="R370" s="27">
        <v>0.0</v>
      </c>
      <c r="S370" s="33">
        <v>0.0</v>
      </c>
      <c r="T370" s="28">
        <v>0.0</v>
      </c>
      <c r="U370" s="33">
        <v>0.0</v>
      </c>
      <c r="V370" s="14">
        <v>0.0</v>
      </c>
      <c r="W370" s="14">
        <v>0.0</v>
      </c>
      <c r="X370" s="25" t="s">
        <v>30</v>
      </c>
      <c r="Y370" s="30" t="s">
        <v>44</v>
      </c>
      <c r="Z370" s="25" t="s">
        <v>45</v>
      </c>
      <c r="AA370" s="32" t="s">
        <v>45</v>
      </c>
      <c r="AB370" s="25" t="s">
        <v>45</v>
      </c>
    </row>
    <row r="371" ht="19.5" hidden="1" customHeight="1">
      <c r="A371" s="14">
        <v>6.0</v>
      </c>
      <c r="B371" s="15">
        <v>45976.0</v>
      </c>
      <c r="C371" s="16" t="s">
        <v>34</v>
      </c>
      <c r="D371" s="17" t="s">
        <v>50</v>
      </c>
      <c r="E371" s="18">
        <v>0.41944444444444445</v>
      </c>
      <c r="F371" s="34">
        <v>0.4826388888888889</v>
      </c>
      <c r="G371" s="33">
        <v>41.0</v>
      </c>
      <c r="H371" s="14" t="s">
        <v>181</v>
      </c>
      <c r="I371" s="14" t="s">
        <v>88</v>
      </c>
      <c r="J371" s="21" t="s">
        <v>87</v>
      </c>
      <c r="K371" s="22" t="s">
        <v>75</v>
      </c>
      <c r="L371" s="23" t="s">
        <v>54</v>
      </c>
      <c r="M371" s="24" t="s">
        <v>76</v>
      </c>
      <c r="N371" s="25" t="s">
        <v>103</v>
      </c>
      <c r="O371" s="26" t="s">
        <v>489</v>
      </c>
      <c r="P371" s="14">
        <v>0.0</v>
      </c>
      <c r="Q371" s="14">
        <v>0.0</v>
      </c>
      <c r="R371" s="27">
        <v>0.0</v>
      </c>
      <c r="S371" s="33">
        <v>0.0</v>
      </c>
      <c r="T371" s="28">
        <v>0.0</v>
      </c>
      <c r="U371" s="33">
        <v>0.0</v>
      </c>
      <c r="V371" s="14">
        <v>0.0</v>
      </c>
      <c r="W371" s="14">
        <v>0.0</v>
      </c>
      <c r="X371" s="25" t="s">
        <v>30</v>
      </c>
      <c r="Y371" s="30" t="s">
        <v>44</v>
      </c>
      <c r="Z371" s="25" t="s">
        <v>45</v>
      </c>
      <c r="AA371" s="32" t="s">
        <v>45</v>
      </c>
      <c r="AB371" s="25" t="s">
        <v>45</v>
      </c>
    </row>
    <row r="372" ht="19.5" hidden="1" customHeight="1">
      <c r="A372" s="14">
        <v>7.0</v>
      </c>
      <c r="B372" s="15">
        <v>45976.0</v>
      </c>
      <c r="C372" s="16" t="s">
        <v>128</v>
      </c>
      <c r="D372" s="17">
        <v>1.0</v>
      </c>
      <c r="E372" s="18">
        <v>0.47152777777777777</v>
      </c>
      <c r="F372" s="34">
        <v>0.5833333333333334</v>
      </c>
      <c r="G372" s="33">
        <v>98.0</v>
      </c>
      <c r="H372" s="14" t="s">
        <v>129</v>
      </c>
      <c r="I372" s="14" t="s">
        <v>48</v>
      </c>
      <c r="J372" s="21" t="s">
        <v>87</v>
      </c>
      <c r="K372" s="22" t="s">
        <v>29</v>
      </c>
      <c r="L372" s="23" t="s">
        <v>38</v>
      </c>
      <c r="M372" s="24" t="s">
        <v>82</v>
      </c>
      <c r="N372" s="25" t="s">
        <v>83</v>
      </c>
      <c r="O372" s="26" t="s">
        <v>549</v>
      </c>
      <c r="P372" s="14">
        <v>1.0</v>
      </c>
      <c r="Q372" s="14">
        <v>0.0</v>
      </c>
      <c r="R372" s="27">
        <v>0.0</v>
      </c>
      <c r="S372" s="33">
        <v>0.0</v>
      </c>
      <c r="T372" s="28">
        <v>1.0</v>
      </c>
      <c r="U372" s="33">
        <v>0.0</v>
      </c>
      <c r="V372" s="14">
        <v>0.0</v>
      </c>
      <c r="W372" s="14">
        <v>0.0</v>
      </c>
      <c r="X372" s="25"/>
      <c r="Y372" s="30"/>
      <c r="Z372" s="25"/>
      <c r="AA372" s="32"/>
      <c r="AB372" s="25"/>
    </row>
    <row r="373" ht="19.5" hidden="1" customHeight="1">
      <c r="A373" s="14">
        <v>8.0</v>
      </c>
      <c r="B373" s="15">
        <v>45976.0</v>
      </c>
      <c r="C373" s="16" t="s">
        <v>46</v>
      </c>
      <c r="D373" s="17">
        <v>1.0</v>
      </c>
      <c r="E373" s="18">
        <v>0.48333333333333334</v>
      </c>
      <c r="F373" s="34">
        <v>0.49583333333333335</v>
      </c>
      <c r="G373" s="33">
        <v>23.0</v>
      </c>
      <c r="H373" s="14">
        <v>1137.0</v>
      </c>
      <c r="I373" s="14" t="s">
        <v>52</v>
      </c>
      <c r="J373" s="21" t="s">
        <v>37</v>
      </c>
      <c r="K373" s="22" t="s">
        <v>63</v>
      </c>
      <c r="L373" s="23" t="s">
        <v>54</v>
      </c>
      <c r="M373" s="24" t="s">
        <v>64</v>
      </c>
      <c r="N373" s="25" t="s">
        <v>103</v>
      </c>
      <c r="O373" s="26" t="s">
        <v>30</v>
      </c>
      <c r="P373" s="14">
        <v>4.0</v>
      </c>
      <c r="Q373" s="14">
        <v>0.0</v>
      </c>
      <c r="R373" s="27">
        <v>0.0</v>
      </c>
      <c r="S373" s="33">
        <v>0.0</v>
      </c>
      <c r="T373" s="28">
        <v>4.0</v>
      </c>
      <c r="U373" s="33">
        <v>0.0</v>
      </c>
      <c r="V373" s="14">
        <v>0.0</v>
      </c>
      <c r="W373" s="14">
        <v>0.0</v>
      </c>
      <c r="X373" s="25"/>
      <c r="Y373" s="30"/>
      <c r="Z373" s="25"/>
      <c r="AA373" s="32"/>
      <c r="AB373" s="25"/>
    </row>
    <row r="374" ht="19.5" hidden="1" customHeight="1">
      <c r="A374" s="14">
        <v>9.0</v>
      </c>
      <c r="B374" s="15">
        <v>45976.0</v>
      </c>
      <c r="C374" s="16" t="s">
        <v>243</v>
      </c>
      <c r="D374" s="17">
        <v>1.0</v>
      </c>
      <c r="E374" s="18">
        <v>0.4951388888888889</v>
      </c>
      <c r="F374" s="34">
        <v>0.5736111111111111</v>
      </c>
      <c r="G374" s="33">
        <v>262.0</v>
      </c>
      <c r="H374" s="14" t="s">
        <v>249</v>
      </c>
      <c r="I374" s="14" t="s">
        <v>48</v>
      </c>
      <c r="J374" s="21" t="s">
        <v>49</v>
      </c>
      <c r="K374" s="22" t="s">
        <v>29</v>
      </c>
      <c r="L374" s="23" t="s">
        <v>38</v>
      </c>
      <c r="M374" s="24" t="s">
        <v>39</v>
      </c>
      <c r="N374" s="25" t="s">
        <v>306</v>
      </c>
      <c r="O374" s="26" t="s">
        <v>30</v>
      </c>
      <c r="P374" s="14">
        <v>1.0</v>
      </c>
      <c r="Q374" s="14">
        <v>0.0</v>
      </c>
      <c r="R374" s="27">
        <v>0.0</v>
      </c>
      <c r="S374" s="33">
        <v>0.0</v>
      </c>
      <c r="T374" s="28">
        <v>1.0</v>
      </c>
      <c r="U374" s="33">
        <v>0.0</v>
      </c>
      <c r="V374" s="14">
        <v>0.0</v>
      </c>
      <c r="W374" s="14">
        <v>0.0</v>
      </c>
      <c r="X374" s="25" t="s">
        <v>550</v>
      </c>
      <c r="Y374" s="30" t="s">
        <v>32</v>
      </c>
      <c r="Z374" s="35">
        <v>1.759907351804E12</v>
      </c>
      <c r="AA374" s="32" t="s">
        <v>33</v>
      </c>
      <c r="AB374" s="25">
        <v>58.0</v>
      </c>
    </row>
    <row r="375" ht="19.5" hidden="1" customHeight="1">
      <c r="A375" s="14"/>
      <c r="B375" s="15">
        <v>45976.0</v>
      </c>
      <c r="C375" s="16"/>
      <c r="D375" s="17"/>
      <c r="E375" s="18"/>
      <c r="F375" s="34"/>
      <c r="G375" s="33"/>
      <c r="H375" s="14"/>
      <c r="I375" s="14"/>
      <c r="J375" s="21"/>
      <c r="K375" s="22" t="s">
        <v>42</v>
      </c>
      <c r="L375" s="23"/>
      <c r="M375" s="24"/>
      <c r="N375" s="25"/>
      <c r="O375" s="26" t="s">
        <v>77</v>
      </c>
      <c r="P375" s="14">
        <v>1.0</v>
      </c>
      <c r="Q375" s="14">
        <v>0.0</v>
      </c>
      <c r="R375" s="27">
        <v>0.0</v>
      </c>
      <c r="S375" s="33">
        <v>0.0</v>
      </c>
      <c r="T375" s="28">
        <v>1.0</v>
      </c>
      <c r="U375" s="33">
        <v>0.0</v>
      </c>
      <c r="V375" s="14">
        <v>0.0</v>
      </c>
      <c r="W375" s="14">
        <v>0.0</v>
      </c>
      <c r="X375" s="35" t="s">
        <v>551</v>
      </c>
      <c r="Y375" s="30" t="s">
        <v>32</v>
      </c>
      <c r="Z375" s="35">
        <v>1.936760791804E12</v>
      </c>
      <c r="AA375" s="32" t="s">
        <v>33</v>
      </c>
      <c r="AB375" s="25">
        <v>59.0</v>
      </c>
    </row>
    <row r="376" ht="19.5" hidden="1" customHeight="1">
      <c r="A376" s="14">
        <v>10.0</v>
      </c>
      <c r="B376" s="15">
        <v>45976.0</v>
      </c>
      <c r="C376" s="16" t="s">
        <v>243</v>
      </c>
      <c r="D376" s="17">
        <v>2.0</v>
      </c>
      <c r="E376" s="34">
        <v>0.5965277777777778</v>
      </c>
      <c r="F376" s="34">
        <v>0.6381944444444444</v>
      </c>
      <c r="G376" s="33">
        <v>259.0</v>
      </c>
      <c r="H376" s="14" t="s">
        <v>249</v>
      </c>
      <c r="I376" s="14" t="s">
        <v>48</v>
      </c>
      <c r="J376" s="21" t="s">
        <v>87</v>
      </c>
      <c r="K376" s="22" t="s">
        <v>63</v>
      </c>
      <c r="L376" s="23" t="s">
        <v>38</v>
      </c>
      <c r="M376" s="24" t="s">
        <v>39</v>
      </c>
      <c r="N376" s="25" t="s">
        <v>40</v>
      </c>
      <c r="O376" s="26" t="s">
        <v>30</v>
      </c>
      <c r="P376" s="14">
        <v>1.0</v>
      </c>
      <c r="Q376" s="14">
        <v>0.0</v>
      </c>
      <c r="R376" s="27">
        <v>0.0</v>
      </c>
      <c r="S376" s="33">
        <v>0.0</v>
      </c>
      <c r="T376" s="28">
        <v>1.0</v>
      </c>
      <c r="U376" s="33">
        <v>0.0</v>
      </c>
      <c r="V376" s="14">
        <v>0.0</v>
      </c>
      <c r="W376" s="14">
        <v>0.0</v>
      </c>
      <c r="X376" s="35" t="s">
        <v>552</v>
      </c>
      <c r="Y376" s="30" t="s">
        <v>85</v>
      </c>
      <c r="Z376" s="35" t="s">
        <v>553</v>
      </c>
      <c r="AA376" s="32" t="s">
        <v>33</v>
      </c>
      <c r="AB376" s="25">
        <v>29.0</v>
      </c>
    </row>
    <row r="377" ht="19.5" hidden="1" customHeight="1">
      <c r="A377" s="14">
        <v>11.0</v>
      </c>
      <c r="B377" s="15">
        <v>45976.0</v>
      </c>
      <c r="C377" s="16" t="s">
        <v>46</v>
      </c>
      <c r="D377" s="17">
        <v>1.0</v>
      </c>
      <c r="E377" s="18">
        <v>0.6645833333333333</v>
      </c>
      <c r="F377" s="34">
        <v>0.7618055555555555</v>
      </c>
      <c r="G377" s="33">
        <v>24.0</v>
      </c>
      <c r="H377" s="14" t="s">
        <v>62</v>
      </c>
      <c r="I377" s="14" t="s">
        <v>88</v>
      </c>
      <c r="J377" s="21" t="s">
        <v>144</v>
      </c>
      <c r="K377" s="22" t="s">
        <v>29</v>
      </c>
      <c r="L377" s="23" t="s">
        <v>54</v>
      </c>
      <c r="M377" s="24" t="s">
        <v>64</v>
      </c>
      <c r="N377" s="25" t="s">
        <v>40</v>
      </c>
      <c r="O377" s="26" t="s">
        <v>554</v>
      </c>
      <c r="P377" s="14">
        <v>1.0</v>
      </c>
      <c r="Q377" s="14">
        <v>0.0</v>
      </c>
      <c r="R377" s="27">
        <v>0.0</v>
      </c>
      <c r="S377" s="33">
        <v>0.0</v>
      </c>
      <c r="T377" s="28">
        <v>1.0</v>
      </c>
      <c r="U377" s="33">
        <v>0.0</v>
      </c>
      <c r="V377" s="14">
        <v>0.0</v>
      </c>
      <c r="W377" s="14">
        <v>0.0</v>
      </c>
      <c r="X377" s="25" t="s">
        <v>555</v>
      </c>
      <c r="Y377" s="30" t="s">
        <v>32</v>
      </c>
      <c r="Z377" s="25">
        <v>2.453189760101E12</v>
      </c>
      <c r="AA377" s="32" t="s">
        <v>33</v>
      </c>
      <c r="AB377" s="25">
        <v>49.0</v>
      </c>
    </row>
    <row r="378" ht="19.5" hidden="1" customHeight="1">
      <c r="A378" s="14"/>
      <c r="B378" s="15">
        <v>45976.0</v>
      </c>
      <c r="C378" s="16"/>
      <c r="D378" s="17"/>
      <c r="E378" s="18"/>
      <c r="F378" s="34"/>
      <c r="G378" s="33"/>
      <c r="H378" s="14"/>
      <c r="I378" s="14"/>
      <c r="J378" s="21"/>
      <c r="K378" s="22" t="s">
        <v>89</v>
      </c>
      <c r="L378" s="23"/>
      <c r="M378" s="24"/>
      <c r="N378" s="25"/>
      <c r="O378" s="26" t="s">
        <v>77</v>
      </c>
      <c r="P378" s="14">
        <v>0.0</v>
      </c>
      <c r="Q378" s="14">
        <v>0.0</v>
      </c>
      <c r="R378" s="27">
        <v>0.0</v>
      </c>
      <c r="S378" s="33">
        <v>1.0</v>
      </c>
      <c r="T378" s="28">
        <v>0.0</v>
      </c>
      <c r="U378" s="33">
        <v>0.0</v>
      </c>
      <c r="V378" s="14">
        <v>0.0</v>
      </c>
      <c r="W378" s="14">
        <v>0.0</v>
      </c>
      <c r="X378" s="25" t="s">
        <v>30</v>
      </c>
      <c r="Y378" s="30" t="s">
        <v>44</v>
      </c>
      <c r="Z378" s="25" t="s">
        <v>45</v>
      </c>
      <c r="AA378" s="32" t="s">
        <v>45</v>
      </c>
      <c r="AB378" s="25" t="s">
        <v>45</v>
      </c>
    </row>
    <row r="379" ht="19.5" hidden="1" customHeight="1">
      <c r="A379" s="14">
        <v>12.0</v>
      </c>
      <c r="B379" s="15">
        <v>45976.0</v>
      </c>
      <c r="C379" s="16" t="s">
        <v>407</v>
      </c>
      <c r="D379" s="17">
        <v>2.0</v>
      </c>
      <c r="E379" s="18">
        <v>0.6833333333333333</v>
      </c>
      <c r="F379" s="34">
        <v>0.83125</v>
      </c>
      <c r="G379" s="33">
        <v>257.0</v>
      </c>
      <c r="H379" s="14">
        <v>1132.0</v>
      </c>
      <c r="I379" s="14" t="s">
        <v>80</v>
      </c>
      <c r="J379" s="21" t="s">
        <v>74</v>
      </c>
      <c r="K379" s="22" t="s">
        <v>81</v>
      </c>
      <c r="L379" s="23" t="s">
        <v>38</v>
      </c>
      <c r="M379" s="24" t="s">
        <v>39</v>
      </c>
      <c r="N379" s="25" t="s">
        <v>83</v>
      </c>
      <c r="O379" s="26" t="s">
        <v>556</v>
      </c>
      <c r="P379" s="14">
        <v>1.0</v>
      </c>
      <c r="Q379" s="14">
        <v>0.0</v>
      </c>
      <c r="R379" s="27">
        <v>0.0</v>
      </c>
      <c r="S379" s="33">
        <v>0.0</v>
      </c>
      <c r="T379" s="28">
        <v>1.0</v>
      </c>
      <c r="U379" s="33">
        <v>0.0</v>
      </c>
      <c r="V379" s="14">
        <v>0.0</v>
      </c>
      <c r="W379" s="14">
        <v>0.0</v>
      </c>
      <c r="X379" s="25" t="s">
        <v>30</v>
      </c>
      <c r="Y379" s="30" t="s">
        <v>44</v>
      </c>
      <c r="Z379" s="25" t="s">
        <v>45</v>
      </c>
      <c r="AA379" s="32" t="s">
        <v>45</v>
      </c>
      <c r="AB379" s="25" t="s">
        <v>45</v>
      </c>
    </row>
    <row r="380" ht="19.5" hidden="1" customHeight="1">
      <c r="A380" s="14"/>
      <c r="B380" s="15">
        <v>45976.0</v>
      </c>
      <c r="C380" s="16"/>
      <c r="D380" s="17"/>
      <c r="E380" s="18"/>
      <c r="F380" s="34"/>
      <c r="G380" s="33"/>
      <c r="H380" s="14"/>
      <c r="I380" s="14"/>
      <c r="J380" s="21"/>
      <c r="K380" s="22" t="s">
        <v>63</v>
      </c>
      <c r="L380" s="23"/>
      <c r="M380" s="24"/>
      <c r="N380" s="25"/>
      <c r="O380" s="26"/>
      <c r="P380" s="14">
        <v>1.0</v>
      </c>
      <c r="Q380" s="14">
        <v>0.0</v>
      </c>
      <c r="R380" s="27">
        <v>0.0</v>
      </c>
      <c r="S380" s="33">
        <v>0.0</v>
      </c>
      <c r="T380" s="28">
        <v>1.0</v>
      </c>
      <c r="U380" s="33">
        <v>0.0</v>
      </c>
      <c r="V380" s="14">
        <v>0.0</v>
      </c>
      <c r="W380" s="14">
        <v>0.0</v>
      </c>
      <c r="X380" s="25" t="s">
        <v>557</v>
      </c>
      <c r="Y380" s="30" t="s">
        <v>115</v>
      </c>
      <c r="Z380" s="25">
        <v>2.5201002800101E13</v>
      </c>
      <c r="AA380" s="32" t="s">
        <v>33</v>
      </c>
      <c r="AB380" s="25">
        <v>52.0</v>
      </c>
    </row>
    <row r="381" ht="19.5" hidden="1" customHeight="1">
      <c r="A381" s="14">
        <v>13.0</v>
      </c>
      <c r="B381" s="15">
        <v>45976.0</v>
      </c>
      <c r="C381" s="16" t="s">
        <v>46</v>
      </c>
      <c r="D381" s="17">
        <v>2.0</v>
      </c>
      <c r="E381" s="18">
        <v>0.7305555555555555</v>
      </c>
      <c r="F381" s="34">
        <v>0.7638888888888888</v>
      </c>
      <c r="G381" s="33">
        <v>6.0</v>
      </c>
      <c r="H381" s="14" t="s">
        <v>139</v>
      </c>
      <c r="I381" s="14" t="s">
        <v>48</v>
      </c>
      <c r="J381" s="21" t="s">
        <v>49</v>
      </c>
      <c r="K381" s="22" t="s">
        <v>100</v>
      </c>
      <c r="L381" s="23" t="s">
        <v>38</v>
      </c>
      <c r="M381" s="24" t="s">
        <v>39</v>
      </c>
      <c r="N381" s="25" t="s">
        <v>83</v>
      </c>
      <c r="O381" s="26" t="s">
        <v>30</v>
      </c>
      <c r="P381" s="14">
        <v>1.0</v>
      </c>
      <c r="Q381" s="14">
        <v>0.0</v>
      </c>
      <c r="R381" s="27">
        <v>0.0</v>
      </c>
      <c r="S381" s="33">
        <v>0.0</v>
      </c>
      <c r="T381" s="28">
        <v>1.0</v>
      </c>
      <c r="U381" s="33">
        <v>0.0</v>
      </c>
      <c r="V381" s="14">
        <v>0.0</v>
      </c>
      <c r="W381" s="14">
        <v>0.0</v>
      </c>
      <c r="X381" s="25" t="s">
        <v>558</v>
      </c>
      <c r="Y381" s="30" t="s">
        <v>61</v>
      </c>
      <c r="Z381" s="35">
        <v>2.697791590101E12</v>
      </c>
      <c r="AA381" s="32" t="s">
        <v>33</v>
      </c>
      <c r="AB381" s="25">
        <v>41.0</v>
      </c>
    </row>
    <row r="382" ht="19.5" hidden="1" customHeight="1">
      <c r="A382" s="14">
        <v>14.0</v>
      </c>
      <c r="B382" s="15">
        <v>45976.0</v>
      </c>
      <c r="C382" s="16" t="s">
        <v>46</v>
      </c>
      <c r="D382" s="17">
        <v>1.0</v>
      </c>
      <c r="E382" s="18">
        <v>0.9951388888888889</v>
      </c>
      <c r="F382" s="34">
        <v>0.020833333333333332</v>
      </c>
      <c r="G382" s="33" t="s">
        <v>559</v>
      </c>
      <c r="H382" s="14">
        <v>1121.0</v>
      </c>
      <c r="I382" s="14" t="s">
        <v>143</v>
      </c>
      <c r="J382" s="21" t="s">
        <v>144</v>
      </c>
      <c r="K382" s="22" t="s">
        <v>63</v>
      </c>
      <c r="L382" s="23" t="s">
        <v>54</v>
      </c>
      <c r="M382" s="24" t="s">
        <v>64</v>
      </c>
      <c r="N382" s="25" t="s">
        <v>83</v>
      </c>
      <c r="O382" s="26" t="s">
        <v>30</v>
      </c>
      <c r="P382" s="14">
        <v>4.0</v>
      </c>
      <c r="Q382" s="14">
        <v>0.0</v>
      </c>
      <c r="R382" s="27">
        <v>0.0</v>
      </c>
      <c r="S382" s="33">
        <v>0.0</v>
      </c>
      <c r="T382" s="28">
        <v>4.0</v>
      </c>
      <c r="U382" s="33">
        <v>0.0</v>
      </c>
      <c r="V382" s="14">
        <v>0.0</v>
      </c>
      <c r="W382" s="14">
        <v>0.0</v>
      </c>
      <c r="X382" s="35" t="s">
        <v>560</v>
      </c>
      <c r="Y382" s="30" t="s">
        <v>61</v>
      </c>
      <c r="Z382" s="35">
        <v>2.71589221001E11</v>
      </c>
      <c r="AA382" s="32" t="s">
        <v>33</v>
      </c>
      <c r="AB382" s="25">
        <v>45.0</v>
      </c>
    </row>
    <row r="383" ht="19.5" hidden="1" customHeight="1">
      <c r="A383" s="14"/>
      <c r="B383" s="15">
        <v>45977.0</v>
      </c>
      <c r="C383" s="16"/>
      <c r="D383" s="17"/>
      <c r="E383" s="18"/>
      <c r="F383" s="34"/>
      <c r="G383" s="33"/>
      <c r="H383" s="14"/>
      <c r="I383" s="14"/>
      <c r="J383" s="21"/>
      <c r="K383" s="22" t="s">
        <v>109</v>
      </c>
      <c r="L383" s="23"/>
      <c r="M383" s="24"/>
      <c r="N383" s="25"/>
      <c r="O383" s="26"/>
      <c r="P383" s="14"/>
      <c r="Q383" s="14"/>
      <c r="R383" s="27"/>
      <c r="S383" s="33"/>
      <c r="T383" s="28"/>
      <c r="U383" s="33"/>
      <c r="V383" s="14"/>
      <c r="W383" s="14"/>
      <c r="X383" s="25"/>
      <c r="Y383" s="30"/>
      <c r="Z383" s="25"/>
      <c r="AA383" s="32"/>
      <c r="AB383" s="25"/>
    </row>
    <row r="384" ht="19.5" hidden="1" customHeight="1">
      <c r="A384" s="14"/>
      <c r="B384" s="15">
        <v>45977.0</v>
      </c>
      <c r="C384" s="16"/>
      <c r="D384" s="17"/>
      <c r="E384" s="18"/>
      <c r="F384" s="34"/>
      <c r="G384" s="33"/>
      <c r="H384" s="14"/>
      <c r="I384" s="14"/>
      <c r="J384" s="21"/>
      <c r="K384" s="22" t="s">
        <v>109</v>
      </c>
      <c r="L384" s="23"/>
      <c r="M384" s="24"/>
      <c r="N384" s="25"/>
      <c r="O384" s="26" t="s">
        <v>30</v>
      </c>
      <c r="P384" s="14">
        <v>1.0</v>
      </c>
      <c r="Q384" s="14">
        <v>0.0</v>
      </c>
      <c r="R384" s="27">
        <v>0.0</v>
      </c>
      <c r="S384" s="33">
        <v>0.0</v>
      </c>
      <c r="T384" s="28">
        <v>1.0</v>
      </c>
      <c r="U384" s="33">
        <v>0.0</v>
      </c>
      <c r="V384" s="14">
        <v>0.0</v>
      </c>
      <c r="W384" s="14">
        <v>0.0</v>
      </c>
      <c r="X384" s="35" t="s">
        <v>561</v>
      </c>
      <c r="Y384" s="30" t="s">
        <v>61</v>
      </c>
      <c r="Z384" s="35">
        <v>3.1591628115E11</v>
      </c>
      <c r="AA384" s="32" t="s">
        <v>33</v>
      </c>
      <c r="AB384" s="25">
        <v>18.0</v>
      </c>
    </row>
    <row r="385" ht="19.5" hidden="1" customHeight="1">
      <c r="A385" s="14">
        <v>1.0</v>
      </c>
      <c r="B385" s="15">
        <v>45977.0</v>
      </c>
      <c r="C385" s="16" t="s">
        <v>46</v>
      </c>
      <c r="D385" s="17">
        <v>3.0</v>
      </c>
      <c r="E385" s="18">
        <v>0.2534722222222222</v>
      </c>
      <c r="F385" s="34">
        <v>0.26319444444444445</v>
      </c>
      <c r="G385" s="33">
        <v>14.0</v>
      </c>
      <c r="H385" s="14" t="s">
        <v>62</v>
      </c>
      <c r="I385" s="14" t="s">
        <v>52</v>
      </c>
      <c r="J385" s="21" t="s">
        <v>53</v>
      </c>
      <c r="K385" s="22" t="s">
        <v>81</v>
      </c>
      <c r="L385" s="23" t="s">
        <v>38</v>
      </c>
      <c r="M385" s="24" t="s">
        <v>39</v>
      </c>
      <c r="N385" s="25" t="s">
        <v>562</v>
      </c>
      <c r="O385" s="26" t="s">
        <v>30</v>
      </c>
      <c r="P385" s="14">
        <v>1.0</v>
      </c>
      <c r="Q385" s="14">
        <v>0.0</v>
      </c>
      <c r="R385" s="27">
        <v>0.0</v>
      </c>
      <c r="S385" s="33">
        <v>0.0</v>
      </c>
      <c r="T385" s="28">
        <v>1.0</v>
      </c>
      <c r="U385" s="33">
        <v>0.0</v>
      </c>
      <c r="V385" s="14">
        <v>0.0</v>
      </c>
      <c r="W385" s="14">
        <v>0.0</v>
      </c>
      <c r="X385" s="35" t="s">
        <v>563</v>
      </c>
      <c r="Y385" s="30" t="s">
        <v>61</v>
      </c>
      <c r="Z385" s="35">
        <v>2.793969100117E12</v>
      </c>
      <c r="AA385" s="32" t="s">
        <v>33</v>
      </c>
      <c r="AB385" s="25">
        <v>31.0</v>
      </c>
    </row>
    <row r="386" ht="19.5" hidden="1" customHeight="1">
      <c r="A386" s="14">
        <v>2.0</v>
      </c>
      <c r="B386" s="53">
        <v>45977.0</v>
      </c>
      <c r="C386" s="16" t="s">
        <v>34</v>
      </c>
      <c r="D386" s="17"/>
      <c r="E386" s="18">
        <v>0.2534722222222222</v>
      </c>
      <c r="F386" s="34">
        <v>0.8340277777777778</v>
      </c>
      <c r="G386" s="33" t="s">
        <v>488</v>
      </c>
      <c r="H386" s="14">
        <v>1131.0</v>
      </c>
      <c r="I386" s="14" t="s">
        <v>36</v>
      </c>
      <c r="J386" s="21" t="s">
        <v>53</v>
      </c>
      <c r="K386" s="22" t="s">
        <v>75</v>
      </c>
      <c r="L386" s="23" t="s">
        <v>54</v>
      </c>
      <c r="M386" s="24" t="s">
        <v>76</v>
      </c>
      <c r="N386" s="25" t="s">
        <v>56</v>
      </c>
      <c r="O386" s="26" t="s">
        <v>30</v>
      </c>
      <c r="P386" s="14">
        <v>0.0</v>
      </c>
      <c r="Q386" s="14">
        <v>0.0</v>
      </c>
      <c r="R386" s="27">
        <v>0.0</v>
      </c>
      <c r="S386" s="33">
        <v>0.0</v>
      </c>
      <c r="T386" s="28">
        <v>0.0</v>
      </c>
      <c r="U386" s="33">
        <v>0.0</v>
      </c>
      <c r="V386" s="14">
        <v>0.0</v>
      </c>
      <c r="W386" s="14">
        <v>0.0</v>
      </c>
      <c r="X386" s="25" t="s">
        <v>30</v>
      </c>
      <c r="Y386" s="30" t="s">
        <v>44</v>
      </c>
      <c r="Z386" s="35" t="s">
        <v>45</v>
      </c>
      <c r="AA386" s="32" t="s">
        <v>45</v>
      </c>
      <c r="AB386" s="25" t="s">
        <v>45</v>
      </c>
    </row>
    <row r="387" ht="19.5" hidden="1" customHeight="1">
      <c r="A387" s="14">
        <v>3.0</v>
      </c>
      <c r="B387" s="15">
        <v>45977.0</v>
      </c>
      <c r="C387" s="16" t="s">
        <v>46</v>
      </c>
      <c r="D387" s="17">
        <v>1.0</v>
      </c>
      <c r="E387" s="18">
        <v>0.28541666666666665</v>
      </c>
      <c r="F387" s="34">
        <v>0.30069444444444443</v>
      </c>
      <c r="G387" s="33">
        <v>57.0</v>
      </c>
      <c r="H387" s="14" t="s">
        <v>51</v>
      </c>
      <c r="I387" s="14" t="s">
        <v>52</v>
      </c>
      <c r="J387" s="21" t="s">
        <v>53</v>
      </c>
      <c r="K387" s="22" t="s">
        <v>100</v>
      </c>
      <c r="L387" s="23" t="s">
        <v>54</v>
      </c>
      <c r="M387" s="24" t="s">
        <v>131</v>
      </c>
      <c r="N387" s="25" t="s">
        <v>83</v>
      </c>
      <c r="O387" s="26" t="s">
        <v>30</v>
      </c>
      <c r="P387" s="14">
        <v>6.0</v>
      </c>
      <c r="Q387" s="14">
        <v>0.0</v>
      </c>
      <c r="R387" s="27">
        <v>0.0</v>
      </c>
      <c r="S387" s="33">
        <v>0.0</v>
      </c>
      <c r="T387" s="28">
        <v>6.0</v>
      </c>
      <c r="U387" s="33">
        <v>0.0</v>
      </c>
      <c r="V387" s="14">
        <v>0.0</v>
      </c>
      <c r="W387" s="14">
        <v>0.0</v>
      </c>
      <c r="X387" s="25" t="s">
        <v>564</v>
      </c>
      <c r="Y387" s="30" t="s">
        <v>61</v>
      </c>
      <c r="Z387" s="35">
        <v>1.893550850312E12</v>
      </c>
      <c r="AA387" s="32" t="s">
        <v>33</v>
      </c>
      <c r="AB387" s="25">
        <v>41.0</v>
      </c>
    </row>
    <row r="388" ht="19.5" hidden="1" customHeight="1">
      <c r="A388" s="14">
        <v>4.0</v>
      </c>
      <c r="B388" s="15">
        <v>45977.0</v>
      </c>
      <c r="C388" s="16" t="s">
        <v>46</v>
      </c>
      <c r="D388" s="17">
        <v>1.0</v>
      </c>
      <c r="E388" s="18">
        <v>0.3923611111111111</v>
      </c>
      <c r="F388" s="34">
        <v>0.4131944444444444</v>
      </c>
      <c r="G388" s="20">
        <v>45859.0</v>
      </c>
      <c r="H388" s="14" t="s">
        <v>94</v>
      </c>
      <c r="I388" s="14" t="s">
        <v>52</v>
      </c>
      <c r="J388" s="21" t="s">
        <v>53</v>
      </c>
      <c r="K388" s="22" t="s">
        <v>109</v>
      </c>
      <c r="L388" s="23" t="s">
        <v>54</v>
      </c>
      <c r="M388" s="24" t="s">
        <v>64</v>
      </c>
      <c r="N388" s="25" t="s">
        <v>103</v>
      </c>
      <c r="O388" s="26" t="s">
        <v>30</v>
      </c>
      <c r="P388" s="14">
        <v>1.0</v>
      </c>
      <c r="Q388" s="14">
        <v>0.0</v>
      </c>
      <c r="R388" s="27">
        <v>0.0</v>
      </c>
      <c r="S388" s="33">
        <v>0.0</v>
      </c>
      <c r="T388" s="28">
        <v>1.0</v>
      </c>
      <c r="U388" s="33">
        <v>0.0</v>
      </c>
      <c r="V388" s="14">
        <v>0.0</v>
      </c>
      <c r="W388" s="14">
        <v>0.0</v>
      </c>
      <c r="X388" s="35" t="s">
        <v>565</v>
      </c>
      <c r="Y388" s="30" t="s">
        <v>32</v>
      </c>
      <c r="Z388" s="35">
        <v>1.993033392201E12</v>
      </c>
      <c r="AA388" s="32" t="s">
        <v>33</v>
      </c>
      <c r="AB388" s="25">
        <v>44.0</v>
      </c>
    </row>
    <row r="389" ht="19.5" hidden="1" customHeight="1">
      <c r="A389" s="14">
        <v>5.0</v>
      </c>
      <c r="B389" s="15">
        <v>45977.0</v>
      </c>
      <c r="C389" s="16" t="s">
        <v>46</v>
      </c>
      <c r="D389" s="17">
        <v>1.0</v>
      </c>
      <c r="E389" s="18">
        <v>0.44930555555555557</v>
      </c>
      <c r="F389" s="34">
        <v>0.5138888888888888</v>
      </c>
      <c r="G389" s="20">
        <v>45680.0</v>
      </c>
      <c r="H389" s="14" t="s">
        <v>62</v>
      </c>
      <c r="I389" s="14" t="s">
        <v>52</v>
      </c>
      <c r="J389" s="21" t="s">
        <v>53</v>
      </c>
      <c r="K389" s="22" t="s">
        <v>63</v>
      </c>
      <c r="L389" s="23" t="s">
        <v>54</v>
      </c>
      <c r="M389" s="24" t="s">
        <v>67</v>
      </c>
      <c r="N389" s="25" t="s">
        <v>103</v>
      </c>
      <c r="O389" s="26" t="s">
        <v>30</v>
      </c>
      <c r="P389" s="14">
        <v>1.0</v>
      </c>
      <c r="Q389" s="14">
        <v>0.0</v>
      </c>
      <c r="R389" s="27">
        <v>0.0</v>
      </c>
      <c r="S389" s="33">
        <v>0.0</v>
      </c>
      <c r="T389" s="28">
        <v>1.0</v>
      </c>
      <c r="U389" s="33">
        <v>0.0</v>
      </c>
      <c r="V389" s="14">
        <v>0.0</v>
      </c>
      <c r="W389" s="14">
        <v>0.0</v>
      </c>
      <c r="X389" s="35" t="s">
        <v>566</v>
      </c>
      <c r="Y389" s="30" t="s">
        <v>61</v>
      </c>
      <c r="Z389" s="35">
        <v>1.768427490101E12</v>
      </c>
      <c r="AA389" s="32" t="s">
        <v>33</v>
      </c>
      <c r="AB389" s="25">
        <v>48.0</v>
      </c>
    </row>
    <row r="390" ht="19.5" hidden="1" customHeight="1">
      <c r="A390" s="14">
        <v>6.0</v>
      </c>
      <c r="B390" s="15">
        <v>45977.0</v>
      </c>
      <c r="C390" s="16" t="s">
        <v>46</v>
      </c>
      <c r="D390" s="17"/>
      <c r="E390" s="18">
        <v>0.2590277777777778</v>
      </c>
      <c r="F390" s="34">
        <v>0.4895833333333333</v>
      </c>
      <c r="G390" s="33">
        <v>100.0</v>
      </c>
      <c r="H390" s="14" t="s">
        <v>98</v>
      </c>
      <c r="I390" s="14" t="s">
        <v>59</v>
      </c>
      <c r="J390" s="21" t="s">
        <v>37</v>
      </c>
      <c r="K390" s="22" t="s">
        <v>75</v>
      </c>
      <c r="L390" s="23" t="s">
        <v>54</v>
      </c>
      <c r="M390" s="24" t="s">
        <v>76</v>
      </c>
      <c r="N390" s="25" t="s">
        <v>56</v>
      </c>
      <c r="O390" s="26" t="s">
        <v>30</v>
      </c>
      <c r="P390" s="14">
        <v>0.0</v>
      </c>
      <c r="Q390" s="14">
        <v>0.0</v>
      </c>
      <c r="R390" s="27">
        <v>0.0</v>
      </c>
      <c r="S390" s="33">
        <v>0.0</v>
      </c>
      <c r="T390" s="28">
        <v>0.0</v>
      </c>
      <c r="U390" s="33">
        <v>0.0</v>
      </c>
      <c r="V390" s="14">
        <v>0.0</v>
      </c>
      <c r="W390" s="14">
        <v>0.0</v>
      </c>
      <c r="X390" s="25" t="s">
        <v>489</v>
      </c>
      <c r="Y390" s="30" t="s">
        <v>44</v>
      </c>
      <c r="Z390" s="35" t="s">
        <v>30</v>
      </c>
      <c r="AA390" s="32" t="s">
        <v>45</v>
      </c>
      <c r="AB390" s="25" t="s">
        <v>45</v>
      </c>
    </row>
    <row r="391" ht="19.5" hidden="1" customHeight="1">
      <c r="A391" s="14">
        <v>7.0</v>
      </c>
      <c r="B391" s="15">
        <v>45977.0</v>
      </c>
      <c r="C391" s="16" t="s">
        <v>46</v>
      </c>
      <c r="D391" s="17"/>
      <c r="E391" s="18">
        <v>0.23680555555555555</v>
      </c>
      <c r="F391" s="34">
        <v>0.4895833333333333</v>
      </c>
      <c r="G391" s="33">
        <v>66.0</v>
      </c>
      <c r="H391" s="14" t="s">
        <v>99</v>
      </c>
      <c r="I391" s="14" t="s">
        <v>59</v>
      </c>
      <c r="J391" s="21" t="s">
        <v>37</v>
      </c>
      <c r="K391" s="22" t="s">
        <v>75</v>
      </c>
      <c r="L391" s="23" t="s">
        <v>54</v>
      </c>
      <c r="M391" s="24" t="s">
        <v>76</v>
      </c>
      <c r="N391" s="25" t="s">
        <v>56</v>
      </c>
      <c r="O391" s="26" t="s">
        <v>30</v>
      </c>
      <c r="P391" s="14">
        <v>0.0</v>
      </c>
      <c r="Q391" s="14">
        <v>0.0</v>
      </c>
      <c r="R391" s="27">
        <v>0.0</v>
      </c>
      <c r="S391" s="33">
        <v>0.0</v>
      </c>
      <c r="T391" s="28">
        <v>0.0</v>
      </c>
      <c r="U391" s="33">
        <v>0.0</v>
      </c>
      <c r="V391" s="14">
        <v>0.0</v>
      </c>
      <c r="W391" s="14">
        <v>0.0</v>
      </c>
      <c r="X391" s="25" t="s">
        <v>489</v>
      </c>
      <c r="Y391" s="30" t="s">
        <v>44</v>
      </c>
      <c r="Z391" s="35" t="s">
        <v>30</v>
      </c>
      <c r="AA391" s="32" t="s">
        <v>45</v>
      </c>
      <c r="AB391" s="25" t="s">
        <v>45</v>
      </c>
    </row>
    <row r="392" ht="19.5" hidden="1" customHeight="1">
      <c r="A392" s="14">
        <v>8.0</v>
      </c>
      <c r="B392" s="15">
        <v>45977.0</v>
      </c>
      <c r="C392" s="16" t="s">
        <v>46</v>
      </c>
      <c r="D392" s="17">
        <v>1.0</v>
      </c>
      <c r="E392" s="18">
        <v>0.5069444444444444</v>
      </c>
      <c r="F392" s="34">
        <v>0.5145833333333333</v>
      </c>
      <c r="G392" s="33">
        <v>23.0</v>
      </c>
      <c r="H392" s="14" t="s">
        <v>62</v>
      </c>
      <c r="I392" s="14" t="s">
        <v>52</v>
      </c>
      <c r="J392" s="21" t="s">
        <v>53</v>
      </c>
      <c r="K392" s="22" t="s">
        <v>89</v>
      </c>
      <c r="L392" s="23" t="s">
        <v>54</v>
      </c>
      <c r="M392" s="24" t="s">
        <v>102</v>
      </c>
      <c r="N392" s="25" t="s">
        <v>83</v>
      </c>
      <c r="O392" s="26" t="s">
        <v>30</v>
      </c>
      <c r="P392" s="14">
        <v>1.0</v>
      </c>
      <c r="Q392" s="14">
        <v>0.0</v>
      </c>
      <c r="R392" s="27">
        <v>0.0</v>
      </c>
      <c r="S392" s="33">
        <v>0.0</v>
      </c>
      <c r="T392" s="28">
        <v>1.0</v>
      </c>
      <c r="U392" s="33">
        <v>0.0</v>
      </c>
      <c r="V392" s="14">
        <v>0.0</v>
      </c>
      <c r="W392" s="14">
        <v>0.0</v>
      </c>
      <c r="X392" s="35" t="s">
        <v>567</v>
      </c>
      <c r="Y392" s="30" t="s">
        <v>259</v>
      </c>
      <c r="Z392" s="35">
        <v>1.83522656092E12</v>
      </c>
      <c r="AA392" s="32" t="s">
        <v>33</v>
      </c>
      <c r="AB392" s="25">
        <v>44.0</v>
      </c>
    </row>
    <row r="393" ht="19.5" hidden="1" customHeight="1">
      <c r="A393" s="14">
        <v>9.0</v>
      </c>
      <c r="B393" s="15">
        <v>45977.0</v>
      </c>
      <c r="C393" s="16" t="s">
        <v>46</v>
      </c>
      <c r="D393" s="17">
        <v>1.0</v>
      </c>
      <c r="E393" s="18">
        <v>0.5784722222222223</v>
      </c>
      <c r="F393" s="33" t="s">
        <v>568</v>
      </c>
      <c r="G393" s="33">
        <v>35.0</v>
      </c>
      <c r="H393" s="14" t="s">
        <v>99</v>
      </c>
      <c r="I393" s="14" t="s">
        <v>59</v>
      </c>
      <c r="J393" s="21" t="s">
        <v>37</v>
      </c>
      <c r="K393" s="22" t="s">
        <v>42</v>
      </c>
      <c r="L393" s="23" t="s">
        <v>54</v>
      </c>
      <c r="M393" s="24" t="s">
        <v>64</v>
      </c>
      <c r="N393" s="25" t="s">
        <v>103</v>
      </c>
      <c r="O393" s="26" t="s">
        <v>30</v>
      </c>
      <c r="P393" s="14">
        <v>3.0</v>
      </c>
      <c r="Q393" s="14">
        <v>0.0</v>
      </c>
      <c r="R393" s="27">
        <v>0.0</v>
      </c>
      <c r="S393" s="33">
        <v>0.0</v>
      </c>
      <c r="T393" s="28">
        <v>3.0</v>
      </c>
      <c r="U393" s="33">
        <v>0.0</v>
      </c>
      <c r="V393" s="14">
        <v>0.0</v>
      </c>
      <c r="W393" s="14">
        <v>0.0</v>
      </c>
      <c r="X393" s="35" t="s">
        <v>569</v>
      </c>
      <c r="Y393" s="30" t="s">
        <v>85</v>
      </c>
      <c r="Z393" s="35">
        <v>1.701739680411E12</v>
      </c>
      <c r="AA393" s="32" t="s">
        <v>33</v>
      </c>
      <c r="AB393" s="25">
        <v>59.0</v>
      </c>
    </row>
    <row r="394" ht="19.5" hidden="1" customHeight="1">
      <c r="A394" s="14">
        <v>10.0</v>
      </c>
      <c r="B394" s="15">
        <v>45977.0</v>
      </c>
      <c r="C394" s="16" t="s">
        <v>34</v>
      </c>
      <c r="D394" s="17">
        <v>1.0</v>
      </c>
      <c r="E394" s="18">
        <v>0.625</v>
      </c>
      <c r="F394" s="34">
        <v>0.6416666666666667</v>
      </c>
      <c r="G394" s="33">
        <v>61.0</v>
      </c>
      <c r="H394" s="14" t="s">
        <v>35</v>
      </c>
      <c r="I394" s="14" t="s">
        <v>88</v>
      </c>
      <c r="J394" s="21" t="s">
        <v>49</v>
      </c>
      <c r="K394" s="22" t="s">
        <v>100</v>
      </c>
      <c r="L394" s="23" t="s">
        <v>54</v>
      </c>
      <c r="M394" s="24" t="s">
        <v>64</v>
      </c>
      <c r="N394" s="25" t="s">
        <v>83</v>
      </c>
      <c r="O394" s="26" t="s">
        <v>30</v>
      </c>
      <c r="P394" s="14">
        <v>4.0</v>
      </c>
      <c r="Q394" s="14">
        <v>0.0</v>
      </c>
      <c r="R394" s="27">
        <v>0.0</v>
      </c>
      <c r="S394" s="33">
        <v>0.0</v>
      </c>
      <c r="T394" s="28">
        <v>4.0</v>
      </c>
      <c r="U394" s="33">
        <v>0.0</v>
      </c>
      <c r="V394" s="14">
        <v>0.0</v>
      </c>
      <c r="W394" s="14">
        <v>0.0</v>
      </c>
      <c r="X394" s="35" t="s">
        <v>570</v>
      </c>
      <c r="Y394" s="30" t="s">
        <v>61</v>
      </c>
      <c r="Z394" s="35">
        <v>1.991871850114E12</v>
      </c>
      <c r="AA394" s="32" t="s">
        <v>33</v>
      </c>
      <c r="AB394" s="25">
        <v>35.0</v>
      </c>
    </row>
    <row r="395" ht="19.5" hidden="1" customHeight="1">
      <c r="A395" s="14">
        <v>11.0</v>
      </c>
      <c r="B395" s="15">
        <v>45977.0</v>
      </c>
      <c r="C395" s="16" t="s">
        <v>46</v>
      </c>
      <c r="D395" s="17">
        <v>1.0</v>
      </c>
      <c r="E395" s="18">
        <v>0.6666666666666666</v>
      </c>
      <c r="F395" s="34">
        <v>0.6944444444444444</v>
      </c>
      <c r="G395" s="33">
        <v>22.0</v>
      </c>
      <c r="H395" s="14" t="s">
        <v>147</v>
      </c>
      <c r="I395" s="14" t="s">
        <v>88</v>
      </c>
      <c r="J395" s="21" t="s">
        <v>49</v>
      </c>
      <c r="K395" s="22" t="s">
        <v>100</v>
      </c>
      <c r="L395" s="23" t="s">
        <v>54</v>
      </c>
      <c r="M395" s="24" t="s">
        <v>64</v>
      </c>
      <c r="N395" s="25" t="s">
        <v>169</v>
      </c>
      <c r="O395" s="26" t="s">
        <v>30</v>
      </c>
      <c r="P395" s="14">
        <v>4.0</v>
      </c>
      <c r="Q395" s="14">
        <v>0.0</v>
      </c>
      <c r="R395" s="27">
        <v>0.0</v>
      </c>
      <c r="S395" s="33">
        <v>0.0</v>
      </c>
      <c r="T395" s="28">
        <v>4.0</v>
      </c>
      <c r="U395" s="33">
        <v>0.0</v>
      </c>
      <c r="V395" s="14">
        <v>0.0</v>
      </c>
      <c r="W395" s="14">
        <v>0.0</v>
      </c>
      <c r="X395" s="35" t="s">
        <v>571</v>
      </c>
      <c r="Y395" s="30" t="s">
        <v>32</v>
      </c>
      <c r="Z395" s="35">
        <v>1.748376230101E12</v>
      </c>
      <c r="AA395" s="32" t="s">
        <v>33</v>
      </c>
      <c r="AB395" s="25">
        <v>75.0</v>
      </c>
    </row>
    <row r="396" ht="19.5" hidden="1" customHeight="1">
      <c r="A396" s="14">
        <v>12.0</v>
      </c>
      <c r="B396" s="15">
        <v>45977.0</v>
      </c>
      <c r="C396" s="16" t="s">
        <v>71</v>
      </c>
      <c r="D396" s="17">
        <v>1.0</v>
      </c>
      <c r="E396" s="18">
        <v>0.6777777777777778</v>
      </c>
      <c r="F396" s="34">
        <v>0.7277777777777777</v>
      </c>
      <c r="G396" s="33">
        <v>172.0</v>
      </c>
      <c r="H396" s="14">
        <v>1135.0</v>
      </c>
      <c r="I396" s="14" t="s">
        <v>52</v>
      </c>
      <c r="J396" s="21" t="s">
        <v>53</v>
      </c>
      <c r="K396" s="22" t="s">
        <v>42</v>
      </c>
      <c r="L396" s="23" t="s">
        <v>38</v>
      </c>
      <c r="M396" s="24" t="s">
        <v>113</v>
      </c>
      <c r="N396" s="25" t="s">
        <v>103</v>
      </c>
      <c r="O396" s="26" t="s">
        <v>30</v>
      </c>
      <c r="P396" s="14">
        <v>2.0</v>
      </c>
      <c r="Q396" s="14">
        <v>0.0</v>
      </c>
      <c r="R396" s="27">
        <v>0.0</v>
      </c>
      <c r="S396" s="33">
        <v>0.0</v>
      </c>
      <c r="T396" s="28">
        <v>2.0</v>
      </c>
      <c r="U396" s="33">
        <v>0.0</v>
      </c>
      <c r="V396" s="14">
        <v>0.0</v>
      </c>
      <c r="W396" s="14">
        <v>0.0</v>
      </c>
      <c r="X396" s="35" t="s">
        <v>572</v>
      </c>
      <c r="Y396" s="30" t="s">
        <v>85</v>
      </c>
      <c r="Z396" s="35">
        <v>2.198720070101E12</v>
      </c>
      <c r="AA396" s="32" t="s">
        <v>33</v>
      </c>
      <c r="AB396" s="25">
        <v>37.0</v>
      </c>
    </row>
    <row r="397" ht="19.5" hidden="1" customHeight="1">
      <c r="A397" s="14">
        <v>13.0</v>
      </c>
      <c r="B397" s="15">
        <v>45977.0</v>
      </c>
      <c r="C397" s="16" t="s">
        <v>46</v>
      </c>
      <c r="D397" s="17">
        <v>1.0</v>
      </c>
      <c r="E397" s="18">
        <v>0.6868055555555556</v>
      </c>
      <c r="F397" s="34">
        <v>0.7041666666666667</v>
      </c>
      <c r="G397" s="33">
        <v>44.0</v>
      </c>
      <c r="H397" s="14" t="s">
        <v>66</v>
      </c>
      <c r="I397" s="14" t="s">
        <v>59</v>
      </c>
      <c r="J397" s="21" t="s">
        <v>53</v>
      </c>
      <c r="K397" s="22" t="s">
        <v>100</v>
      </c>
      <c r="L397" s="23" t="s">
        <v>54</v>
      </c>
      <c r="M397" s="24" t="s">
        <v>64</v>
      </c>
      <c r="N397" s="25" t="s">
        <v>103</v>
      </c>
      <c r="O397" s="26" t="s">
        <v>30</v>
      </c>
      <c r="P397" s="14">
        <v>1.0</v>
      </c>
      <c r="Q397" s="14">
        <v>0.0</v>
      </c>
      <c r="R397" s="27">
        <v>0.0</v>
      </c>
      <c r="S397" s="33">
        <v>0.0</v>
      </c>
      <c r="T397" s="28">
        <v>1.0</v>
      </c>
      <c r="U397" s="33">
        <v>0.0</v>
      </c>
      <c r="V397" s="14">
        <v>0.0</v>
      </c>
      <c r="W397" s="14">
        <v>0.0</v>
      </c>
      <c r="X397" s="35" t="s">
        <v>573</v>
      </c>
      <c r="Y397" s="30" t="s">
        <v>61</v>
      </c>
      <c r="Z397" s="35">
        <v>1.89030208061E12</v>
      </c>
      <c r="AA397" s="32" t="s">
        <v>33</v>
      </c>
      <c r="AB397" s="25">
        <v>75.0</v>
      </c>
    </row>
    <row r="398" ht="19.5" hidden="1" customHeight="1">
      <c r="A398" s="14">
        <v>14.0</v>
      </c>
      <c r="B398" s="15">
        <v>45977.0</v>
      </c>
      <c r="C398" s="16" t="s">
        <v>71</v>
      </c>
      <c r="D398" s="17">
        <v>1.0</v>
      </c>
      <c r="E398" s="18">
        <v>0.6979166666666666</v>
      </c>
      <c r="F398" s="34">
        <v>0.8402777777777778</v>
      </c>
      <c r="G398" s="33">
        <v>194.0</v>
      </c>
      <c r="H398" s="14" t="s">
        <v>72</v>
      </c>
      <c r="I398" s="14" t="s">
        <v>73</v>
      </c>
      <c r="J398" s="21" t="s">
        <v>49</v>
      </c>
      <c r="K398" s="22" t="s">
        <v>63</v>
      </c>
      <c r="L398" s="23" t="s">
        <v>38</v>
      </c>
      <c r="M398" s="24" t="s">
        <v>82</v>
      </c>
      <c r="N398" s="25" t="s">
        <v>83</v>
      </c>
      <c r="O398" s="26" t="s">
        <v>30</v>
      </c>
      <c r="P398" s="14">
        <v>2.0</v>
      </c>
      <c r="Q398" s="14">
        <v>2.0</v>
      </c>
      <c r="R398" s="27">
        <v>0.0</v>
      </c>
      <c r="S398" s="33">
        <v>2.0</v>
      </c>
      <c r="T398" s="28">
        <v>4.0</v>
      </c>
      <c r="U398" s="33">
        <v>0.0</v>
      </c>
      <c r="V398" s="14">
        <v>0.0</v>
      </c>
      <c r="W398" s="14">
        <v>0.0</v>
      </c>
      <c r="X398" s="35" t="s">
        <v>574</v>
      </c>
      <c r="Y398" s="30" t="s">
        <v>61</v>
      </c>
      <c r="Z398" s="35">
        <v>1.93926060901E11</v>
      </c>
      <c r="AA398" s="32" t="s">
        <v>33</v>
      </c>
      <c r="AB398" s="25">
        <v>37.0</v>
      </c>
    </row>
    <row r="399" ht="19.5" hidden="1" customHeight="1">
      <c r="A399" s="14">
        <v>15.0</v>
      </c>
      <c r="B399" s="15">
        <v>45977.0</v>
      </c>
      <c r="C399" s="16" t="s">
        <v>46</v>
      </c>
      <c r="D399" s="17">
        <v>1.0</v>
      </c>
      <c r="E399" s="18">
        <v>0.6993055555555555</v>
      </c>
      <c r="F399" s="34">
        <v>0.7256944444444444</v>
      </c>
      <c r="G399" s="33">
        <v>42.0</v>
      </c>
      <c r="H399" s="14" t="s">
        <v>96</v>
      </c>
      <c r="I399" s="14" t="s">
        <v>48</v>
      </c>
      <c r="J399" s="21" t="s">
        <v>49</v>
      </c>
      <c r="K399" s="22" t="s">
        <v>100</v>
      </c>
      <c r="L399" s="23" t="s">
        <v>54</v>
      </c>
      <c r="M399" s="24" t="s">
        <v>64</v>
      </c>
      <c r="N399" s="25" t="s">
        <v>135</v>
      </c>
      <c r="O399" s="26" t="s">
        <v>30</v>
      </c>
      <c r="P399" s="14">
        <v>2.0</v>
      </c>
      <c r="Q399" s="14">
        <v>0.0</v>
      </c>
      <c r="R399" s="27">
        <v>0.0</v>
      </c>
      <c r="S399" s="33">
        <v>0.0</v>
      </c>
      <c r="T399" s="28">
        <v>2.0</v>
      </c>
      <c r="U399" s="33">
        <v>0.0</v>
      </c>
      <c r="V399" s="14">
        <v>0.0</v>
      </c>
      <c r="W399" s="14">
        <v>0.0</v>
      </c>
      <c r="X399" s="35" t="s">
        <v>575</v>
      </c>
      <c r="Y399" s="30" t="s">
        <v>61</v>
      </c>
      <c r="Z399" s="35">
        <v>2.216675120203E12</v>
      </c>
      <c r="AA399" s="32" t="s">
        <v>33</v>
      </c>
      <c r="AB399" s="25">
        <v>54.0</v>
      </c>
    </row>
    <row r="400" ht="19.5" hidden="1" customHeight="1">
      <c r="A400" s="14"/>
      <c r="B400" s="15">
        <v>45977.0</v>
      </c>
      <c r="C400" s="16"/>
      <c r="D400" s="17"/>
      <c r="E400" s="18"/>
      <c r="F400" s="34"/>
      <c r="G400" s="33"/>
      <c r="H400" s="14"/>
      <c r="I400" s="14"/>
      <c r="J400" s="21"/>
      <c r="K400" s="22" t="s">
        <v>63</v>
      </c>
      <c r="L400" s="23"/>
      <c r="M400" s="24"/>
      <c r="N400" s="25"/>
      <c r="O400" s="26" t="s">
        <v>30</v>
      </c>
      <c r="P400" s="14">
        <v>1.0</v>
      </c>
      <c r="Q400" s="14">
        <v>0.0</v>
      </c>
      <c r="R400" s="27">
        <v>0.0</v>
      </c>
      <c r="S400" s="33">
        <v>0.0</v>
      </c>
      <c r="T400" s="28">
        <v>1.0</v>
      </c>
      <c r="U400" s="33">
        <v>0.0</v>
      </c>
      <c r="V400" s="14">
        <v>0.0</v>
      </c>
      <c r="W400" s="14">
        <v>0.0</v>
      </c>
      <c r="X400" s="35" t="s">
        <v>576</v>
      </c>
      <c r="Y400" s="30" t="s">
        <v>61</v>
      </c>
      <c r="Z400" s="35" t="s">
        <v>577</v>
      </c>
      <c r="AA400" s="32" t="s">
        <v>33</v>
      </c>
      <c r="AB400" s="25">
        <v>19.0</v>
      </c>
    </row>
    <row r="401" ht="19.5" hidden="1" customHeight="1">
      <c r="A401" s="14">
        <v>16.0</v>
      </c>
      <c r="B401" s="15">
        <v>45977.0</v>
      </c>
      <c r="C401" s="16" t="s">
        <v>46</v>
      </c>
      <c r="D401" s="17">
        <v>2.0</v>
      </c>
      <c r="E401" s="18">
        <v>0.7041666666666667</v>
      </c>
      <c r="F401" s="34">
        <v>0.7263888888888889</v>
      </c>
      <c r="G401" s="33">
        <v>61.0</v>
      </c>
      <c r="H401" s="14" t="s">
        <v>51</v>
      </c>
      <c r="I401" s="14" t="s">
        <v>52</v>
      </c>
      <c r="J401" s="21" t="s">
        <v>37</v>
      </c>
      <c r="K401" s="22" t="s">
        <v>100</v>
      </c>
      <c r="L401" s="23" t="s">
        <v>38</v>
      </c>
      <c r="M401" s="24" t="s">
        <v>39</v>
      </c>
      <c r="N401" s="25" t="s">
        <v>83</v>
      </c>
      <c r="O401" s="26" t="s">
        <v>30</v>
      </c>
      <c r="P401" s="14">
        <v>1.0</v>
      </c>
      <c r="Q401" s="14">
        <v>0.0</v>
      </c>
      <c r="R401" s="27">
        <v>0.0</v>
      </c>
      <c r="S401" s="33">
        <v>0.0</v>
      </c>
      <c r="T401" s="28">
        <v>1.0</v>
      </c>
      <c r="U401" s="33">
        <v>0.0</v>
      </c>
      <c r="V401" s="14">
        <v>0.0</v>
      </c>
      <c r="W401" s="14">
        <v>0.0</v>
      </c>
      <c r="X401" s="35" t="s">
        <v>578</v>
      </c>
      <c r="Y401" s="30" t="s">
        <v>85</v>
      </c>
      <c r="Z401" s="35" t="s">
        <v>579</v>
      </c>
      <c r="AA401" s="32" t="s">
        <v>33</v>
      </c>
      <c r="AB401" s="25">
        <v>50.0</v>
      </c>
    </row>
    <row r="402" ht="19.5" hidden="1" customHeight="1">
      <c r="A402" s="14">
        <v>17.0</v>
      </c>
      <c r="B402" s="15">
        <v>45977.0</v>
      </c>
      <c r="C402" s="16" t="s">
        <v>46</v>
      </c>
      <c r="D402" s="17">
        <v>1.0</v>
      </c>
      <c r="E402" s="18">
        <v>0.7208333333333333</v>
      </c>
      <c r="F402" s="34">
        <v>0.73125</v>
      </c>
      <c r="G402" s="33">
        <v>45.0</v>
      </c>
      <c r="H402" s="14" t="s">
        <v>66</v>
      </c>
      <c r="I402" s="14" t="s">
        <v>59</v>
      </c>
      <c r="J402" s="21" t="s">
        <v>37</v>
      </c>
      <c r="K402" s="22" t="s">
        <v>91</v>
      </c>
      <c r="L402" s="23" t="s">
        <v>54</v>
      </c>
      <c r="M402" s="24" t="s">
        <v>102</v>
      </c>
      <c r="N402" s="25" t="s">
        <v>103</v>
      </c>
      <c r="O402" s="26" t="s">
        <v>30</v>
      </c>
      <c r="P402" s="14">
        <v>40.0</v>
      </c>
      <c r="Q402" s="14">
        <v>0.0</v>
      </c>
      <c r="R402" s="27">
        <v>0.0</v>
      </c>
      <c r="S402" s="33">
        <v>0.0</v>
      </c>
      <c r="T402" s="28">
        <v>40.0</v>
      </c>
      <c r="U402" s="33">
        <v>0.0</v>
      </c>
      <c r="V402" s="14">
        <v>0.0</v>
      </c>
      <c r="W402" s="14">
        <v>0.0</v>
      </c>
      <c r="X402" s="35" t="s">
        <v>580</v>
      </c>
      <c r="Y402" s="30" t="s">
        <v>32</v>
      </c>
      <c r="Z402" s="35">
        <v>1.916603370105E12</v>
      </c>
      <c r="AA402" s="32" t="s">
        <v>33</v>
      </c>
      <c r="AB402" s="25">
        <v>75.0</v>
      </c>
    </row>
    <row r="403" ht="19.5" hidden="1" customHeight="1">
      <c r="A403" s="14">
        <v>18.0</v>
      </c>
      <c r="B403" s="15">
        <v>45977.0</v>
      </c>
      <c r="C403" s="16" t="s">
        <v>46</v>
      </c>
      <c r="D403" s="17">
        <v>1.0</v>
      </c>
      <c r="E403" s="18">
        <v>0.7659722222222223</v>
      </c>
      <c r="F403" s="34">
        <v>0.7756944444444445</v>
      </c>
      <c r="G403" s="33">
        <v>48.0</v>
      </c>
      <c r="H403" s="14" t="s">
        <v>98</v>
      </c>
      <c r="I403" s="14" t="s">
        <v>59</v>
      </c>
      <c r="J403" s="21" t="s">
        <v>53</v>
      </c>
      <c r="K403" s="22" t="s">
        <v>63</v>
      </c>
      <c r="L403" s="23" t="s">
        <v>54</v>
      </c>
      <c r="M403" s="24" t="s">
        <v>64</v>
      </c>
      <c r="N403" s="25" t="s">
        <v>103</v>
      </c>
      <c r="O403" s="26" t="s">
        <v>30</v>
      </c>
      <c r="P403" s="14">
        <v>1.0</v>
      </c>
      <c r="Q403" s="14">
        <v>0.0</v>
      </c>
      <c r="R403" s="27">
        <v>0.0</v>
      </c>
      <c r="S403" s="33">
        <v>0.0</v>
      </c>
      <c r="T403" s="28">
        <v>1.0</v>
      </c>
      <c r="U403" s="33">
        <v>0.0</v>
      </c>
      <c r="V403" s="14">
        <v>0.0</v>
      </c>
      <c r="W403" s="14">
        <v>0.0</v>
      </c>
      <c r="X403" s="35" t="s">
        <v>581</v>
      </c>
      <c r="Y403" s="30" t="s">
        <v>85</v>
      </c>
      <c r="Z403" s="35">
        <v>3.046294210115E12</v>
      </c>
      <c r="AA403" s="32" t="s">
        <v>33</v>
      </c>
      <c r="AB403" s="25">
        <v>23.0</v>
      </c>
    </row>
    <row r="404" ht="19.5" hidden="1" customHeight="1">
      <c r="A404" s="14">
        <v>19.0</v>
      </c>
      <c r="B404" s="15">
        <v>45977.0</v>
      </c>
      <c r="C404" s="16" t="s">
        <v>46</v>
      </c>
      <c r="D404" s="17">
        <v>1.0</v>
      </c>
      <c r="E404" s="18">
        <v>0.775</v>
      </c>
      <c r="F404" s="34">
        <v>0.9201388888888888</v>
      </c>
      <c r="G404" s="33" t="s">
        <v>582</v>
      </c>
      <c r="H404" s="14" t="s">
        <v>51</v>
      </c>
      <c r="I404" s="14" t="s">
        <v>52</v>
      </c>
      <c r="J404" s="21" t="s">
        <v>37</v>
      </c>
      <c r="K404" s="22" t="s">
        <v>63</v>
      </c>
      <c r="L404" s="23" t="s">
        <v>38</v>
      </c>
      <c r="M404" s="24" t="s">
        <v>108</v>
      </c>
      <c r="N404" s="25" t="s">
        <v>40</v>
      </c>
      <c r="O404" s="26" t="s">
        <v>30</v>
      </c>
      <c r="P404" s="14">
        <v>0.0</v>
      </c>
      <c r="Q404" s="14">
        <v>0.0</v>
      </c>
      <c r="R404" s="27">
        <v>1.0</v>
      </c>
      <c r="S404" s="33">
        <v>0.0</v>
      </c>
      <c r="T404" s="28">
        <v>0.0</v>
      </c>
      <c r="U404" s="33">
        <v>0.0</v>
      </c>
      <c r="V404" s="14">
        <v>0.0</v>
      </c>
      <c r="W404" s="14">
        <v>0.0</v>
      </c>
      <c r="X404" s="25" t="s">
        <v>583</v>
      </c>
      <c r="Y404" s="30" t="s">
        <v>32</v>
      </c>
      <c r="Z404" s="35">
        <v>1.981933430101E12</v>
      </c>
      <c r="AA404" s="32" t="s">
        <v>33</v>
      </c>
      <c r="AB404" s="25">
        <v>50.0</v>
      </c>
    </row>
    <row r="405" ht="19.5" hidden="1" customHeight="1">
      <c r="A405" s="14">
        <v>20.0</v>
      </c>
      <c r="B405" s="15">
        <v>45977.0</v>
      </c>
      <c r="C405" s="16" t="s">
        <v>34</v>
      </c>
      <c r="D405" s="17">
        <v>1.0</v>
      </c>
      <c r="E405" s="18">
        <v>0.8465277777777778</v>
      </c>
      <c r="F405" s="34">
        <v>0.9333333333333333</v>
      </c>
      <c r="G405" s="33">
        <v>74.0</v>
      </c>
      <c r="H405" s="14">
        <v>1131.0</v>
      </c>
      <c r="I405" s="14" t="s">
        <v>36</v>
      </c>
      <c r="J405" s="21" t="s">
        <v>53</v>
      </c>
      <c r="K405" s="22" t="s">
        <v>42</v>
      </c>
      <c r="L405" s="23" t="s">
        <v>38</v>
      </c>
      <c r="M405" s="24" t="s">
        <v>82</v>
      </c>
      <c r="N405" s="25" t="s">
        <v>306</v>
      </c>
      <c r="O405" s="26" t="s">
        <v>30</v>
      </c>
      <c r="P405" s="14">
        <v>3.0</v>
      </c>
      <c r="Q405" s="14">
        <v>0.0</v>
      </c>
      <c r="R405" s="27">
        <v>0.0</v>
      </c>
      <c r="S405" s="33">
        <v>0.0</v>
      </c>
      <c r="T405" s="28">
        <v>3.0</v>
      </c>
      <c r="U405" s="33">
        <v>0.0</v>
      </c>
      <c r="V405" s="14">
        <v>0.0</v>
      </c>
      <c r="W405" s="14">
        <v>0.0</v>
      </c>
      <c r="X405" s="35" t="s">
        <v>584</v>
      </c>
      <c r="Y405" s="30" t="s">
        <v>61</v>
      </c>
      <c r="Z405" s="35">
        <v>2.255940990101E12</v>
      </c>
      <c r="AA405" s="32" t="s">
        <v>33</v>
      </c>
      <c r="AB405" s="25">
        <v>64.0</v>
      </c>
    </row>
    <row r="406" ht="19.5" hidden="1" customHeight="1">
      <c r="A406" s="14"/>
      <c r="B406" s="15">
        <v>45977.0</v>
      </c>
      <c r="C406" s="16"/>
      <c r="D406" s="17"/>
      <c r="E406" s="18"/>
      <c r="F406" s="34"/>
      <c r="G406" s="33"/>
      <c r="H406" s="14"/>
      <c r="I406" s="14"/>
      <c r="J406" s="21"/>
      <c r="K406" s="22" t="s">
        <v>250</v>
      </c>
      <c r="L406" s="23"/>
      <c r="M406" s="24"/>
      <c r="N406" s="25"/>
      <c r="O406" s="26"/>
      <c r="P406" s="14">
        <v>0.0</v>
      </c>
      <c r="Q406" s="14">
        <v>0.0</v>
      </c>
      <c r="R406" s="27">
        <v>0.0</v>
      </c>
      <c r="S406" s="33">
        <v>0.0</v>
      </c>
      <c r="T406" s="28">
        <v>0.0</v>
      </c>
      <c r="U406" s="33">
        <v>1.0</v>
      </c>
      <c r="V406" s="14">
        <v>0.0</v>
      </c>
      <c r="W406" s="14">
        <v>0.0</v>
      </c>
      <c r="X406" s="25" t="s">
        <v>585</v>
      </c>
      <c r="Y406" s="30" t="s">
        <v>44</v>
      </c>
      <c r="Z406" s="35" t="s">
        <v>44</v>
      </c>
      <c r="AA406" s="32" t="s">
        <v>45</v>
      </c>
      <c r="AB406" s="25" t="s">
        <v>44</v>
      </c>
    </row>
    <row r="407" ht="19.5" hidden="1" customHeight="1">
      <c r="A407" s="14">
        <v>21.0</v>
      </c>
      <c r="B407" s="15">
        <v>45977.0</v>
      </c>
      <c r="C407" s="16" t="s">
        <v>71</v>
      </c>
      <c r="D407" s="17">
        <v>1.0</v>
      </c>
      <c r="E407" s="18">
        <v>0.875</v>
      </c>
      <c r="F407" s="34">
        <v>0.9215277777777777</v>
      </c>
      <c r="G407" s="33" t="s">
        <v>586</v>
      </c>
      <c r="H407" s="14">
        <v>1135.0</v>
      </c>
      <c r="I407" s="14" t="s">
        <v>52</v>
      </c>
      <c r="J407" s="21" t="s">
        <v>53</v>
      </c>
      <c r="K407" s="22" t="s">
        <v>89</v>
      </c>
      <c r="L407" s="23" t="s">
        <v>38</v>
      </c>
      <c r="M407" s="24" t="s">
        <v>39</v>
      </c>
      <c r="N407" s="25" t="s">
        <v>306</v>
      </c>
      <c r="O407" s="26" t="s">
        <v>30</v>
      </c>
      <c r="P407" s="14">
        <v>0.0</v>
      </c>
      <c r="Q407" s="14">
        <v>0.0</v>
      </c>
      <c r="R407" s="27">
        <v>1.0</v>
      </c>
      <c r="S407" s="33">
        <v>0.0</v>
      </c>
      <c r="T407" s="28">
        <v>1.0</v>
      </c>
      <c r="U407" s="33">
        <v>0.0</v>
      </c>
      <c r="V407" s="14">
        <v>0.0</v>
      </c>
      <c r="W407" s="14">
        <v>0.0</v>
      </c>
      <c r="X407" s="25" t="s">
        <v>587</v>
      </c>
      <c r="Y407" s="30" t="s">
        <v>115</v>
      </c>
      <c r="Z407" s="35">
        <v>1.991871850114E12</v>
      </c>
      <c r="AA407" s="32" t="s">
        <v>33</v>
      </c>
      <c r="AB407" s="25">
        <v>21.0</v>
      </c>
    </row>
    <row r="408" ht="19.5" hidden="1" customHeight="1">
      <c r="A408" s="14">
        <v>22.0</v>
      </c>
      <c r="B408" s="15">
        <v>45977.0</v>
      </c>
      <c r="C408" s="16" t="s">
        <v>262</v>
      </c>
      <c r="D408" s="17">
        <v>1.0</v>
      </c>
      <c r="E408" s="18">
        <v>0.8576388888888888</v>
      </c>
      <c r="F408" s="34">
        <v>0.9208333333333333</v>
      </c>
      <c r="G408" s="33">
        <v>181.0</v>
      </c>
      <c r="H408" s="14" t="s">
        <v>263</v>
      </c>
      <c r="I408" s="14" t="s">
        <v>36</v>
      </c>
      <c r="J408" s="21" t="s">
        <v>87</v>
      </c>
      <c r="K408" s="22" t="s">
        <v>42</v>
      </c>
      <c r="L408" s="23" t="s">
        <v>38</v>
      </c>
      <c r="M408" s="24" t="s">
        <v>108</v>
      </c>
      <c r="N408" s="25" t="s">
        <v>40</v>
      </c>
      <c r="O408" s="26" t="s">
        <v>30</v>
      </c>
      <c r="P408" s="14">
        <v>0.0</v>
      </c>
      <c r="Q408" s="14">
        <v>0.0</v>
      </c>
      <c r="R408" s="27">
        <v>0.0</v>
      </c>
      <c r="S408" s="33">
        <v>0.0</v>
      </c>
      <c r="T408" s="28">
        <v>0.0</v>
      </c>
      <c r="U408" s="33">
        <v>0.0</v>
      </c>
      <c r="V408" s="14">
        <v>0.0</v>
      </c>
      <c r="W408" s="14">
        <v>0.0</v>
      </c>
      <c r="X408" s="25" t="s">
        <v>77</v>
      </c>
      <c r="Y408" s="30" t="s">
        <v>44</v>
      </c>
      <c r="Z408" s="35" t="s">
        <v>588</v>
      </c>
      <c r="AA408" s="32" t="s">
        <v>45</v>
      </c>
      <c r="AB408" s="25" t="s">
        <v>44</v>
      </c>
    </row>
    <row r="409" ht="19.5" hidden="1" customHeight="1">
      <c r="A409" s="14">
        <v>23.0</v>
      </c>
      <c r="B409" s="15">
        <v>45977.0</v>
      </c>
      <c r="C409" s="16" t="s">
        <v>34</v>
      </c>
      <c r="D409" s="17">
        <v>1.0</v>
      </c>
      <c r="E409" s="18">
        <v>0.9798611111111111</v>
      </c>
      <c r="F409" s="34">
        <v>0.9965277777777778</v>
      </c>
      <c r="G409" s="33">
        <v>64.0</v>
      </c>
      <c r="H409" s="14">
        <v>1131.0</v>
      </c>
      <c r="I409" s="14" t="s">
        <v>36</v>
      </c>
      <c r="J409" s="21" t="s">
        <v>87</v>
      </c>
      <c r="K409" s="22" t="s">
        <v>81</v>
      </c>
      <c r="L409" s="23" t="s">
        <v>38</v>
      </c>
      <c r="M409" s="24" t="s">
        <v>82</v>
      </c>
      <c r="N409" s="25" t="s">
        <v>589</v>
      </c>
      <c r="O409" s="26" t="s">
        <v>30</v>
      </c>
      <c r="P409" s="14">
        <v>1.0</v>
      </c>
      <c r="Q409" s="14">
        <v>0.0</v>
      </c>
      <c r="R409" s="27">
        <v>0.0</v>
      </c>
      <c r="S409" s="33">
        <v>0.0</v>
      </c>
      <c r="T409" s="28">
        <v>1.0</v>
      </c>
      <c r="U409" s="33">
        <v>0.0</v>
      </c>
      <c r="V409" s="14">
        <v>0.0</v>
      </c>
      <c r="W409" s="14">
        <v>0.0</v>
      </c>
      <c r="X409" s="25" t="s">
        <v>590</v>
      </c>
      <c r="Y409" s="30" t="s">
        <v>415</v>
      </c>
      <c r="Z409" s="54">
        <v>48214.0</v>
      </c>
      <c r="AA409" s="32" t="s">
        <v>33</v>
      </c>
      <c r="AB409" s="25">
        <v>33.0</v>
      </c>
    </row>
    <row r="410" ht="19.5" hidden="1" customHeight="1">
      <c r="A410" s="14">
        <v>1.0</v>
      </c>
      <c r="B410" s="15">
        <v>45978.0</v>
      </c>
      <c r="C410" s="16" t="s">
        <v>46</v>
      </c>
      <c r="D410" s="17">
        <v>1.0</v>
      </c>
      <c r="E410" s="18">
        <v>0.03888888888888889</v>
      </c>
      <c r="F410" s="34">
        <v>0.08680555555555555</v>
      </c>
      <c r="G410" s="33" t="s">
        <v>591</v>
      </c>
      <c r="H410" s="14" t="s">
        <v>97</v>
      </c>
      <c r="I410" s="14" t="s">
        <v>48</v>
      </c>
      <c r="J410" s="21" t="s">
        <v>87</v>
      </c>
      <c r="K410" s="22" t="s">
        <v>29</v>
      </c>
      <c r="L410" s="23" t="s">
        <v>38</v>
      </c>
      <c r="M410" s="24" t="s">
        <v>113</v>
      </c>
      <c r="N410" s="25" t="s">
        <v>592</v>
      </c>
      <c r="O410" s="26" t="s">
        <v>30</v>
      </c>
      <c r="P410" s="14">
        <v>1.0</v>
      </c>
      <c r="Q410" s="14">
        <v>0.0</v>
      </c>
      <c r="R410" s="27">
        <v>0.0</v>
      </c>
      <c r="S410" s="33">
        <v>0.0</v>
      </c>
      <c r="T410" s="28">
        <v>1.0</v>
      </c>
      <c r="U410" s="33">
        <v>0.0</v>
      </c>
      <c r="V410" s="14">
        <v>0.0</v>
      </c>
      <c r="W410" s="14">
        <v>0.0</v>
      </c>
      <c r="X410" s="55" t="s">
        <v>593</v>
      </c>
      <c r="Y410" s="30" t="s">
        <v>32</v>
      </c>
      <c r="Z410" s="29">
        <v>1.608903810101E12</v>
      </c>
      <c r="AA410" s="32" t="s">
        <v>33</v>
      </c>
      <c r="AB410" s="25">
        <v>27.0</v>
      </c>
    </row>
    <row r="411" ht="19.5" hidden="1" customHeight="1">
      <c r="A411" s="14">
        <v>2.0</v>
      </c>
      <c r="B411" s="15">
        <v>45978.0</v>
      </c>
      <c r="C411" s="16" t="s">
        <v>46</v>
      </c>
      <c r="D411" s="17">
        <v>1.0</v>
      </c>
      <c r="E411" s="18">
        <v>0.21805555555555556</v>
      </c>
      <c r="F411" s="34">
        <v>0.24305555555555555</v>
      </c>
      <c r="G411" s="33">
        <v>0.0</v>
      </c>
      <c r="H411" s="14" t="s">
        <v>58</v>
      </c>
      <c r="I411" s="14" t="s">
        <v>88</v>
      </c>
      <c r="J411" s="21" t="s">
        <v>87</v>
      </c>
      <c r="K411" s="22" t="s">
        <v>29</v>
      </c>
      <c r="L411" s="23" t="s">
        <v>38</v>
      </c>
      <c r="M411" s="24" t="s">
        <v>196</v>
      </c>
      <c r="N411" s="25" t="s">
        <v>40</v>
      </c>
      <c r="O411" s="26" t="s">
        <v>30</v>
      </c>
      <c r="P411" s="14">
        <v>2.0</v>
      </c>
      <c r="Q411" s="14">
        <v>0.0</v>
      </c>
      <c r="R411" s="27">
        <v>0.0</v>
      </c>
      <c r="S411" s="33">
        <v>0.0</v>
      </c>
      <c r="T411" s="28">
        <v>2.0</v>
      </c>
      <c r="U411" s="33">
        <v>0.0</v>
      </c>
      <c r="V411" s="14">
        <v>0.0</v>
      </c>
      <c r="W411" s="14">
        <v>0.0</v>
      </c>
      <c r="X411" s="35" t="s">
        <v>594</v>
      </c>
      <c r="Y411" s="30" t="s">
        <v>32</v>
      </c>
      <c r="Z411" s="35">
        <v>2.456044212215E12</v>
      </c>
      <c r="AA411" s="32" t="s">
        <v>33</v>
      </c>
      <c r="AB411" s="25">
        <v>31.0</v>
      </c>
    </row>
    <row r="412" ht="19.5" hidden="1" customHeight="1">
      <c r="A412" s="14">
        <v>3.0</v>
      </c>
      <c r="B412" s="15">
        <v>45978.0</v>
      </c>
      <c r="C412" s="16" t="s">
        <v>34</v>
      </c>
      <c r="D412" s="17">
        <v>1.0</v>
      </c>
      <c r="E412" s="18">
        <v>0.24375</v>
      </c>
      <c r="F412" s="34">
        <v>0.6159722222222223</v>
      </c>
      <c r="G412" s="33">
        <v>98.0</v>
      </c>
      <c r="H412" s="14" t="s">
        <v>35</v>
      </c>
      <c r="I412" s="14" t="s">
        <v>88</v>
      </c>
      <c r="J412" s="21" t="s">
        <v>49</v>
      </c>
      <c r="K412" s="22" t="s">
        <v>75</v>
      </c>
      <c r="L412" s="23" t="s">
        <v>54</v>
      </c>
      <c r="M412" s="24" t="s">
        <v>467</v>
      </c>
      <c r="N412" s="25" t="s">
        <v>595</v>
      </c>
      <c r="O412" s="26" t="s">
        <v>30</v>
      </c>
      <c r="P412" s="14">
        <v>0.0</v>
      </c>
      <c r="Q412" s="14">
        <v>0.0</v>
      </c>
      <c r="R412" s="27">
        <v>0.0</v>
      </c>
      <c r="S412" s="33">
        <v>0.0</v>
      </c>
      <c r="T412" s="28">
        <v>0.0</v>
      </c>
      <c r="U412" s="33">
        <v>0.0</v>
      </c>
      <c r="V412" s="14">
        <v>0.0</v>
      </c>
      <c r="W412" s="14">
        <v>0.0</v>
      </c>
      <c r="X412" s="38" t="s">
        <v>596</v>
      </c>
      <c r="Y412" s="30" t="s">
        <v>32</v>
      </c>
      <c r="Z412" s="38">
        <v>1.874647700512E12</v>
      </c>
      <c r="AA412" s="32" t="s">
        <v>33</v>
      </c>
      <c r="AB412" s="25">
        <v>40.0</v>
      </c>
    </row>
    <row r="413" ht="19.5" hidden="1" customHeight="1">
      <c r="A413" s="14">
        <v>4.0</v>
      </c>
      <c r="B413" s="15">
        <v>45978.0</v>
      </c>
      <c r="C413" s="16" t="s">
        <v>46</v>
      </c>
      <c r="D413" s="17">
        <v>1.0</v>
      </c>
      <c r="E413" s="18">
        <v>0.22777777777777777</v>
      </c>
      <c r="F413" s="34">
        <v>0.2548611111111111</v>
      </c>
      <c r="G413" s="33">
        <v>8.0</v>
      </c>
      <c r="H413" s="14" t="s">
        <v>139</v>
      </c>
      <c r="I413" s="14" t="s">
        <v>59</v>
      </c>
      <c r="J413" s="21" t="s">
        <v>53</v>
      </c>
      <c r="K413" s="22" t="s">
        <v>100</v>
      </c>
      <c r="L413" s="23" t="s">
        <v>54</v>
      </c>
      <c r="M413" s="24" t="s">
        <v>64</v>
      </c>
      <c r="N413" s="25" t="s">
        <v>40</v>
      </c>
      <c r="O413" s="26" t="s">
        <v>30</v>
      </c>
      <c r="P413" s="14">
        <v>1.0</v>
      </c>
      <c r="Q413" s="14">
        <v>0.0</v>
      </c>
      <c r="R413" s="27">
        <v>0.0</v>
      </c>
      <c r="S413" s="33">
        <v>0.0</v>
      </c>
      <c r="T413" s="28">
        <v>1.0</v>
      </c>
      <c r="U413" s="33">
        <v>0.0</v>
      </c>
      <c r="V413" s="14">
        <v>0.0</v>
      </c>
      <c r="W413" s="14">
        <v>0.0</v>
      </c>
      <c r="X413" s="35" t="s">
        <v>597</v>
      </c>
      <c r="Y413" s="30" t="s">
        <v>85</v>
      </c>
      <c r="Z413" s="35">
        <v>1.665142250101E12</v>
      </c>
      <c r="AA413" s="32" t="s">
        <v>33</v>
      </c>
      <c r="AB413" s="25">
        <v>53.0</v>
      </c>
    </row>
    <row r="414" ht="19.5" hidden="1" customHeight="1">
      <c r="A414" s="14"/>
      <c r="B414" s="15">
        <v>45978.0</v>
      </c>
      <c r="C414" s="16"/>
      <c r="D414" s="17"/>
      <c r="E414" s="18"/>
      <c r="F414" s="34"/>
      <c r="G414" s="33"/>
      <c r="H414" s="14"/>
      <c r="I414" s="14"/>
      <c r="J414" s="21"/>
      <c r="K414" s="22" t="s">
        <v>29</v>
      </c>
      <c r="L414" s="23"/>
      <c r="M414" s="24"/>
      <c r="N414" s="25"/>
      <c r="O414" s="26" t="s">
        <v>30</v>
      </c>
      <c r="P414" s="14">
        <v>1.0</v>
      </c>
      <c r="Q414" s="14">
        <v>0.0</v>
      </c>
      <c r="R414" s="27">
        <v>0.0</v>
      </c>
      <c r="S414" s="33">
        <v>0.0</v>
      </c>
      <c r="T414" s="28">
        <v>1.0</v>
      </c>
      <c r="U414" s="33">
        <v>0.0</v>
      </c>
      <c r="V414" s="14">
        <v>0.0</v>
      </c>
      <c r="W414" s="14">
        <v>0.0</v>
      </c>
      <c r="X414" s="56" t="s">
        <v>77</v>
      </c>
      <c r="Y414" s="30" t="s">
        <v>44</v>
      </c>
      <c r="Z414" s="29" t="s">
        <v>45</v>
      </c>
      <c r="AA414" s="32" t="s">
        <v>45</v>
      </c>
      <c r="AB414" s="25" t="s">
        <v>45</v>
      </c>
    </row>
    <row r="415" ht="19.5" hidden="1" customHeight="1">
      <c r="A415" s="14">
        <v>5.0</v>
      </c>
      <c r="B415" s="15">
        <v>45978.0</v>
      </c>
      <c r="C415" s="16" t="s">
        <v>128</v>
      </c>
      <c r="D415" s="17">
        <v>2.0</v>
      </c>
      <c r="E415" s="18">
        <v>0.2791666666666667</v>
      </c>
      <c r="F415" s="34">
        <v>0.3125</v>
      </c>
      <c r="G415" s="33">
        <v>80.0</v>
      </c>
      <c r="H415" s="14">
        <v>1133.0</v>
      </c>
      <c r="I415" s="14" t="s">
        <v>48</v>
      </c>
      <c r="J415" s="21" t="s">
        <v>87</v>
      </c>
      <c r="K415" s="22" t="s">
        <v>42</v>
      </c>
      <c r="L415" s="23" t="s">
        <v>38</v>
      </c>
      <c r="M415" s="24" t="s">
        <v>39</v>
      </c>
      <c r="N415" s="25" t="s">
        <v>446</v>
      </c>
      <c r="O415" s="26" t="s">
        <v>30</v>
      </c>
      <c r="P415" s="14">
        <v>1.0</v>
      </c>
      <c r="Q415" s="14">
        <v>0.0</v>
      </c>
      <c r="R415" s="27">
        <v>0.0</v>
      </c>
      <c r="S415" s="33">
        <v>0.0</v>
      </c>
      <c r="T415" s="28">
        <v>1.0</v>
      </c>
      <c r="U415" s="33">
        <v>0.0</v>
      </c>
      <c r="V415" s="14">
        <v>0.0</v>
      </c>
      <c r="W415" s="14">
        <v>0.0</v>
      </c>
      <c r="X415" s="35" t="s">
        <v>598</v>
      </c>
      <c r="Y415" s="30" t="s">
        <v>61</v>
      </c>
      <c r="Z415" s="35">
        <v>2.643854972005E12</v>
      </c>
      <c r="AA415" s="32" t="s">
        <v>33</v>
      </c>
      <c r="AB415" s="25">
        <v>51.0</v>
      </c>
    </row>
    <row r="416" ht="19.5" hidden="1" customHeight="1">
      <c r="A416" s="14">
        <v>6.0</v>
      </c>
      <c r="B416" s="15">
        <v>45978.0</v>
      </c>
      <c r="C416" s="16" t="s">
        <v>243</v>
      </c>
      <c r="D416" s="17" t="s">
        <v>50</v>
      </c>
      <c r="E416" s="18">
        <v>0.4423611111111111</v>
      </c>
      <c r="F416" s="34">
        <v>0.71875</v>
      </c>
      <c r="G416" s="33">
        <v>134.0</v>
      </c>
      <c r="H416" s="14" t="s">
        <v>249</v>
      </c>
      <c r="I416" s="14" t="s">
        <v>48</v>
      </c>
      <c r="J416" s="21" t="s">
        <v>87</v>
      </c>
      <c r="K416" s="22" t="s">
        <v>75</v>
      </c>
      <c r="L416" s="23" t="s">
        <v>54</v>
      </c>
      <c r="M416" s="24" t="s">
        <v>467</v>
      </c>
      <c r="N416" s="25" t="s">
        <v>40</v>
      </c>
      <c r="O416" s="26" t="s">
        <v>30</v>
      </c>
      <c r="P416" s="14">
        <v>0.0</v>
      </c>
      <c r="Q416" s="14">
        <v>0.0</v>
      </c>
      <c r="R416" s="27">
        <v>0.0</v>
      </c>
      <c r="S416" s="33">
        <v>0.0</v>
      </c>
      <c r="T416" s="28">
        <v>0.0</v>
      </c>
      <c r="U416" s="33">
        <v>0.0</v>
      </c>
      <c r="V416" s="14">
        <v>0.0</v>
      </c>
      <c r="W416" s="14">
        <v>0.0</v>
      </c>
      <c r="X416" s="56" t="s">
        <v>30</v>
      </c>
      <c r="Y416" s="30" t="s">
        <v>44</v>
      </c>
      <c r="Z416" s="29" t="s">
        <v>45</v>
      </c>
      <c r="AA416" s="32" t="s">
        <v>45</v>
      </c>
      <c r="AB416" s="25" t="s">
        <v>45</v>
      </c>
    </row>
    <row r="417" ht="19.5" hidden="1" customHeight="1">
      <c r="A417" s="14">
        <v>7.0</v>
      </c>
      <c r="B417" s="15">
        <v>45978.0</v>
      </c>
      <c r="C417" s="16" t="s">
        <v>46</v>
      </c>
      <c r="D417" s="17">
        <v>1.0</v>
      </c>
      <c r="E417" s="18">
        <v>0.5048611111111111</v>
      </c>
      <c r="F417" s="34">
        <v>0.5055555555555555</v>
      </c>
      <c r="G417" s="33">
        <v>61.0</v>
      </c>
      <c r="H417" s="14" t="s">
        <v>94</v>
      </c>
      <c r="I417" s="14" t="s">
        <v>52</v>
      </c>
      <c r="J417" s="21" t="s">
        <v>37</v>
      </c>
      <c r="K417" s="22" t="s">
        <v>63</v>
      </c>
      <c r="L417" s="23" t="s">
        <v>54</v>
      </c>
      <c r="M417" s="24" t="s">
        <v>64</v>
      </c>
      <c r="N417" s="25" t="s">
        <v>40</v>
      </c>
      <c r="O417" s="26" t="s">
        <v>30</v>
      </c>
      <c r="P417" s="14">
        <v>6.0</v>
      </c>
      <c r="Q417" s="14">
        <v>0.0</v>
      </c>
      <c r="R417" s="27">
        <v>0.0</v>
      </c>
      <c r="S417" s="33">
        <v>0.0</v>
      </c>
      <c r="T417" s="28">
        <v>6.0</v>
      </c>
      <c r="U417" s="33">
        <v>0.0</v>
      </c>
      <c r="V417" s="14">
        <v>0.0</v>
      </c>
      <c r="W417" s="14">
        <v>0.0</v>
      </c>
      <c r="X417" s="35" t="s">
        <v>599</v>
      </c>
      <c r="Y417" s="30" t="s">
        <v>85</v>
      </c>
      <c r="Z417" s="35">
        <v>1.757068830701E12</v>
      </c>
      <c r="AA417" s="32" t="s">
        <v>33</v>
      </c>
      <c r="AB417" s="25">
        <v>41.0</v>
      </c>
    </row>
    <row r="418" ht="19.5" hidden="1" customHeight="1">
      <c r="A418" s="14">
        <v>8.0</v>
      </c>
      <c r="B418" s="15">
        <v>45978.0</v>
      </c>
      <c r="C418" s="16" t="s">
        <v>46</v>
      </c>
      <c r="D418" s="17" t="s">
        <v>50</v>
      </c>
      <c r="E418" s="18">
        <v>0.37777777777777777</v>
      </c>
      <c r="F418" s="34">
        <v>0.7451388888888889</v>
      </c>
      <c r="G418" s="33" t="s">
        <v>488</v>
      </c>
      <c r="H418" s="14">
        <v>1125.0</v>
      </c>
      <c r="I418" s="14" t="s">
        <v>36</v>
      </c>
      <c r="J418" s="21" t="s">
        <v>37</v>
      </c>
      <c r="K418" s="22" t="s">
        <v>75</v>
      </c>
      <c r="L418" s="23" t="s">
        <v>54</v>
      </c>
      <c r="M418" s="24" t="s">
        <v>76</v>
      </c>
      <c r="N418" s="25" t="s">
        <v>456</v>
      </c>
      <c r="O418" s="26" t="s">
        <v>489</v>
      </c>
      <c r="P418" s="14">
        <v>0.0</v>
      </c>
      <c r="Q418" s="14">
        <v>0.0</v>
      </c>
      <c r="R418" s="27">
        <v>0.0</v>
      </c>
      <c r="S418" s="33">
        <v>0.0</v>
      </c>
      <c r="T418" s="28">
        <v>0.0</v>
      </c>
      <c r="U418" s="33">
        <v>0.0</v>
      </c>
      <c r="V418" s="14">
        <v>0.0</v>
      </c>
      <c r="W418" s="14">
        <v>0.0</v>
      </c>
      <c r="X418" s="56" t="s">
        <v>600</v>
      </c>
      <c r="Y418" s="30" t="s">
        <v>44</v>
      </c>
      <c r="Z418" s="29" t="s">
        <v>45</v>
      </c>
      <c r="AA418" s="32" t="s">
        <v>33</v>
      </c>
      <c r="AB418" s="25" t="s">
        <v>45</v>
      </c>
    </row>
    <row r="419" ht="19.5" hidden="1" customHeight="1">
      <c r="A419" s="14">
        <v>9.0</v>
      </c>
      <c r="B419" s="15">
        <v>45978.0</v>
      </c>
      <c r="C419" s="16" t="s">
        <v>46</v>
      </c>
      <c r="D419" s="17">
        <v>1.0</v>
      </c>
      <c r="E419" s="18">
        <v>0.5541666666666667</v>
      </c>
      <c r="F419" s="34">
        <v>0.5659722222222222</v>
      </c>
      <c r="G419" s="33" t="s">
        <v>601</v>
      </c>
      <c r="H419" s="14" t="s">
        <v>96</v>
      </c>
      <c r="I419" s="14" t="s">
        <v>59</v>
      </c>
      <c r="J419" s="21" t="s">
        <v>37</v>
      </c>
      <c r="K419" s="22" t="s">
        <v>42</v>
      </c>
      <c r="L419" s="23" t="s">
        <v>54</v>
      </c>
      <c r="M419" s="24" t="s">
        <v>64</v>
      </c>
      <c r="N419" s="25" t="s">
        <v>103</v>
      </c>
      <c r="O419" s="26" t="s">
        <v>30</v>
      </c>
      <c r="P419" s="14">
        <v>1.0</v>
      </c>
      <c r="Q419" s="14">
        <v>0.0</v>
      </c>
      <c r="R419" s="27">
        <v>0.0</v>
      </c>
      <c r="S419" s="33">
        <v>0.0</v>
      </c>
      <c r="T419" s="28">
        <v>1.0</v>
      </c>
      <c r="U419" s="33">
        <v>0.0</v>
      </c>
      <c r="V419" s="14">
        <v>0.0</v>
      </c>
      <c r="W419" s="14">
        <v>0.0</v>
      </c>
      <c r="X419" s="35" t="s">
        <v>602</v>
      </c>
      <c r="Y419" s="30" t="s">
        <v>32</v>
      </c>
      <c r="Z419" s="35">
        <v>2.356117190116E12</v>
      </c>
      <c r="AA419" s="32" t="s">
        <v>33</v>
      </c>
      <c r="AB419" s="25">
        <v>41.0</v>
      </c>
    </row>
    <row r="420" ht="19.5" hidden="1" customHeight="1">
      <c r="A420" s="14">
        <v>10.0</v>
      </c>
      <c r="B420" s="15">
        <v>45978.0</v>
      </c>
      <c r="C420" s="16" t="s">
        <v>46</v>
      </c>
      <c r="D420" s="17">
        <v>1.0</v>
      </c>
      <c r="E420" s="18">
        <v>0.5555555555555556</v>
      </c>
      <c r="F420" s="34">
        <v>0.5791666666666667</v>
      </c>
      <c r="G420" s="33">
        <v>49.0</v>
      </c>
      <c r="H420" s="14" t="s">
        <v>139</v>
      </c>
      <c r="I420" s="14" t="s">
        <v>59</v>
      </c>
      <c r="J420" s="21" t="s">
        <v>53</v>
      </c>
      <c r="K420" s="22" t="s">
        <v>63</v>
      </c>
      <c r="L420" s="23" t="s">
        <v>54</v>
      </c>
      <c r="M420" s="24" t="s">
        <v>131</v>
      </c>
      <c r="N420" s="25" t="s">
        <v>103</v>
      </c>
      <c r="O420" s="26" t="s">
        <v>30</v>
      </c>
      <c r="P420" s="14">
        <v>1.0</v>
      </c>
      <c r="Q420" s="14">
        <v>0.0</v>
      </c>
      <c r="R420" s="27">
        <v>0.0</v>
      </c>
      <c r="S420" s="33">
        <v>0.0</v>
      </c>
      <c r="T420" s="28">
        <v>1.0</v>
      </c>
      <c r="U420" s="33">
        <v>0.0</v>
      </c>
      <c r="V420" s="14">
        <v>0.0</v>
      </c>
      <c r="W420" s="14">
        <v>0.0</v>
      </c>
      <c r="X420" s="35" t="s">
        <v>603</v>
      </c>
      <c r="Y420" s="30" t="s">
        <v>61</v>
      </c>
      <c r="Z420" s="35">
        <v>3.428879982207E12</v>
      </c>
      <c r="AA420" s="32" t="s">
        <v>33</v>
      </c>
      <c r="AB420" s="25">
        <v>23.0</v>
      </c>
    </row>
    <row r="421" ht="19.5" hidden="1" customHeight="1">
      <c r="A421" s="14">
        <v>11.0</v>
      </c>
      <c r="B421" s="15">
        <v>45978.0</v>
      </c>
      <c r="C421" s="16" t="s">
        <v>46</v>
      </c>
      <c r="D421" s="17">
        <v>1.0</v>
      </c>
      <c r="E421" s="18">
        <v>0.6118055555555556</v>
      </c>
      <c r="F421" s="34">
        <v>0.6520833333333333</v>
      </c>
      <c r="G421" s="33">
        <v>20.4</v>
      </c>
      <c r="H421" s="14" t="s">
        <v>62</v>
      </c>
      <c r="I421" s="14" t="s">
        <v>52</v>
      </c>
      <c r="J421" s="21" t="s">
        <v>53</v>
      </c>
      <c r="K421" s="22" t="s">
        <v>100</v>
      </c>
      <c r="L421" s="23" t="s">
        <v>54</v>
      </c>
      <c r="M421" s="24" t="s">
        <v>67</v>
      </c>
      <c r="N421" s="25" t="s">
        <v>169</v>
      </c>
      <c r="O421" s="26" t="s">
        <v>30</v>
      </c>
      <c r="P421" s="14">
        <v>3.0</v>
      </c>
      <c r="Q421" s="14">
        <v>0.0</v>
      </c>
      <c r="R421" s="27">
        <v>0.0</v>
      </c>
      <c r="S421" s="33">
        <v>0.0</v>
      </c>
      <c r="T421" s="28">
        <v>3.0</v>
      </c>
      <c r="U421" s="33">
        <v>0.0</v>
      </c>
      <c r="V421" s="14">
        <v>0.0</v>
      </c>
      <c r="W421" s="14">
        <v>0.0</v>
      </c>
      <c r="X421" s="56" t="s">
        <v>604</v>
      </c>
      <c r="Y421" s="30" t="s">
        <v>61</v>
      </c>
      <c r="Z421" s="29">
        <v>1.651135100101E12</v>
      </c>
      <c r="AA421" s="32" t="s">
        <v>127</v>
      </c>
      <c r="AB421" s="25">
        <v>48.0</v>
      </c>
    </row>
    <row r="422" ht="19.5" hidden="1" customHeight="1">
      <c r="A422" s="14">
        <v>12.0</v>
      </c>
      <c r="B422" s="15">
        <v>45978.0</v>
      </c>
      <c r="C422" s="16" t="s">
        <v>46</v>
      </c>
      <c r="D422" s="17">
        <v>1.0</v>
      </c>
      <c r="E422" s="18">
        <v>0.6444444444444445</v>
      </c>
      <c r="F422" s="34">
        <v>0.6583333333333333</v>
      </c>
      <c r="G422" s="20">
        <v>45740.0</v>
      </c>
      <c r="H422" s="14" t="s">
        <v>58</v>
      </c>
      <c r="I422" s="14" t="s">
        <v>88</v>
      </c>
      <c r="J422" s="21" t="s">
        <v>53</v>
      </c>
      <c r="K422" s="22" t="s">
        <v>81</v>
      </c>
      <c r="L422" s="23" t="s">
        <v>54</v>
      </c>
      <c r="M422" s="24" t="s">
        <v>64</v>
      </c>
      <c r="N422" s="25" t="s">
        <v>148</v>
      </c>
      <c r="O422" s="26" t="s">
        <v>30</v>
      </c>
      <c r="P422" s="14">
        <v>1.0</v>
      </c>
      <c r="Q422" s="14">
        <v>0.0</v>
      </c>
      <c r="R422" s="27">
        <v>0.0</v>
      </c>
      <c r="S422" s="33">
        <v>0.0</v>
      </c>
      <c r="T422" s="28">
        <v>1.0</v>
      </c>
      <c r="U422" s="33">
        <v>0.0</v>
      </c>
      <c r="V422" s="14">
        <v>0.0</v>
      </c>
      <c r="W422" s="14">
        <v>0.0</v>
      </c>
      <c r="X422" s="35" t="s">
        <v>605</v>
      </c>
      <c r="Y422" s="30" t="s">
        <v>85</v>
      </c>
      <c r="Z422" s="35">
        <v>2.776133530101E12</v>
      </c>
      <c r="AA422" s="32" t="s">
        <v>33</v>
      </c>
      <c r="AB422" s="25">
        <v>30.0</v>
      </c>
    </row>
    <row r="423" ht="19.5" hidden="1" customHeight="1">
      <c r="A423" s="14">
        <v>13.0</v>
      </c>
      <c r="B423" s="15">
        <v>45978.0</v>
      </c>
      <c r="C423" s="16" t="s">
        <v>46</v>
      </c>
      <c r="D423" s="17">
        <v>1.0</v>
      </c>
      <c r="E423" s="18">
        <v>0.6527777777777778</v>
      </c>
      <c r="F423" s="34">
        <v>0.6722222222222223</v>
      </c>
      <c r="G423" s="33">
        <v>28.0</v>
      </c>
      <c r="H423" s="14" t="s">
        <v>139</v>
      </c>
      <c r="I423" s="14" t="s">
        <v>59</v>
      </c>
      <c r="J423" s="21" t="s">
        <v>53</v>
      </c>
      <c r="K423" s="22" t="s">
        <v>100</v>
      </c>
      <c r="L423" s="23" t="s">
        <v>54</v>
      </c>
      <c r="M423" s="24" t="s">
        <v>64</v>
      </c>
      <c r="N423" s="25" t="s">
        <v>40</v>
      </c>
      <c r="O423" s="26" t="s">
        <v>30</v>
      </c>
      <c r="P423" s="14">
        <v>1.0</v>
      </c>
      <c r="Q423" s="14">
        <v>0.0</v>
      </c>
      <c r="R423" s="27">
        <v>0.0</v>
      </c>
      <c r="S423" s="33">
        <v>0.0</v>
      </c>
      <c r="T423" s="28">
        <v>1.0</v>
      </c>
      <c r="U423" s="33">
        <v>0.0</v>
      </c>
      <c r="V423" s="14">
        <v>0.0</v>
      </c>
      <c r="W423" s="14">
        <v>0.0</v>
      </c>
      <c r="X423" s="56" t="s">
        <v>606</v>
      </c>
      <c r="Y423" s="30" t="s">
        <v>85</v>
      </c>
      <c r="Z423" s="29">
        <v>2.447059330606E12</v>
      </c>
      <c r="AA423" s="32" t="s">
        <v>33</v>
      </c>
      <c r="AB423" s="25">
        <v>59.0</v>
      </c>
    </row>
    <row r="424" ht="19.5" hidden="1" customHeight="1">
      <c r="A424" s="14"/>
      <c r="B424" s="15">
        <v>45978.0</v>
      </c>
      <c r="C424" s="16"/>
      <c r="D424" s="17"/>
      <c r="E424" s="18"/>
      <c r="F424" s="34"/>
      <c r="G424" s="33"/>
      <c r="H424" s="14"/>
      <c r="I424" s="14"/>
      <c r="J424" s="21"/>
      <c r="K424" s="22" t="s">
        <v>100</v>
      </c>
      <c r="L424" s="23"/>
      <c r="M424" s="24"/>
      <c r="N424" s="25"/>
      <c r="O424" s="26" t="s">
        <v>30</v>
      </c>
      <c r="P424" s="14">
        <v>1.0</v>
      </c>
      <c r="Q424" s="14">
        <v>0.0</v>
      </c>
      <c r="R424" s="27">
        <v>0.0</v>
      </c>
      <c r="S424" s="33">
        <v>0.0</v>
      </c>
      <c r="T424" s="28">
        <v>1.0</v>
      </c>
      <c r="U424" s="33">
        <v>0.0</v>
      </c>
      <c r="V424" s="14">
        <v>0.0</v>
      </c>
      <c r="W424" s="14">
        <v>0.0</v>
      </c>
      <c r="X424" s="35" t="s">
        <v>607</v>
      </c>
      <c r="Y424" s="30" t="s">
        <v>85</v>
      </c>
      <c r="Z424" s="35">
        <v>2.602955230101E12</v>
      </c>
      <c r="AA424" s="32" t="s">
        <v>33</v>
      </c>
      <c r="AB424" s="25">
        <v>55.0</v>
      </c>
    </row>
    <row r="425" ht="19.5" hidden="1" customHeight="1">
      <c r="A425" s="14">
        <v>14.0</v>
      </c>
      <c r="B425" s="15">
        <v>45978.0</v>
      </c>
      <c r="C425" s="16" t="s">
        <v>71</v>
      </c>
      <c r="D425" s="17">
        <v>2.0</v>
      </c>
      <c r="E425" s="18">
        <v>0.8090277777777778</v>
      </c>
      <c r="F425" s="34">
        <v>0.8493055555555555</v>
      </c>
      <c r="G425" s="33">
        <v>194.0</v>
      </c>
      <c r="H425" s="14">
        <v>1135.0</v>
      </c>
      <c r="I425" s="14" t="s">
        <v>73</v>
      </c>
      <c r="J425" s="21" t="s">
        <v>87</v>
      </c>
      <c r="K425" s="22" t="s">
        <v>42</v>
      </c>
      <c r="L425" s="23" t="s">
        <v>38</v>
      </c>
      <c r="M425" s="24" t="s">
        <v>39</v>
      </c>
      <c r="N425" s="25" t="s">
        <v>345</v>
      </c>
      <c r="O425" s="26" t="s">
        <v>30</v>
      </c>
      <c r="P425" s="14">
        <v>1.0</v>
      </c>
      <c r="Q425" s="14">
        <v>0.0</v>
      </c>
      <c r="R425" s="27">
        <v>0.0</v>
      </c>
      <c r="S425" s="33">
        <v>0.0</v>
      </c>
      <c r="T425" s="28">
        <v>1.0</v>
      </c>
      <c r="U425" s="33">
        <v>0.0</v>
      </c>
      <c r="V425" s="14">
        <v>0.0</v>
      </c>
      <c r="W425" s="14">
        <v>0.0</v>
      </c>
      <c r="X425" s="35" t="s">
        <v>608</v>
      </c>
      <c r="Y425" s="30" t="s">
        <v>61</v>
      </c>
      <c r="Z425" s="35">
        <v>3.81834379091E11</v>
      </c>
      <c r="AA425" s="32" t="s">
        <v>33</v>
      </c>
      <c r="AB425" s="25">
        <v>36.0</v>
      </c>
    </row>
    <row r="426" ht="19.5" hidden="1" customHeight="1">
      <c r="A426" s="14">
        <v>1.0</v>
      </c>
      <c r="B426" s="15">
        <v>45979.0</v>
      </c>
      <c r="C426" s="16" t="s">
        <v>46</v>
      </c>
      <c r="D426" s="17">
        <v>1.0</v>
      </c>
      <c r="E426" s="18">
        <v>0.23472222222222222</v>
      </c>
      <c r="F426" s="34">
        <v>0.25277777777777777</v>
      </c>
      <c r="G426" s="33">
        <v>21.0</v>
      </c>
      <c r="H426" s="14" t="s">
        <v>62</v>
      </c>
      <c r="I426" s="14" t="s">
        <v>52</v>
      </c>
      <c r="J426" s="21" t="s">
        <v>53</v>
      </c>
      <c r="K426" s="22" t="s">
        <v>109</v>
      </c>
      <c r="L426" s="23" t="s">
        <v>54</v>
      </c>
      <c r="M426" s="24" t="s">
        <v>64</v>
      </c>
      <c r="N426" s="25" t="s">
        <v>148</v>
      </c>
      <c r="O426" s="26" t="s">
        <v>30</v>
      </c>
      <c r="P426" s="14">
        <v>15.0</v>
      </c>
      <c r="Q426" s="14">
        <v>0.0</v>
      </c>
      <c r="R426" s="27">
        <v>0.0</v>
      </c>
      <c r="S426" s="33">
        <v>0.0</v>
      </c>
      <c r="T426" s="28">
        <v>15.0</v>
      </c>
      <c r="U426" s="33">
        <v>0.0</v>
      </c>
      <c r="V426" s="14">
        <v>0.0</v>
      </c>
      <c r="W426" s="14">
        <v>0.0</v>
      </c>
      <c r="X426" s="35" t="s">
        <v>609</v>
      </c>
      <c r="Y426" s="30" t="s">
        <v>85</v>
      </c>
      <c r="Z426" s="35">
        <v>2.96360516102E12</v>
      </c>
      <c r="AA426" s="32" t="s">
        <v>33</v>
      </c>
      <c r="AB426" s="25">
        <v>29.0</v>
      </c>
    </row>
    <row r="427" ht="19.5" hidden="1" customHeight="1">
      <c r="A427" s="14">
        <v>2.0</v>
      </c>
      <c r="B427" s="15">
        <v>45979.0</v>
      </c>
      <c r="C427" s="16" t="s">
        <v>46</v>
      </c>
      <c r="D427" s="17">
        <v>1.0</v>
      </c>
      <c r="E427" s="18">
        <v>0.26875</v>
      </c>
      <c r="F427" s="34">
        <v>0.3159722222222222</v>
      </c>
      <c r="G427" s="20">
        <v>45800.0</v>
      </c>
      <c r="H427" s="14" t="s">
        <v>62</v>
      </c>
      <c r="I427" s="14" t="s">
        <v>52</v>
      </c>
      <c r="J427" s="21" t="s">
        <v>53</v>
      </c>
      <c r="K427" s="22" t="s">
        <v>63</v>
      </c>
      <c r="L427" s="23" t="s">
        <v>54</v>
      </c>
      <c r="M427" s="24" t="s">
        <v>64</v>
      </c>
      <c r="N427" s="25" t="s">
        <v>117</v>
      </c>
      <c r="O427" s="26" t="s">
        <v>30</v>
      </c>
      <c r="P427" s="14">
        <v>2.0</v>
      </c>
      <c r="Q427" s="14">
        <v>0.0</v>
      </c>
      <c r="R427" s="27">
        <v>0.0</v>
      </c>
      <c r="S427" s="33">
        <v>0.0</v>
      </c>
      <c r="T427" s="28">
        <v>2.0</v>
      </c>
      <c r="U427" s="33">
        <v>0.0</v>
      </c>
      <c r="V427" s="14">
        <v>0.0</v>
      </c>
      <c r="W427" s="14">
        <v>0.0</v>
      </c>
      <c r="X427" s="57" t="s">
        <v>610</v>
      </c>
      <c r="Y427" s="30" t="s">
        <v>85</v>
      </c>
      <c r="Z427" s="29">
        <v>2.661448290101E13</v>
      </c>
      <c r="AA427" s="32" t="s">
        <v>33</v>
      </c>
      <c r="AB427" s="25">
        <v>53.0</v>
      </c>
    </row>
    <row r="428" ht="19.5" hidden="1" customHeight="1">
      <c r="A428" s="14">
        <v>3.0</v>
      </c>
      <c r="B428" s="15">
        <v>45979.0</v>
      </c>
      <c r="C428" s="16" t="s">
        <v>46</v>
      </c>
      <c r="D428" s="17">
        <v>1.0</v>
      </c>
      <c r="E428" s="18">
        <v>0.3055555555555556</v>
      </c>
      <c r="F428" s="34">
        <v>0.375</v>
      </c>
      <c r="G428" s="33">
        <v>54.0</v>
      </c>
      <c r="H428" s="14" t="s">
        <v>66</v>
      </c>
      <c r="I428" s="14" t="s">
        <v>52</v>
      </c>
      <c r="J428" s="21" t="s">
        <v>53</v>
      </c>
      <c r="K428" s="22" t="s">
        <v>63</v>
      </c>
      <c r="L428" s="23" t="s">
        <v>54</v>
      </c>
      <c r="M428" s="24" t="s">
        <v>64</v>
      </c>
      <c r="N428" s="25" t="s">
        <v>103</v>
      </c>
      <c r="O428" s="26" t="s">
        <v>30</v>
      </c>
      <c r="P428" s="14">
        <v>1.0</v>
      </c>
      <c r="Q428" s="14">
        <v>0.0</v>
      </c>
      <c r="R428" s="27">
        <v>0.0</v>
      </c>
      <c r="S428" s="33">
        <v>0.0</v>
      </c>
      <c r="T428" s="28">
        <v>1.0</v>
      </c>
      <c r="U428" s="33">
        <v>0.0</v>
      </c>
      <c r="V428" s="14">
        <v>0.0</v>
      </c>
      <c r="W428" s="14">
        <v>0.0</v>
      </c>
      <c r="X428" s="26" t="s">
        <v>611</v>
      </c>
      <c r="Y428" s="30" t="s">
        <v>85</v>
      </c>
      <c r="Z428" s="29">
        <v>2.868133861708E12</v>
      </c>
      <c r="AA428" s="32" t="s">
        <v>33</v>
      </c>
      <c r="AB428" s="25">
        <v>45.0</v>
      </c>
    </row>
    <row r="429" ht="19.5" hidden="1" customHeight="1">
      <c r="A429" s="14">
        <v>4.0</v>
      </c>
      <c r="B429" s="15">
        <v>45979.0</v>
      </c>
      <c r="C429" s="16" t="s">
        <v>46</v>
      </c>
      <c r="D429" s="17">
        <v>1.0</v>
      </c>
      <c r="E429" s="18">
        <v>0.34097222222222223</v>
      </c>
      <c r="F429" s="34">
        <v>0.3680555555555556</v>
      </c>
      <c r="G429" s="33">
        <v>54.0</v>
      </c>
      <c r="H429" s="14" t="s">
        <v>97</v>
      </c>
      <c r="I429" s="14" t="s">
        <v>52</v>
      </c>
      <c r="J429" s="21" t="s">
        <v>53</v>
      </c>
      <c r="K429" s="22" t="s">
        <v>81</v>
      </c>
      <c r="L429" s="23" t="s">
        <v>54</v>
      </c>
      <c r="M429" s="24" t="s">
        <v>64</v>
      </c>
      <c r="N429" s="25" t="s">
        <v>83</v>
      </c>
      <c r="O429" s="26" t="s">
        <v>30</v>
      </c>
      <c r="P429" s="14">
        <v>1.0</v>
      </c>
      <c r="Q429" s="14">
        <v>0.0</v>
      </c>
      <c r="R429" s="27">
        <v>0.0</v>
      </c>
      <c r="S429" s="33">
        <v>0.0</v>
      </c>
      <c r="T429" s="28">
        <v>1.0</v>
      </c>
      <c r="U429" s="33">
        <v>0.0</v>
      </c>
      <c r="V429" s="14">
        <v>0.0</v>
      </c>
      <c r="W429" s="14">
        <v>0.0</v>
      </c>
      <c r="X429" s="56" t="s">
        <v>612</v>
      </c>
      <c r="Y429" s="30" t="s">
        <v>85</v>
      </c>
      <c r="Z429" s="29">
        <v>1.400073281458E12</v>
      </c>
      <c r="AA429" s="32" t="s">
        <v>33</v>
      </c>
      <c r="AB429" s="25">
        <v>46.0</v>
      </c>
    </row>
    <row r="430" ht="19.5" hidden="1" customHeight="1">
      <c r="A430" s="14">
        <v>5.0</v>
      </c>
      <c r="B430" s="15">
        <v>45979.0</v>
      </c>
      <c r="C430" s="16" t="s">
        <v>46</v>
      </c>
      <c r="D430" s="17">
        <v>1.0</v>
      </c>
      <c r="E430" s="18">
        <v>0.3729166666666667</v>
      </c>
      <c r="F430" s="34">
        <v>0.40694444444444444</v>
      </c>
      <c r="G430" s="33">
        <v>37.0</v>
      </c>
      <c r="H430" s="14" t="s">
        <v>147</v>
      </c>
      <c r="I430" s="14" t="s">
        <v>59</v>
      </c>
      <c r="J430" s="21" t="s">
        <v>53</v>
      </c>
      <c r="K430" s="22" t="s">
        <v>100</v>
      </c>
      <c r="L430" s="23" t="s">
        <v>54</v>
      </c>
      <c r="M430" s="24" t="s">
        <v>64</v>
      </c>
      <c r="N430" s="25" t="s">
        <v>103</v>
      </c>
      <c r="O430" s="26" t="s">
        <v>30</v>
      </c>
      <c r="P430" s="14">
        <v>2.0</v>
      </c>
      <c r="Q430" s="14">
        <v>0.0</v>
      </c>
      <c r="R430" s="27">
        <v>0.0</v>
      </c>
      <c r="S430" s="33">
        <v>0.0</v>
      </c>
      <c r="T430" s="28">
        <v>2.0</v>
      </c>
      <c r="U430" s="33">
        <v>0.0</v>
      </c>
      <c r="V430" s="14">
        <v>0.0</v>
      </c>
      <c r="W430" s="14">
        <v>0.0</v>
      </c>
      <c r="X430" s="56" t="s">
        <v>613</v>
      </c>
      <c r="Y430" s="30" t="s">
        <v>85</v>
      </c>
      <c r="Z430" s="29">
        <v>2.494885140601E12</v>
      </c>
      <c r="AA430" s="32" t="s">
        <v>33</v>
      </c>
      <c r="AB430" s="25">
        <v>58.0</v>
      </c>
    </row>
    <row r="431" ht="19.5" hidden="1" customHeight="1">
      <c r="A431" s="14">
        <v>6.0</v>
      </c>
      <c r="B431" s="15">
        <v>45979.0</v>
      </c>
      <c r="C431" s="16" t="s">
        <v>125</v>
      </c>
      <c r="D431" s="17">
        <v>1.0</v>
      </c>
      <c r="E431" s="18">
        <v>0.3819444444444444</v>
      </c>
      <c r="F431" s="34">
        <v>0.41597222222222224</v>
      </c>
      <c r="G431" s="33">
        <v>135.0</v>
      </c>
      <c r="H431" s="14" t="s">
        <v>126</v>
      </c>
      <c r="I431" s="14" t="s">
        <v>36</v>
      </c>
      <c r="J431" s="21" t="s">
        <v>37</v>
      </c>
      <c r="K431" s="22" t="s">
        <v>81</v>
      </c>
      <c r="L431" s="23" t="s">
        <v>38</v>
      </c>
      <c r="M431" s="24" t="s">
        <v>82</v>
      </c>
      <c r="N431" s="25" t="s">
        <v>159</v>
      </c>
      <c r="O431" s="26" t="s">
        <v>30</v>
      </c>
      <c r="P431" s="14">
        <v>3.0</v>
      </c>
      <c r="Q431" s="14">
        <v>0.0</v>
      </c>
      <c r="R431" s="27">
        <v>0.0</v>
      </c>
      <c r="S431" s="33">
        <v>0.0</v>
      </c>
      <c r="T431" s="28">
        <v>3.0</v>
      </c>
      <c r="U431" s="33">
        <v>0.0</v>
      </c>
      <c r="V431" s="14">
        <v>0.0</v>
      </c>
      <c r="W431" s="14">
        <v>0.0</v>
      </c>
      <c r="X431" s="35" t="s">
        <v>614</v>
      </c>
      <c r="Y431" s="30" t="s">
        <v>85</v>
      </c>
      <c r="Z431" s="35">
        <v>2.953405680101E12</v>
      </c>
      <c r="AA431" s="32" t="s">
        <v>33</v>
      </c>
      <c r="AB431" s="25">
        <v>29.0</v>
      </c>
    </row>
    <row r="432" ht="19.5" hidden="1" customHeight="1">
      <c r="A432" s="14">
        <v>7.0</v>
      </c>
      <c r="B432" s="15">
        <v>45979.0</v>
      </c>
      <c r="C432" s="16" t="s">
        <v>46</v>
      </c>
      <c r="D432" s="17">
        <v>1.0</v>
      </c>
      <c r="E432" s="18">
        <v>0.4083333333333333</v>
      </c>
      <c r="F432" s="34">
        <v>0.4409722222222222</v>
      </c>
      <c r="G432" s="33">
        <v>38.0</v>
      </c>
      <c r="H432" s="14" t="s">
        <v>62</v>
      </c>
      <c r="I432" s="14" t="s">
        <v>224</v>
      </c>
      <c r="J432" s="21" t="s">
        <v>49</v>
      </c>
      <c r="K432" s="22" t="s">
        <v>63</v>
      </c>
      <c r="L432" s="23" t="s">
        <v>54</v>
      </c>
      <c r="M432" s="24" t="s">
        <v>64</v>
      </c>
      <c r="N432" s="25" t="s">
        <v>169</v>
      </c>
      <c r="O432" s="26" t="s">
        <v>30</v>
      </c>
      <c r="P432" s="14">
        <v>2.0</v>
      </c>
      <c r="Q432" s="14">
        <v>0.0</v>
      </c>
      <c r="R432" s="27">
        <v>0.0</v>
      </c>
      <c r="S432" s="33">
        <v>0.0</v>
      </c>
      <c r="T432" s="28">
        <v>2.0</v>
      </c>
      <c r="U432" s="33">
        <v>0.0</v>
      </c>
      <c r="V432" s="14">
        <v>0.0</v>
      </c>
      <c r="W432" s="14">
        <v>0.0</v>
      </c>
      <c r="X432" s="56" t="s">
        <v>615</v>
      </c>
      <c r="Y432" s="30" t="s">
        <v>61</v>
      </c>
      <c r="Z432" s="29">
        <v>2.5143422279E12</v>
      </c>
      <c r="AA432" s="32" t="s">
        <v>33</v>
      </c>
      <c r="AB432" s="25">
        <v>41.0</v>
      </c>
    </row>
    <row r="433" ht="19.5" hidden="1" customHeight="1">
      <c r="A433" s="14">
        <v>8.0</v>
      </c>
      <c r="B433" s="15">
        <v>45979.0</v>
      </c>
      <c r="C433" s="16" t="s">
        <v>46</v>
      </c>
      <c r="D433" s="17">
        <v>1.0</v>
      </c>
      <c r="E433" s="18">
        <v>0.4409722222222222</v>
      </c>
      <c r="F433" s="34">
        <v>0.4548611111111111</v>
      </c>
      <c r="G433" s="33">
        <v>39.0</v>
      </c>
      <c r="H433" s="14" t="s">
        <v>62</v>
      </c>
      <c r="I433" s="14" t="s">
        <v>224</v>
      </c>
      <c r="J433" s="21" t="s">
        <v>49</v>
      </c>
      <c r="K433" s="22" t="s">
        <v>100</v>
      </c>
      <c r="L433" s="23" t="s">
        <v>54</v>
      </c>
      <c r="M433" s="24" t="s">
        <v>64</v>
      </c>
      <c r="N433" s="25" t="s">
        <v>117</v>
      </c>
      <c r="O433" s="26" t="s">
        <v>30</v>
      </c>
      <c r="P433" s="14">
        <v>1.0</v>
      </c>
      <c r="Q433" s="14">
        <v>0.0</v>
      </c>
      <c r="R433" s="27">
        <v>0.0</v>
      </c>
      <c r="S433" s="33">
        <v>0.0</v>
      </c>
      <c r="T433" s="28">
        <v>1.0</v>
      </c>
      <c r="U433" s="33">
        <v>0.0</v>
      </c>
      <c r="V433" s="14">
        <v>0.0</v>
      </c>
      <c r="W433" s="14">
        <v>0.0</v>
      </c>
      <c r="X433" s="56" t="s">
        <v>616</v>
      </c>
      <c r="Y433" s="30" t="s">
        <v>61</v>
      </c>
      <c r="Z433" s="29">
        <v>3.057011350601E12</v>
      </c>
      <c r="AA433" s="32" t="s">
        <v>33</v>
      </c>
      <c r="AB433" s="25">
        <v>27.0</v>
      </c>
    </row>
    <row r="434" ht="19.5" hidden="1" customHeight="1">
      <c r="A434" s="14">
        <v>9.0</v>
      </c>
      <c r="B434" s="15">
        <v>45979.0</v>
      </c>
      <c r="C434" s="16" t="s">
        <v>243</v>
      </c>
      <c r="D434" s="17">
        <v>1.0</v>
      </c>
      <c r="E434" s="18">
        <v>0.4930555555555556</v>
      </c>
      <c r="F434" s="34">
        <v>0.6118055555555556</v>
      </c>
      <c r="G434" s="33">
        <v>37.0</v>
      </c>
      <c r="H434" s="14" t="s">
        <v>249</v>
      </c>
      <c r="I434" s="14" t="s">
        <v>48</v>
      </c>
      <c r="J434" s="21" t="s">
        <v>49</v>
      </c>
      <c r="K434" s="22" t="s">
        <v>75</v>
      </c>
      <c r="L434" s="23" t="s">
        <v>54</v>
      </c>
      <c r="M434" s="24" t="s">
        <v>467</v>
      </c>
      <c r="N434" s="25" t="s">
        <v>56</v>
      </c>
      <c r="O434" s="26" t="s">
        <v>30</v>
      </c>
      <c r="P434" s="14">
        <v>100.0</v>
      </c>
      <c r="Q434" s="14">
        <v>0.0</v>
      </c>
      <c r="R434" s="27">
        <v>0.0</v>
      </c>
      <c r="S434" s="33">
        <v>0.0</v>
      </c>
      <c r="T434" s="28">
        <v>100.0</v>
      </c>
      <c r="U434" s="33">
        <v>0.0</v>
      </c>
      <c r="V434" s="14">
        <v>0.0</v>
      </c>
      <c r="W434" s="14">
        <v>0.0</v>
      </c>
      <c r="X434" s="56" t="s">
        <v>44</v>
      </c>
      <c r="Y434" s="30" t="s">
        <v>44</v>
      </c>
      <c r="Z434" s="29" t="s">
        <v>44</v>
      </c>
      <c r="AA434" s="32" t="s">
        <v>45</v>
      </c>
      <c r="AB434" s="25" t="s">
        <v>44</v>
      </c>
    </row>
    <row r="435" ht="19.5" hidden="1" customHeight="1">
      <c r="A435" s="14">
        <v>10.0</v>
      </c>
      <c r="B435" s="15">
        <v>45979.0</v>
      </c>
      <c r="C435" s="16" t="s">
        <v>46</v>
      </c>
      <c r="D435" s="17">
        <v>1.0</v>
      </c>
      <c r="E435" s="18">
        <v>0.5</v>
      </c>
      <c r="F435" s="34">
        <v>0.6118055555555556</v>
      </c>
      <c r="G435" s="33">
        <v>25.0</v>
      </c>
      <c r="H435" s="14" t="s">
        <v>62</v>
      </c>
      <c r="I435" s="14" t="s">
        <v>52</v>
      </c>
      <c r="J435" s="21" t="s">
        <v>53</v>
      </c>
      <c r="K435" s="22" t="s">
        <v>91</v>
      </c>
      <c r="L435" s="23" t="s">
        <v>54</v>
      </c>
      <c r="M435" s="24" t="s">
        <v>64</v>
      </c>
      <c r="N435" s="25" t="s">
        <v>103</v>
      </c>
      <c r="O435" s="26" t="s">
        <v>30</v>
      </c>
      <c r="P435" s="14">
        <v>50.0</v>
      </c>
      <c r="Q435" s="14">
        <v>0.0</v>
      </c>
      <c r="R435" s="27">
        <v>0.0</v>
      </c>
      <c r="S435" s="33">
        <v>0.0</v>
      </c>
      <c r="T435" s="28">
        <v>50.0</v>
      </c>
      <c r="U435" s="33">
        <v>0.0</v>
      </c>
      <c r="V435" s="14">
        <v>0.0</v>
      </c>
      <c r="W435" s="14">
        <v>0.0</v>
      </c>
      <c r="X435" s="56" t="s">
        <v>617</v>
      </c>
      <c r="Y435" s="30" t="s">
        <v>32</v>
      </c>
      <c r="Z435" s="29">
        <v>1.993181230312E12</v>
      </c>
      <c r="AA435" s="32" t="s">
        <v>33</v>
      </c>
      <c r="AB435" s="25">
        <v>46.0</v>
      </c>
    </row>
    <row r="436" ht="19.5" hidden="1" customHeight="1">
      <c r="A436" s="14">
        <v>11.0</v>
      </c>
      <c r="B436" s="15">
        <v>45979.0</v>
      </c>
      <c r="C436" s="16" t="s">
        <v>46</v>
      </c>
      <c r="D436" s="17">
        <v>1.0</v>
      </c>
      <c r="E436" s="18">
        <v>0.5930555555555556</v>
      </c>
      <c r="F436" s="34">
        <v>0.7</v>
      </c>
      <c r="G436" s="33">
        <v>48.0</v>
      </c>
      <c r="H436" s="14" t="s">
        <v>97</v>
      </c>
      <c r="I436" s="14" t="s">
        <v>59</v>
      </c>
      <c r="J436" s="21" t="s">
        <v>53</v>
      </c>
      <c r="K436" s="22"/>
      <c r="L436" s="23" t="s">
        <v>54</v>
      </c>
      <c r="M436" s="24" t="s">
        <v>76</v>
      </c>
      <c r="N436" s="25" t="s">
        <v>618</v>
      </c>
      <c r="O436" s="26" t="s">
        <v>30</v>
      </c>
      <c r="P436" s="14">
        <v>10.0</v>
      </c>
      <c r="Q436" s="14">
        <v>0.0</v>
      </c>
      <c r="R436" s="27">
        <v>0.0</v>
      </c>
      <c r="S436" s="33">
        <v>0.0</v>
      </c>
      <c r="T436" s="28">
        <v>10.0</v>
      </c>
      <c r="U436" s="33">
        <v>0.0</v>
      </c>
      <c r="V436" s="14">
        <v>0.0</v>
      </c>
      <c r="W436" s="14">
        <v>0.0</v>
      </c>
      <c r="X436" s="56" t="s">
        <v>44</v>
      </c>
      <c r="Y436" s="56" t="s">
        <v>44</v>
      </c>
      <c r="Z436" s="56" t="s">
        <v>44</v>
      </c>
      <c r="AA436" s="56" t="s">
        <v>44</v>
      </c>
      <c r="AB436" s="56" t="s">
        <v>44</v>
      </c>
    </row>
    <row r="437" ht="19.5" hidden="1" customHeight="1">
      <c r="A437" s="14">
        <v>12.0</v>
      </c>
      <c r="B437" s="15">
        <v>45979.0</v>
      </c>
      <c r="C437" s="16" t="s">
        <v>46</v>
      </c>
      <c r="D437" s="17">
        <v>1.0</v>
      </c>
      <c r="E437" s="18">
        <v>0.6180555555555556</v>
      </c>
      <c r="F437" s="34">
        <v>0.6215277777777778</v>
      </c>
      <c r="G437" s="33">
        <v>29.0</v>
      </c>
      <c r="H437" s="14" t="s">
        <v>62</v>
      </c>
      <c r="I437" s="14" t="s">
        <v>52</v>
      </c>
      <c r="J437" s="21" t="s">
        <v>37</v>
      </c>
      <c r="K437" s="22" t="s">
        <v>100</v>
      </c>
      <c r="L437" s="23" t="s">
        <v>54</v>
      </c>
      <c r="M437" s="24" t="s">
        <v>64</v>
      </c>
      <c r="N437" s="25" t="s">
        <v>83</v>
      </c>
      <c r="O437" s="26" t="s">
        <v>30</v>
      </c>
      <c r="P437" s="14">
        <v>3.0</v>
      </c>
      <c r="Q437" s="14">
        <v>0.0</v>
      </c>
      <c r="R437" s="27">
        <v>0.0</v>
      </c>
      <c r="S437" s="33">
        <v>0.0</v>
      </c>
      <c r="T437" s="28">
        <v>3.0</v>
      </c>
      <c r="U437" s="33">
        <v>0.0</v>
      </c>
      <c r="V437" s="14">
        <v>0.0</v>
      </c>
      <c r="W437" s="14">
        <v>0.0</v>
      </c>
      <c r="X437" s="35" t="s">
        <v>619</v>
      </c>
      <c r="Y437" s="30" t="s">
        <v>85</v>
      </c>
      <c r="Z437" s="35">
        <v>2.616886502205E12</v>
      </c>
      <c r="AA437" s="32" t="s">
        <v>127</v>
      </c>
      <c r="AB437" s="25">
        <v>42.0</v>
      </c>
    </row>
    <row r="438" ht="19.5" hidden="1" customHeight="1">
      <c r="A438" s="14"/>
      <c r="B438" s="15">
        <v>45979.0</v>
      </c>
      <c r="C438" s="16"/>
      <c r="D438" s="17"/>
      <c r="E438" s="18"/>
      <c r="F438" s="34"/>
      <c r="G438" s="33"/>
      <c r="H438" s="14"/>
      <c r="I438" s="14"/>
      <c r="J438" s="21"/>
      <c r="K438" s="22" t="s">
        <v>81</v>
      </c>
      <c r="L438" s="23"/>
      <c r="M438" s="24"/>
      <c r="N438" s="25"/>
      <c r="O438" s="26" t="s">
        <v>30</v>
      </c>
      <c r="P438" s="14">
        <v>1.0</v>
      </c>
      <c r="Q438" s="14">
        <v>0.0</v>
      </c>
      <c r="R438" s="27">
        <v>0.0</v>
      </c>
      <c r="S438" s="33">
        <v>0.0</v>
      </c>
      <c r="T438" s="28">
        <v>1.0</v>
      </c>
      <c r="U438" s="33">
        <v>0.0</v>
      </c>
      <c r="V438" s="14">
        <v>0.0</v>
      </c>
      <c r="W438" s="14">
        <v>0.0</v>
      </c>
      <c r="X438" s="56" t="s">
        <v>620</v>
      </c>
      <c r="Y438" s="30" t="s">
        <v>32</v>
      </c>
      <c r="Z438" s="35">
        <v>1.781618291904E12</v>
      </c>
      <c r="AA438" s="32" t="s">
        <v>33</v>
      </c>
      <c r="AB438" s="56">
        <v>42.0</v>
      </c>
    </row>
    <row r="439" ht="19.5" hidden="1" customHeight="1">
      <c r="A439" s="14"/>
      <c r="B439" s="15">
        <v>45979.0</v>
      </c>
      <c r="C439" s="16"/>
      <c r="D439" s="17"/>
      <c r="E439" s="18"/>
      <c r="F439" s="34"/>
      <c r="G439" s="33"/>
      <c r="H439" s="14"/>
      <c r="I439" s="14"/>
      <c r="J439" s="21"/>
      <c r="K439" s="22" t="s">
        <v>29</v>
      </c>
      <c r="L439" s="23"/>
      <c r="M439" s="24"/>
      <c r="N439" s="25"/>
      <c r="O439" s="26" t="s">
        <v>30</v>
      </c>
      <c r="P439" s="14">
        <v>1.0</v>
      </c>
      <c r="Q439" s="14">
        <v>0.0</v>
      </c>
      <c r="R439" s="27">
        <v>0.0</v>
      </c>
      <c r="S439" s="33">
        <v>0.0</v>
      </c>
      <c r="T439" s="28">
        <v>1.0</v>
      </c>
      <c r="U439" s="33">
        <v>0.0</v>
      </c>
      <c r="V439" s="14">
        <v>0.0</v>
      </c>
      <c r="W439" s="14">
        <v>0.0</v>
      </c>
      <c r="X439" s="56" t="s">
        <v>621</v>
      </c>
      <c r="Y439" s="30" t="s">
        <v>32</v>
      </c>
      <c r="Z439" s="35">
        <v>2.345076161803E12</v>
      </c>
      <c r="AA439" s="32" t="s">
        <v>33</v>
      </c>
      <c r="AB439" s="56">
        <v>42.0</v>
      </c>
    </row>
    <row r="440" ht="19.5" hidden="1" customHeight="1">
      <c r="A440" s="14">
        <v>13.0</v>
      </c>
      <c r="B440" s="15">
        <v>45979.0</v>
      </c>
      <c r="C440" s="16" t="s">
        <v>243</v>
      </c>
      <c r="D440" s="17">
        <v>3.0</v>
      </c>
      <c r="E440" s="18">
        <v>0.6180555555555556</v>
      </c>
      <c r="F440" s="34">
        <v>0.7638888888888888</v>
      </c>
      <c r="G440" s="33">
        <v>260.0</v>
      </c>
      <c r="H440" s="14" t="s">
        <v>244</v>
      </c>
      <c r="I440" s="14" t="s">
        <v>48</v>
      </c>
      <c r="J440" s="21" t="s">
        <v>87</v>
      </c>
      <c r="K440" s="22" t="s">
        <v>29</v>
      </c>
      <c r="L440" s="23" t="s">
        <v>38</v>
      </c>
      <c r="M440" s="24" t="s">
        <v>288</v>
      </c>
      <c r="N440" s="25" t="s">
        <v>622</v>
      </c>
      <c r="O440" s="26" t="s">
        <v>30</v>
      </c>
      <c r="P440" s="14">
        <v>1.0</v>
      </c>
      <c r="Q440" s="14">
        <v>0.0</v>
      </c>
      <c r="R440" s="27">
        <v>0.0</v>
      </c>
      <c r="S440" s="33">
        <v>0.0</v>
      </c>
      <c r="T440" s="28">
        <v>1.0</v>
      </c>
      <c r="U440" s="33">
        <v>0.0</v>
      </c>
      <c r="V440" s="14">
        <v>0.0</v>
      </c>
      <c r="W440" s="14">
        <v>0.0</v>
      </c>
      <c r="X440" s="56" t="s">
        <v>623</v>
      </c>
      <c r="Y440" s="30" t="s">
        <v>32</v>
      </c>
      <c r="Z440" s="35">
        <v>3.631199730101E12</v>
      </c>
      <c r="AA440" s="32" t="s">
        <v>33</v>
      </c>
      <c r="AB440" s="56">
        <v>27.0</v>
      </c>
    </row>
    <row r="441" ht="19.5" hidden="1" customHeight="1">
      <c r="A441" s="14"/>
      <c r="B441" s="15">
        <v>45979.0</v>
      </c>
      <c r="C441" s="16"/>
      <c r="D441" s="17"/>
      <c r="E441" s="18"/>
      <c r="F441" s="34"/>
      <c r="G441" s="33"/>
      <c r="H441" s="14"/>
      <c r="I441" s="14"/>
      <c r="J441" s="21"/>
      <c r="K441" s="22" t="s">
        <v>81</v>
      </c>
      <c r="L441" s="23"/>
      <c r="M441" s="24"/>
      <c r="N441" s="25"/>
      <c r="O441" s="26" t="s">
        <v>624</v>
      </c>
      <c r="P441" s="14">
        <v>1.0</v>
      </c>
      <c r="Q441" s="14">
        <v>0.0</v>
      </c>
      <c r="R441" s="27">
        <v>0.0</v>
      </c>
      <c r="S441" s="33">
        <v>0.0</v>
      </c>
      <c r="T441" s="28">
        <v>1.0</v>
      </c>
      <c r="U441" s="33">
        <v>0.0</v>
      </c>
      <c r="V441" s="14">
        <v>0.0</v>
      </c>
      <c r="W441" s="14">
        <v>0.0</v>
      </c>
      <c r="X441" s="35" t="s">
        <v>625</v>
      </c>
      <c r="Y441" s="30" t="s">
        <v>32</v>
      </c>
      <c r="Z441" s="35">
        <v>3.328908051804E12</v>
      </c>
      <c r="AA441" s="32" t="s">
        <v>33</v>
      </c>
      <c r="AB441" s="25">
        <v>27.0</v>
      </c>
    </row>
    <row r="442" ht="19.5" hidden="1" customHeight="1">
      <c r="A442" s="14"/>
      <c r="B442" s="15">
        <v>45979.0</v>
      </c>
      <c r="C442" s="16"/>
      <c r="D442" s="17"/>
      <c r="E442" s="18"/>
      <c r="F442" s="34"/>
      <c r="G442" s="33"/>
      <c r="H442" s="14"/>
      <c r="I442" s="14"/>
      <c r="J442" s="21"/>
      <c r="K442" s="22" t="s">
        <v>42</v>
      </c>
      <c r="L442" s="23"/>
      <c r="M442" s="24"/>
      <c r="N442" s="25"/>
      <c r="O442" s="26" t="s">
        <v>30</v>
      </c>
      <c r="P442" s="14">
        <v>1.0</v>
      </c>
      <c r="Q442" s="14">
        <v>0.0</v>
      </c>
      <c r="R442" s="27">
        <v>0.0</v>
      </c>
      <c r="S442" s="33">
        <v>0.0</v>
      </c>
      <c r="T442" s="28">
        <v>1.0</v>
      </c>
      <c r="U442" s="33">
        <v>0.0</v>
      </c>
      <c r="V442" s="14">
        <v>0.0</v>
      </c>
      <c r="W442" s="14">
        <v>0.0</v>
      </c>
      <c r="X442" s="35" t="s">
        <v>626</v>
      </c>
      <c r="Y442" s="30" t="s">
        <v>61</v>
      </c>
      <c r="Z442" s="35">
        <v>2.405885171802E12</v>
      </c>
      <c r="AA442" s="32" t="s">
        <v>33</v>
      </c>
      <c r="AB442" s="25">
        <v>47.0</v>
      </c>
    </row>
    <row r="443" ht="19.5" hidden="1" customHeight="1">
      <c r="A443" s="14">
        <v>14.0</v>
      </c>
      <c r="B443" s="15">
        <v>45979.0</v>
      </c>
      <c r="C443" s="16" t="s">
        <v>243</v>
      </c>
      <c r="D443" s="17">
        <v>3.0</v>
      </c>
      <c r="E443" s="18">
        <v>0.7777777777777778</v>
      </c>
      <c r="F443" s="34">
        <v>0.9159722222222222</v>
      </c>
      <c r="G443" s="33">
        <v>261.5</v>
      </c>
      <c r="H443" s="14" t="s">
        <v>244</v>
      </c>
      <c r="I443" s="14" t="s">
        <v>48</v>
      </c>
      <c r="J443" s="21" t="s">
        <v>87</v>
      </c>
      <c r="K443" s="22" t="s">
        <v>29</v>
      </c>
      <c r="L443" s="23" t="s">
        <v>38</v>
      </c>
      <c r="M443" s="24" t="s">
        <v>288</v>
      </c>
      <c r="N443" s="25" t="s">
        <v>103</v>
      </c>
      <c r="O443" s="26" t="s">
        <v>30</v>
      </c>
      <c r="P443" s="14">
        <v>1.0</v>
      </c>
      <c r="Q443" s="14">
        <v>0.0</v>
      </c>
      <c r="R443" s="27">
        <v>0.0</v>
      </c>
      <c r="S443" s="33">
        <v>0.0</v>
      </c>
      <c r="T443" s="28">
        <v>1.0</v>
      </c>
      <c r="U443" s="33">
        <v>0.0</v>
      </c>
      <c r="V443" s="14">
        <v>0.0</v>
      </c>
      <c r="W443" s="14">
        <v>0.0</v>
      </c>
      <c r="X443" s="35" t="s">
        <v>627</v>
      </c>
      <c r="Y443" s="30" t="s">
        <v>32</v>
      </c>
      <c r="Z443" s="35">
        <v>1.652187541804E12</v>
      </c>
      <c r="AA443" s="32" t="s">
        <v>33</v>
      </c>
      <c r="AB443" s="25">
        <v>48.0</v>
      </c>
    </row>
    <row r="444" ht="19.5" hidden="1" customHeight="1">
      <c r="A444" s="14">
        <v>1.0</v>
      </c>
      <c r="B444" s="15">
        <v>45979.0</v>
      </c>
      <c r="C444" s="16" t="s">
        <v>46</v>
      </c>
      <c r="D444" s="17" t="s">
        <v>50</v>
      </c>
      <c r="E444" s="18">
        <v>0.9506944444444444</v>
      </c>
      <c r="F444" s="34">
        <v>0.1527777777777778</v>
      </c>
      <c r="G444" s="33">
        <v>14.0</v>
      </c>
      <c r="H444" s="14" t="s">
        <v>97</v>
      </c>
      <c r="I444" s="14" t="s">
        <v>88</v>
      </c>
      <c r="J444" s="21" t="s">
        <v>87</v>
      </c>
      <c r="K444" s="22" t="s">
        <v>29</v>
      </c>
      <c r="L444" s="23" t="s">
        <v>54</v>
      </c>
      <c r="M444" s="24" t="s">
        <v>467</v>
      </c>
      <c r="N444" s="25"/>
      <c r="O444" s="26" t="s">
        <v>628</v>
      </c>
      <c r="P444" s="14">
        <v>1.0</v>
      </c>
      <c r="Q444" s="14">
        <v>0.0</v>
      </c>
      <c r="R444" s="27">
        <v>0.0</v>
      </c>
      <c r="S444" s="33">
        <v>0.0</v>
      </c>
      <c r="T444" s="28">
        <v>1.0</v>
      </c>
      <c r="U444" s="33">
        <v>0.0</v>
      </c>
      <c r="V444" s="14">
        <v>0.0</v>
      </c>
      <c r="W444" s="14">
        <v>0.0</v>
      </c>
      <c r="X444" s="56" t="s">
        <v>44</v>
      </c>
      <c r="Y444" s="30" t="s">
        <v>44</v>
      </c>
      <c r="Z444" s="56" t="s">
        <v>44</v>
      </c>
      <c r="AA444" s="32" t="s">
        <v>45</v>
      </c>
      <c r="AB444" s="56" t="s">
        <v>44</v>
      </c>
    </row>
    <row r="445" ht="19.5" hidden="1" customHeight="1">
      <c r="A445" s="14">
        <v>2.0</v>
      </c>
      <c r="B445" s="15">
        <v>45980.0</v>
      </c>
      <c r="C445" s="16" t="s">
        <v>71</v>
      </c>
      <c r="D445" s="17">
        <v>1.0</v>
      </c>
      <c r="E445" s="18">
        <v>0.08680555555555555</v>
      </c>
      <c r="F445" s="34">
        <v>0.2604166666666667</v>
      </c>
      <c r="G445" s="33">
        <v>192.0</v>
      </c>
      <c r="H445" s="14" t="s">
        <v>72</v>
      </c>
      <c r="I445" s="14" t="s">
        <v>73</v>
      </c>
      <c r="J445" s="21" t="s">
        <v>49</v>
      </c>
      <c r="K445" s="22" t="s">
        <v>89</v>
      </c>
      <c r="L445" s="23" t="s">
        <v>38</v>
      </c>
      <c r="M445" s="24" t="s">
        <v>113</v>
      </c>
      <c r="N445" s="25" t="s">
        <v>629</v>
      </c>
      <c r="O445" s="26" t="s">
        <v>30</v>
      </c>
      <c r="P445" s="14">
        <v>0.0</v>
      </c>
      <c r="Q445" s="14">
        <v>0.0</v>
      </c>
      <c r="R445" s="27">
        <v>2.0</v>
      </c>
      <c r="S445" s="33">
        <v>0.0</v>
      </c>
      <c r="T445" s="28">
        <v>0.0</v>
      </c>
      <c r="U445" s="33">
        <v>0.0</v>
      </c>
      <c r="V445" s="14">
        <v>0.0</v>
      </c>
      <c r="W445" s="14">
        <v>0.0</v>
      </c>
      <c r="X445" s="25" t="s">
        <v>44</v>
      </c>
      <c r="Y445" s="30" t="s">
        <v>44</v>
      </c>
      <c r="Z445" s="29" t="s">
        <v>44</v>
      </c>
      <c r="AA445" s="32" t="s">
        <v>45</v>
      </c>
      <c r="AB445" s="25" t="s">
        <v>44</v>
      </c>
    </row>
    <row r="446" ht="19.5" hidden="1" customHeight="1">
      <c r="A446" s="14">
        <v>3.0</v>
      </c>
      <c r="B446" s="15">
        <v>45980.0</v>
      </c>
      <c r="C446" s="16" t="s">
        <v>46</v>
      </c>
      <c r="D446" s="17">
        <v>1.0</v>
      </c>
      <c r="E446" s="18">
        <v>0.19583333333333333</v>
      </c>
      <c r="F446" s="34">
        <v>0.36180555555555555</v>
      </c>
      <c r="G446" s="33" t="s">
        <v>630</v>
      </c>
      <c r="H446" s="14" t="s">
        <v>96</v>
      </c>
      <c r="I446" s="14" t="s">
        <v>52</v>
      </c>
      <c r="J446" s="21" t="s">
        <v>37</v>
      </c>
      <c r="K446" s="22" t="s">
        <v>81</v>
      </c>
      <c r="L446" s="23" t="s">
        <v>38</v>
      </c>
      <c r="M446" s="24" t="s">
        <v>108</v>
      </c>
      <c r="N446" s="25" t="s">
        <v>631</v>
      </c>
      <c r="O446" s="26" t="s">
        <v>30</v>
      </c>
      <c r="P446" s="14">
        <v>2.0</v>
      </c>
      <c r="Q446" s="14">
        <v>0.0</v>
      </c>
      <c r="R446" s="27">
        <v>0.0</v>
      </c>
      <c r="S446" s="33">
        <v>0.0</v>
      </c>
      <c r="T446" s="28">
        <v>2.0</v>
      </c>
      <c r="U446" s="33">
        <v>0.0</v>
      </c>
      <c r="V446" s="14">
        <v>0.0</v>
      </c>
      <c r="W446" s="14">
        <v>0.0</v>
      </c>
      <c r="X446" s="58" t="s">
        <v>632</v>
      </c>
      <c r="Y446" s="30" t="s">
        <v>85</v>
      </c>
      <c r="Z446" s="35">
        <v>2.570651091501E12</v>
      </c>
      <c r="AA446" s="32" t="s">
        <v>33</v>
      </c>
      <c r="AB446" s="25">
        <v>31.0</v>
      </c>
    </row>
    <row r="447" ht="19.5" hidden="1" customHeight="1">
      <c r="A447" s="14">
        <v>4.0</v>
      </c>
      <c r="B447" s="15">
        <v>45980.0</v>
      </c>
      <c r="C447" s="16" t="s">
        <v>46</v>
      </c>
      <c r="D447" s="17">
        <v>1.0</v>
      </c>
      <c r="E447" s="18">
        <v>0.22847222222222222</v>
      </c>
      <c r="F447" s="34">
        <v>0.8104166666666667</v>
      </c>
      <c r="G447" s="33" t="s">
        <v>633</v>
      </c>
      <c r="H447" s="14" t="s">
        <v>181</v>
      </c>
      <c r="I447" s="14" t="s">
        <v>88</v>
      </c>
      <c r="J447" s="21" t="s">
        <v>87</v>
      </c>
      <c r="K447" s="22" t="s">
        <v>81</v>
      </c>
      <c r="L447" s="23" t="s">
        <v>38</v>
      </c>
      <c r="M447" s="24" t="s">
        <v>82</v>
      </c>
      <c r="N447" s="25" t="s">
        <v>83</v>
      </c>
      <c r="O447" s="26" t="s">
        <v>77</v>
      </c>
      <c r="P447" s="14">
        <v>1.0</v>
      </c>
      <c r="Q447" s="14">
        <v>0.0</v>
      </c>
      <c r="R447" s="27">
        <v>0.0</v>
      </c>
      <c r="S447" s="33">
        <v>0.0</v>
      </c>
      <c r="T447" s="28">
        <v>1.0</v>
      </c>
      <c r="U447" s="33">
        <v>0.0</v>
      </c>
      <c r="V447" s="14">
        <v>0.0</v>
      </c>
      <c r="W447" s="14">
        <v>0.0</v>
      </c>
      <c r="X447" s="51" t="s">
        <v>634</v>
      </c>
      <c r="Y447" s="30" t="s">
        <v>32</v>
      </c>
      <c r="Z447" s="29">
        <v>1.619278150101E12</v>
      </c>
      <c r="AA447" s="32" t="s">
        <v>33</v>
      </c>
      <c r="AB447" s="25">
        <v>35.0</v>
      </c>
    </row>
    <row r="448" ht="19.5" hidden="1" customHeight="1">
      <c r="A448" s="14">
        <v>5.0</v>
      </c>
      <c r="B448" s="15">
        <v>45980.0</v>
      </c>
      <c r="C448" s="16" t="s">
        <v>46</v>
      </c>
      <c r="D448" s="17" t="s">
        <v>50</v>
      </c>
      <c r="E448" s="18">
        <v>0.26805555555555555</v>
      </c>
      <c r="F448" s="34">
        <v>0.325</v>
      </c>
      <c r="G448" s="33">
        <v>27.0</v>
      </c>
      <c r="H448" s="14" t="s">
        <v>99</v>
      </c>
      <c r="I448" s="14" t="s">
        <v>88</v>
      </c>
      <c r="J448" s="21" t="s">
        <v>49</v>
      </c>
      <c r="K448" s="22" t="s">
        <v>75</v>
      </c>
      <c r="L448" s="23" t="s">
        <v>54</v>
      </c>
      <c r="M448" s="24" t="s">
        <v>55</v>
      </c>
      <c r="N448" s="25" t="s">
        <v>635</v>
      </c>
      <c r="O448" s="26" t="s">
        <v>30</v>
      </c>
      <c r="P448" s="14">
        <v>20.0</v>
      </c>
      <c r="Q448" s="14">
        <v>0.0</v>
      </c>
      <c r="R448" s="27">
        <v>0.0</v>
      </c>
      <c r="S448" s="33">
        <v>0.0</v>
      </c>
      <c r="T448" s="28">
        <v>20.0</v>
      </c>
      <c r="U448" s="33">
        <v>0.0</v>
      </c>
      <c r="V448" s="14">
        <v>0.0</v>
      </c>
      <c r="W448" s="14">
        <v>0.0</v>
      </c>
      <c r="X448" s="25" t="s">
        <v>44</v>
      </c>
      <c r="Y448" s="56" t="s">
        <v>44</v>
      </c>
      <c r="Z448" s="56" t="s">
        <v>44</v>
      </c>
      <c r="AA448" s="56" t="s">
        <v>44</v>
      </c>
      <c r="AB448" s="56" t="s">
        <v>44</v>
      </c>
    </row>
    <row r="449" ht="19.5" hidden="1" customHeight="1">
      <c r="A449" s="14">
        <v>6.0</v>
      </c>
      <c r="B449" s="15">
        <v>45980.0</v>
      </c>
      <c r="C449" s="16" t="s">
        <v>46</v>
      </c>
      <c r="D449" s="17" t="s">
        <v>50</v>
      </c>
      <c r="E449" s="18">
        <v>0.26805555555555555</v>
      </c>
      <c r="F449" s="34">
        <v>0.34375</v>
      </c>
      <c r="G449" s="33" t="s">
        <v>636</v>
      </c>
      <c r="H449" s="14" t="s">
        <v>51</v>
      </c>
      <c r="I449" s="25" t="s">
        <v>52</v>
      </c>
      <c r="J449" s="21" t="s">
        <v>87</v>
      </c>
      <c r="K449" s="22" t="s">
        <v>75</v>
      </c>
      <c r="L449" s="23" t="s">
        <v>54</v>
      </c>
      <c r="M449" s="24" t="s">
        <v>55</v>
      </c>
      <c r="N449" s="25" t="s">
        <v>83</v>
      </c>
      <c r="O449" s="26" t="s">
        <v>77</v>
      </c>
      <c r="P449" s="14">
        <v>25.0</v>
      </c>
      <c r="Q449" s="14">
        <v>0.0</v>
      </c>
      <c r="R449" s="27">
        <v>0.0</v>
      </c>
      <c r="S449" s="33">
        <v>0.0</v>
      </c>
      <c r="T449" s="28">
        <v>25.0</v>
      </c>
      <c r="U449" s="33">
        <v>0.0</v>
      </c>
      <c r="V449" s="14">
        <v>0.0</v>
      </c>
      <c r="W449" s="14">
        <v>0.0</v>
      </c>
      <c r="X449" s="25" t="s">
        <v>44</v>
      </c>
      <c r="Y449" s="56" t="s">
        <v>44</v>
      </c>
      <c r="Z449" s="56" t="s">
        <v>44</v>
      </c>
      <c r="AA449" s="56" t="s">
        <v>44</v>
      </c>
      <c r="AB449" s="56" t="s">
        <v>44</v>
      </c>
    </row>
    <row r="450" ht="19.5" hidden="1" customHeight="1">
      <c r="A450" s="14">
        <v>7.0</v>
      </c>
      <c r="B450" s="15">
        <v>45980.0</v>
      </c>
      <c r="C450" s="16" t="s">
        <v>46</v>
      </c>
      <c r="D450" s="17">
        <v>1.0</v>
      </c>
      <c r="E450" s="18">
        <v>0.37777777777777777</v>
      </c>
      <c r="F450" s="34">
        <v>0.40555555555555556</v>
      </c>
      <c r="G450" s="33">
        <v>41.0</v>
      </c>
      <c r="H450" s="14" t="s">
        <v>51</v>
      </c>
      <c r="I450" s="14" t="s">
        <v>52</v>
      </c>
      <c r="J450" s="21" t="s">
        <v>53</v>
      </c>
      <c r="K450" s="22" t="s">
        <v>100</v>
      </c>
      <c r="L450" s="23" t="s">
        <v>38</v>
      </c>
      <c r="M450" s="24" t="s">
        <v>113</v>
      </c>
      <c r="N450" s="25" t="s">
        <v>345</v>
      </c>
      <c r="O450" s="26" t="s">
        <v>77</v>
      </c>
      <c r="P450" s="14">
        <v>0.0</v>
      </c>
      <c r="Q450" s="14">
        <v>1.0</v>
      </c>
      <c r="R450" s="27">
        <v>0.0</v>
      </c>
      <c r="S450" s="33">
        <v>1.0</v>
      </c>
      <c r="T450" s="28">
        <v>0.0</v>
      </c>
      <c r="U450" s="33">
        <v>0.0</v>
      </c>
      <c r="V450" s="14">
        <v>0.0</v>
      </c>
      <c r="W450" s="14">
        <v>0.0</v>
      </c>
      <c r="X450" s="58" t="s">
        <v>637</v>
      </c>
      <c r="Y450" s="30" t="s">
        <v>61</v>
      </c>
      <c r="Z450" s="29">
        <v>2.120285021803E12</v>
      </c>
      <c r="AA450" s="32" t="s">
        <v>33</v>
      </c>
      <c r="AB450" s="25">
        <v>33.0</v>
      </c>
    </row>
    <row r="451" ht="19.5" hidden="1" customHeight="1">
      <c r="A451" s="14">
        <v>8.0</v>
      </c>
      <c r="B451" s="15">
        <v>45980.0</v>
      </c>
      <c r="C451" s="16" t="s">
        <v>46</v>
      </c>
      <c r="D451" s="17">
        <v>1.0</v>
      </c>
      <c r="E451" s="18">
        <v>0.43125</v>
      </c>
      <c r="F451" s="34">
        <v>0.48055555555555557</v>
      </c>
      <c r="G451" s="45">
        <v>38500.0</v>
      </c>
      <c r="H451" s="14" t="s">
        <v>51</v>
      </c>
      <c r="I451" s="14" t="s">
        <v>52</v>
      </c>
      <c r="J451" s="21" t="s">
        <v>37</v>
      </c>
      <c r="K451" s="22" t="s">
        <v>63</v>
      </c>
      <c r="L451" s="23" t="s">
        <v>38</v>
      </c>
      <c r="M451" s="24" t="s">
        <v>60</v>
      </c>
      <c r="N451" s="25" t="s">
        <v>638</v>
      </c>
      <c r="O451" s="26" t="s">
        <v>30</v>
      </c>
      <c r="P451" s="14">
        <v>2.0</v>
      </c>
      <c r="Q451" s="14">
        <v>0.0</v>
      </c>
      <c r="R451" s="27">
        <v>0.0</v>
      </c>
      <c r="S451" s="33">
        <v>0.0</v>
      </c>
      <c r="T451" s="28">
        <v>2.0</v>
      </c>
      <c r="U451" s="33">
        <v>0.0</v>
      </c>
      <c r="V451" s="14">
        <v>0.0</v>
      </c>
      <c r="W451" s="14">
        <v>0.0</v>
      </c>
      <c r="X451" s="58" t="s">
        <v>639</v>
      </c>
      <c r="Y451" s="30" t="s">
        <v>61</v>
      </c>
      <c r="Z451" s="29">
        <v>1.979114630408E12</v>
      </c>
      <c r="AA451" s="32" t="s">
        <v>33</v>
      </c>
      <c r="AB451" s="25">
        <v>35.0</v>
      </c>
    </row>
    <row r="452" ht="19.5" hidden="1" customHeight="1">
      <c r="A452" s="14">
        <v>9.0</v>
      </c>
      <c r="B452" s="15">
        <v>45980.0</v>
      </c>
      <c r="C452" s="16" t="s">
        <v>46</v>
      </c>
      <c r="D452" s="17">
        <v>1.0</v>
      </c>
      <c r="E452" s="18">
        <v>0.4479166666666667</v>
      </c>
      <c r="F452" s="34">
        <v>0.4875</v>
      </c>
      <c r="G452" s="33">
        <v>41.5</v>
      </c>
      <c r="H452" s="14" t="s">
        <v>94</v>
      </c>
      <c r="I452" s="14" t="s">
        <v>52</v>
      </c>
      <c r="J452" s="21" t="s">
        <v>53</v>
      </c>
      <c r="K452" s="22" t="s">
        <v>29</v>
      </c>
      <c r="L452" s="23" t="s">
        <v>38</v>
      </c>
      <c r="M452" s="24" t="s">
        <v>82</v>
      </c>
      <c r="N452" s="25" t="s">
        <v>169</v>
      </c>
      <c r="O452" s="26" t="s">
        <v>640</v>
      </c>
      <c r="P452" s="14">
        <v>1.0</v>
      </c>
      <c r="Q452" s="14">
        <v>0.0</v>
      </c>
      <c r="R452" s="27">
        <v>0.0</v>
      </c>
      <c r="S452" s="33">
        <v>0.0</v>
      </c>
      <c r="T452" s="28">
        <v>1.0</v>
      </c>
      <c r="U452" s="33">
        <v>0.0</v>
      </c>
      <c r="V452" s="14">
        <v>0.0</v>
      </c>
      <c r="W452" s="14">
        <v>0.0</v>
      </c>
      <c r="X452" s="58" t="s">
        <v>641</v>
      </c>
      <c r="Y452" s="30" t="s">
        <v>32</v>
      </c>
      <c r="Z452" s="29">
        <v>1.792718730601E12</v>
      </c>
      <c r="AA452" s="32" t="s">
        <v>33</v>
      </c>
      <c r="AB452" s="25">
        <v>34.0</v>
      </c>
    </row>
    <row r="453" ht="19.5" hidden="1" customHeight="1">
      <c r="A453" s="14">
        <v>10.0</v>
      </c>
      <c r="B453" s="15">
        <v>45980.0</v>
      </c>
      <c r="C453" s="16" t="s">
        <v>46</v>
      </c>
      <c r="D453" s="17">
        <v>1.0</v>
      </c>
      <c r="E453" s="18">
        <v>0.4479166666666667</v>
      </c>
      <c r="F453" s="34">
        <v>0.5493055555555556</v>
      </c>
      <c r="G453" s="33">
        <v>76.0</v>
      </c>
      <c r="H453" s="14" t="s">
        <v>98</v>
      </c>
      <c r="I453" s="14" t="s">
        <v>233</v>
      </c>
      <c r="J453" s="21" t="s">
        <v>53</v>
      </c>
      <c r="K453" s="22" t="s">
        <v>63</v>
      </c>
      <c r="L453" s="23" t="s">
        <v>54</v>
      </c>
      <c r="M453" s="24" t="s">
        <v>131</v>
      </c>
      <c r="N453" s="25" t="s">
        <v>642</v>
      </c>
      <c r="O453" s="26" t="s">
        <v>77</v>
      </c>
      <c r="P453" s="14">
        <v>1.0</v>
      </c>
      <c r="Q453" s="14">
        <v>0.0</v>
      </c>
      <c r="R453" s="27">
        <v>0.0</v>
      </c>
      <c r="S453" s="33">
        <v>0.0</v>
      </c>
      <c r="T453" s="28">
        <v>1.0</v>
      </c>
      <c r="U453" s="33">
        <v>0.0</v>
      </c>
      <c r="V453" s="14">
        <v>0.0</v>
      </c>
      <c r="W453" s="14">
        <v>0.0</v>
      </c>
      <c r="X453" s="25" t="s">
        <v>643</v>
      </c>
      <c r="Y453" s="30" t="s">
        <v>85</v>
      </c>
      <c r="Z453" s="29">
        <v>2.603015582101E12</v>
      </c>
      <c r="AA453" s="32" t="s">
        <v>33</v>
      </c>
      <c r="AB453" s="25">
        <v>58.0</v>
      </c>
    </row>
    <row r="454" ht="19.5" hidden="1" customHeight="1">
      <c r="A454" s="14">
        <v>11.0</v>
      </c>
      <c r="B454" s="15">
        <v>45980.0</v>
      </c>
      <c r="C454" s="16" t="s">
        <v>128</v>
      </c>
      <c r="D454" s="17" t="s">
        <v>50</v>
      </c>
      <c r="E454" s="18">
        <v>0.44305555555555554</v>
      </c>
      <c r="F454" s="34">
        <v>0.5819444444444445</v>
      </c>
      <c r="G454" s="33">
        <v>154.0</v>
      </c>
      <c r="H454" s="14" t="s">
        <v>252</v>
      </c>
      <c r="I454" s="14" t="s">
        <v>48</v>
      </c>
      <c r="J454" s="21" t="s">
        <v>49</v>
      </c>
      <c r="K454" s="22" t="s">
        <v>75</v>
      </c>
      <c r="L454" s="23" t="s">
        <v>54</v>
      </c>
      <c r="M454" s="24" t="s">
        <v>76</v>
      </c>
      <c r="N454" s="25" t="s">
        <v>325</v>
      </c>
      <c r="O454" s="26" t="s">
        <v>30</v>
      </c>
      <c r="P454" s="14">
        <v>20.0</v>
      </c>
      <c r="Q454" s="14">
        <v>0.0</v>
      </c>
      <c r="R454" s="27">
        <v>0.0</v>
      </c>
      <c r="S454" s="33">
        <v>0.0</v>
      </c>
      <c r="T454" s="28">
        <v>20.0</v>
      </c>
      <c r="U454" s="33">
        <v>0.0</v>
      </c>
      <c r="V454" s="14">
        <v>0.0</v>
      </c>
      <c r="W454" s="14">
        <v>0.0</v>
      </c>
      <c r="X454" s="25" t="s">
        <v>44</v>
      </c>
      <c r="Y454" s="30" t="s">
        <v>44</v>
      </c>
      <c r="Z454" s="29" t="s">
        <v>44</v>
      </c>
      <c r="AA454" s="32" t="s">
        <v>45</v>
      </c>
      <c r="AB454" s="25" t="s">
        <v>44</v>
      </c>
    </row>
    <row r="455" ht="19.5" hidden="1" customHeight="1">
      <c r="A455" s="14">
        <v>12.0</v>
      </c>
      <c r="B455" s="15">
        <v>45980.0</v>
      </c>
      <c r="C455" s="16" t="s">
        <v>125</v>
      </c>
      <c r="D455" s="17">
        <v>1.0</v>
      </c>
      <c r="E455" s="18">
        <v>0.4965277777777778</v>
      </c>
      <c r="F455" s="33" t="s">
        <v>644</v>
      </c>
      <c r="G455" s="33">
        <v>136.0</v>
      </c>
      <c r="H455" s="14" t="s">
        <v>167</v>
      </c>
      <c r="I455" s="14" t="s">
        <v>36</v>
      </c>
      <c r="J455" s="21" t="s">
        <v>37</v>
      </c>
      <c r="K455" s="22" t="s">
        <v>100</v>
      </c>
      <c r="L455" s="23" t="s">
        <v>54</v>
      </c>
      <c r="M455" s="24" t="s">
        <v>64</v>
      </c>
      <c r="N455" s="25" t="s">
        <v>83</v>
      </c>
      <c r="O455" s="26" t="s">
        <v>30</v>
      </c>
      <c r="P455" s="14">
        <v>1.0</v>
      </c>
      <c r="Q455" s="14">
        <v>0.0</v>
      </c>
      <c r="R455" s="27">
        <v>0.0</v>
      </c>
      <c r="S455" s="33">
        <v>0.0</v>
      </c>
      <c r="T455" s="28">
        <v>1.0</v>
      </c>
      <c r="U455" s="33">
        <v>0.0</v>
      </c>
      <c r="V455" s="14">
        <v>0.0</v>
      </c>
      <c r="W455" s="14">
        <v>0.0</v>
      </c>
      <c r="X455" s="56" t="s">
        <v>645</v>
      </c>
      <c r="Y455" s="30" t="s">
        <v>115</v>
      </c>
      <c r="Z455" s="29">
        <v>3.27001891015E11</v>
      </c>
      <c r="AA455" s="32" t="s">
        <v>33</v>
      </c>
      <c r="AB455" s="25">
        <v>18.0</v>
      </c>
    </row>
    <row r="456" ht="19.5" hidden="1" customHeight="1">
      <c r="A456" s="14"/>
      <c r="B456" s="15">
        <v>45980.0</v>
      </c>
      <c r="C456" s="16"/>
      <c r="D456" s="17"/>
      <c r="E456" s="18"/>
      <c r="F456" s="34"/>
      <c r="G456" s="33"/>
      <c r="H456" s="14"/>
      <c r="I456" s="14"/>
      <c r="J456" s="21"/>
      <c r="K456" s="22" t="s">
        <v>42</v>
      </c>
      <c r="L456" s="23"/>
      <c r="M456" s="24"/>
      <c r="N456" s="25"/>
      <c r="O456" s="26" t="s">
        <v>30</v>
      </c>
      <c r="P456" s="14">
        <v>0.0</v>
      </c>
      <c r="Q456" s="14">
        <v>0.0</v>
      </c>
      <c r="R456" s="27">
        <v>0.0</v>
      </c>
      <c r="S456" s="33">
        <v>0.0</v>
      </c>
      <c r="T456" s="28">
        <v>1.0</v>
      </c>
      <c r="U456" s="33">
        <v>0.0</v>
      </c>
      <c r="V456" s="14">
        <v>0.0</v>
      </c>
      <c r="W456" s="14">
        <v>0.0</v>
      </c>
      <c r="X456" s="35" t="s">
        <v>646</v>
      </c>
      <c r="Y456" s="30" t="s">
        <v>61</v>
      </c>
      <c r="Z456" s="35">
        <v>2.229483611002E12</v>
      </c>
      <c r="AA456" s="32" t="s">
        <v>33</v>
      </c>
      <c r="AB456" s="25">
        <v>38.0</v>
      </c>
    </row>
    <row r="457" ht="19.5" hidden="1" customHeight="1">
      <c r="A457" s="14">
        <v>13.0</v>
      </c>
      <c r="B457" s="15">
        <v>45980.0</v>
      </c>
      <c r="C457" s="16" t="s">
        <v>125</v>
      </c>
      <c r="D457" s="17">
        <v>2.0</v>
      </c>
      <c r="E457" s="18">
        <v>0.53125</v>
      </c>
      <c r="F457" s="34">
        <v>0.7090277777777778</v>
      </c>
      <c r="G457" s="33">
        <v>178.0</v>
      </c>
      <c r="H457" s="14" t="s">
        <v>263</v>
      </c>
      <c r="I457" s="14" t="s">
        <v>36</v>
      </c>
      <c r="J457" s="21" t="s">
        <v>37</v>
      </c>
      <c r="K457" s="22" t="s">
        <v>647</v>
      </c>
      <c r="L457" s="23" t="s">
        <v>38</v>
      </c>
      <c r="M457" s="24" t="s">
        <v>39</v>
      </c>
      <c r="N457" s="25" t="s">
        <v>648</v>
      </c>
      <c r="O457" s="26" t="s">
        <v>30</v>
      </c>
      <c r="P457" s="14">
        <v>0.0</v>
      </c>
      <c r="Q457" s="14">
        <v>1.0</v>
      </c>
      <c r="R457" s="27">
        <v>0.0</v>
      </c>
      <c r="S457" s="33">
        <v>1.0</v>
      </c>
      <c r="T457" s="28">
        <v>0.0</v>
      </c>
      <c r="U457" s="33">
        <v>0.0</v>
      </c>
      <c r="V457" s="14">
        <v>0.0</v>
      </c>
      <c r="W457" s="14">
        <v>0.0</v>
      </c>
      <c r="X457" s="56" t="s">
        <v>44</v>
      </c>
      <c r="Y457" s="30" t="s">
        <v>44</v>
      </c>
      <c r="Z457" s="29" t="s">
        <v>44</v>
      </c>
      <c r="AA457" s="32" t="s">
        <v>45</v>
      </c>
      <c r="AB457" s="25" t="s">
        <v>44</v>
      </c>
    </row>
    <row r="458" ht="19.5" hidden="1" customHeight="1">
      <c r="A458" s="14">
        <v>14.0</v>
      </c>
      <c r="B458" s="15">
        <v>45980.0</v>
      </c>
      <c r="C458" s="16" t="s">
        <v>46</v>
      </c>
      <c r="D458" s="17">
        <v>1.0</v>
      </c>
      <c r="E458" s="18">
        <v>0.5972222222222222</v>
      </c>
      <c r="F458" s="34">
        <v>0.6048611111111111</v>
      </c>
      <c r="G458" s="33">
        <v>28.5</v>
      </c>
      <c r="H458" s="14" t="s">
        <v>99</v>
      </c>
      <c r="I458" s="14" t="s">
        <v>88</v>
      </c>
      <c r="J458" s="21" t="s">
        <v>49</v>
      </c>
      <c r="K458" s="22" t="s">
        <v>29</v>
      </c>
      <c r="L458" s="23" t="s">
        <v>54</v>
      </c>
      <c r="M458" s="24" t="s">
        <v>102</v>
      </c>
      <c r="N458" s="25" t="s">
        <v>649</v>
      </c>
      <c r="O458" s="26" t="s">
        <v>30</v>
      </c>
      <c r="P458" s="14">
        <v>1.0</v>
      </c>
      <c r="Q458" s="14">
        <v>0.0</v>
      </c>
      <c r="R458" s="27">
        <v>0.0</v>
      </c>
      <c r="S458" s="33">
        <v>1.0</v>
      </c>
      <c r="T458" s="28">
        <v>0.0</v>
      </c>
      <c r="U458" s="33">
        <v>0.0</v>
      </c>
      <c r="V458" s="14">
        <v>0.0</v>
      </c>
      <c r="W458" s="14">
        <v>0.0</v>
      </c>
      <c r="X458" s="56" t="s">
        <v>650</v>
      </c>
      <c r="Y458" s="30" t="s">
        <v>32</v>
      </c>
      <c r="Z458" s="29">
        <v>2.274892330101E12</v>
      </c>
      <c r="AA458" s="32" t="s">
        <v>33</v>
      </c>
      <c r="AB458" s="25">
        <v>39.0</v>
      </c>
    </row>
    <row r="459" ht="19.5" hidden="1" customHeight="1">
      <c r="A459" s="14">
        <v>15.0</v>
      </c>
      <c r="B459" s="15">
        <v>45980.0</v>
      </c>
      <c r="C459" s="16" t="s">
        <v>46</v>
      </c>
      <c r="D459" s="17">
        <v>1.0</v>
      </c>
      <c r="E459" s="18">
        <v>0.6298611111111111</v>
      </c>
      <c r="F459" s="34">
        <v>0.6381944444444444</v>
      </c>
      <c r="G459" s="33">
        <v>43.0</v>
      </c>
      <c r="H459" s="14" t="s">
        <v>150</v>
      </c>
      <c r="I459" s="14" t="s">
        <v>48</v>
      </c>
      <c r="J459" s="21" t="s">
        <v>49</v>
      </c>
      <c r="K459" s="22" t="s">
        <v>42</v>
      </c>
      <c r="L459" s="23" t="s">
        <v>54</v>
      </c>
      <c r="M459" s="24" t="s">
        <v>131</v>
      </c>
      <c r="N459" s="25" t="s">
        <v>651</v>
      </c>
      <c r="O459" s="26" t="s">
        <v>30</v>
      </c>
      <c r="P459" s="14">
        <v>3.0</v>
      </c>
      <c r="Q459" s="14">
        <v>0.0</v>
      </c>
      <c r="R459" s="27">
        <v>0.0</v>
      </c>
      <c r="S459" s="33">
        <v>3.0</v>
      </c>
      <c r="T459" s="28">
        <v>0.0</v>
      </c>
      <c r="U459" s="33">
        <v>0.0</v>
      </c>
      <c r="V459" s="14">
        <v>0.0</v>
      </c>
      <c r="W459" s="14">
        <v>0.0</v>
      </c>
      <c r="X459" s="56" t="s">
        <v>652</v>
      </c>
      <c r="Y459" s="30" t="s">
        <v>32</v>
      </c>
      <c r="Z459" s="29">
        <v>2.657985660301E12</v>
      </c>
      <c r="AA459" s="32" t="s">
        <v>33</v>
      </c>
      <c r="AB459" s="25">
        <v>61.0</v>
      </c>
    </row>
    <row r="460" ht="19.5" hidden="1" customHeight="1">
      <c r="A460" s="14">
        <v>16.0</v>
      </c>
      <c r="B460" s="15">
        <v>45980.0</v>
      </c>
      <c r="C460" s="16" t="s">
        <v>46</v>
      </c>
      <c r="D460" s="17">
        <v>1.0</v>
      </c>
      <c r="E460" s="18">
        <v>0.6722222222222223</v>
      </c>
      <c r="F460" s="33" t="s">
        <v>653</v>
      </c>
      <c r="G460" s="33">
        <v>40.0</v>
      </c>
      <c r="H460" s="14" t="s">
        <v>51</v>
      </c>
      <c r="I460" s="14" t="s">
        <v>224</v>
      </c>
      <c r="J460" s="21" t="s">
        <v>49</v>
      </c>
      <c r="K460" s="22" t="s">
        <v>63</v>
      </c>
      <c r="L460" s="23" t="s">
        <v>54</v>
      </c>
      <c r="M460" s="24" t="s">
        <v>64</v>
      </c>
      <c r="N460" s="25" t="s">
        <v>159</v>
      </c>
      <c r="O460" s="26" t="s">
        <v>30</v>
      </c>
      <c r="P460" s="14">
        <v>1.0</v>
      </c>
      <c r="Q460" s="14">
        <v>0.0</v>
      </c>
      <c r="R460" s="27">
        <v>0.0</v>
      </c>
      <c r="S460" s="33">
        <v>0.0</v>
      </c>
      <c r="T460" s="28">
        <v>1.0</v>
      </c>
      <c r="U460" s="33">
        <v>0.0</v>
      </c>
      <c r="V460" s="14">
        <v>0.0</v>
      </c>
      <c r="W460" s="14">
        <v>0.0</v>
      </c>
      <c r="X460" s="35" t="s">
        <v>654</v>
      </c>
      <c r="Y460" s="30" t="s">
        <v>85</v>
      </c>
      <c r="Z460" s="35">
        <v>1.835014540101E12</v>
      </c>
      <c r="AA460" s="32" t="s">
        <v>33</v>
      </c>
      <c r="AB460" s="25">
        <v>55.0</v>
      </c>
    </row>
    <row r="461" ht="19.5" hidden="1" customHeight="1">
      <c r="A461" s="14">
        <v>17.0</v>
      </c>
      <c r="B461" s="15">
        <v>45980.0</v>
      </c>
      <c r="C461" s="16" t="s">
        <v>46</v>
      </c>
      <c r="D461" s="17">
        <v>1.0</v>
      </c>
      <c r="E461" s="18">
        <v>0.68125</v>
      </c>
      <c r="F461" s="34">
        <v>0.7229166666666667</v>
      </c>
      <c r="G461" s="33">
        <v>25.0</v>
      </c>
      <c r="H461" s="14" t="s">
        <v>99</v>
      </c>
      <c r="I461" s="14" t="s">
        <v>88</v>
      </c>
      <c r="J461" s="21" t="s">
        <v>49</v>
      </c>
      <c r="K461" s="22" t="s">
        <v>81</v>
      </c>
      <c r="L461" s="23" t="s">
        <v>54</v>
      </c>
      <c r="M461" s="24" t="s">
        <v>64</v>
      </c>
      <c r="N461" s="25" t="s">
        <v>148</v>
      </c>
      <c r="O461" s="26" t="s">
        <v>30</v>
      </c>
      <c r="P461" s="14">
        <v>1.0</v>
      </c>
      <c r="Q461" s="14">
        <v>0.0</v>
      </c>
      <c r="R461" s="27">
        <v>0.0</v>
      </c>
      <c r="S461" s="33">
        <v>0.0</v>
      </c>
      <c r="T461" s="28">
        <v>1.0</v>
      </c>
      <c r="U461" s="33">
        <v>0.0</v>
      </c>
      <c r="V461" s="14">
        <v>0.0</v>
      </c>
      <c r="W461" s="14">
        <v>0.0</v>
      </c>
      <c r="X461" s="56" t="s">
        <v>655</v>
      </c>
      <c r="Y461" s="30" t="s">
        <v>32</v>
      </c>
      <c r="Z461" s="29">
        <v>2.754664071801E12</v>
      </c>
      <c r="AA461" s="32" t="s">
        <v>33</v>
      </c>
      <c r="AB461" s="25">
        <v>45.0</v>
      </c>
    </row>
    <row r="462" ht="19.5" hidden="1" customHeight="1">
      <c r="A462" s="14">
        <v>18.0</v>
      </c>
      <c r="B462" s="15">
        <v>45980.0</v>
      </c>
      <c r="C462" s="16" t="s">
        <v>46</v>
      </c>
      <c r="D462" s="17">
        <v>1.0</v>
      </c>
      <c r="E462" s="18">
        <v>0.7</v>
      </c>
      <c r="F462" s="34">
        <v>0.7131944444444445</v>
      </c>
      <c r="G462" s="33">
        <v>25.7</v>
      </c>
      <c r="H462" s="14" t="s">
        <v>94</v>
      </c>
      <c r="I462" s="14" t="s">
        <v>59</v>
      </c>
      <c r="J462" s="21" t="s">
        <v>53</v>
      </c>
      <c r="K462" s="22" t="s">
        <v>91</v>
      </c>
      <c r="L462" s="23" t="s">
        <v>54</v>
      </c>
      <c r="M462" s="24" t="s">
        <v>102</v>
      </c>
      <c r="N462" s="25" t="s">
        <v>656</v>
      </c>
      <c r="O462" s="26" t="s">
        <v>30</v>
      </c>
      <c r="P462" s="14">
        <v>80.0</v>
      </c>
      <c r="Q462" s="14">
        <v>0.0</v>
      </c>
      <c r="R462" s="27">
        <v>0.0</v>
      </c>
      <c r="S462" s="33">
        <v>0.0</v>
      </c>
      <c r="T462" s="28">
        <v>80.0</v>
      </c>
      <c r="U462" s="33">
        <v>0.0</v>
      </c>
      <c r="V462" s="14">
        <v>0.0</v>
      </c>
      <c r="W462" s="14">
        <v>0.0</v>
      </c>
      <c r="X462" s="56" t="s">
        <v>657</v>
      </c>
      <c r="Y462" s="30" t="s">
        <v>32</v>
      </c>
      <c r="Z462" s="29">
        <v>1.999885282107E12</v>
      </c>
      <c r="AA462" s="32" t="s">
        <v>33</v>
      </c>
      <c r="AB462" s="25">
        <v>48.0</v>
      </c>
    </row>
    <row r="463" ht="19.5" hidden="1" customHeight="1">
      <c r="A463" s="14">
        <v>19.0</v>
      </c>
      <c r="B463" s="15">
        <v>45980.0</v>
      </c>
      <c r="C463" s="16" t="s">
        <v>407</v>
      </c>
      <c r="D463" s="17">
        <v>1.0</v>
      </c>
      <c r="E463" s="18">
        <v>0.6958333333333333</v>
      </c>
      <c r="F463" s="34">
        <v>0.7715277777777778</v>
      </c>
      <c r="G463" s="33" t="s">
        <v>658</v>
      </c>
      <c r="H463" s="14">
        <v>1132.0</v>
      </c>
      <c r="I463" s="14" t="s">
        <v>80</v>
      </c>
      <c r="J463" s="21" t="s">
        <v>49</v>
      </c>
      <c r="K463" s="22" t="s">
        <v>29</v>
      </c>
      <c r="L463" s="23" t="s">
        <v>54</v>
      </c>
      <c r="M463" s="24" t="s">
        <v>131</v>
      </c>
      <c r="N463" s="25" t="s">
        <v>283</v>
      </c>
      <c r="O463" s="26" t="s">
        <v>30</v>
      </c>
      <c r="P463" s="14">
        <v>1.0</v>
      </c>
      <c r="Q463" s="14">
        <v>0.0</v>
      </c>
      <c r="R463" s="27">
        <v>0.0</v>
      </c>
      <c r="S463" s="33">
        <v>0.0</v>
      </c>
      <c r="T463" s="28">
        <v>1.0</v>
      </c>
      <c r="U463" s="33">
        <v>0.0</v>
      </c>
      <c r="V463" s="14">
        <v>0.0</v>
      </c>
      <c r="W463" s="14">
        <v>0.0</v>
      </c>
      <c r="X463" s="56" t="s">
        <v>659</v>
      </c>
      <c r="Y463" s="30" t="s">
        <v>32</v>
      </c>
      <c r="Z463" s="29">
        <v>2.716952771106E12</v>
      </c>
      <c r="AA463" s="32" t="s">
        <v>33</v>
      </c>
      <c r="AB463" s="25">
        <v>50.0</v>
      </c>
    </row>
    <row r="464" ht="19.5" hidden="1" customHeight="1">
      <c r="A464" s="14">
        <v>20.0</v>
      </c>
      <c r="B464" s="15">
        <v>45980.0</v>
      </c>
      <c r="C464" s="16" t="s">
        <v>46</v>
      </c>
      <c r="D464" s="17">
        <v>1.0</v>
      </c>
      <c r="E464" s="18">
        <v>0.7319444444444444</v>
      </c>
      <c r="F464" s="34">
        <v>0.7534722222222222</v>
      </c>
      <c r="G464" s="33">
        <v>29.3</v>
      </c>
      <c r="H464" s="14" t="s">
        <v>97</v>
      </c>
      <c r="I464" s="14" t="s">
        <v>59</v>
      </c>
      <c r="J464" s="21" t="s">
        <v>37</v>
      </c>
      <c r="K464" s="22" t="s">
        <v>63</v>
      </c>
      <c r="L464" s="23" t="s">
        <v>54</v>
      </c>
      <c r="M464" s="24" t="s">
        <v>64</v>
      </c>
      <c r="N464" s="25" t="s">
        <v>283</v>
      </c>
      <c r="O464" s="26" t="s">
        <v>30</v>
      </c>
      <c r="P464" s="14">
        <v>5.0</v>
      </c>
      <c r="Q464" s="14">
        <v>0.0</v>
      </c>
      <c r="R464" s="27">
        <v>0.0</v>
      </c>
      <c r="S464" s="33">
        <v>0.0</v>
      </c>
      <c r="T464" s="28">
        <v>5.0</v>
      </c>
      <c r="U464" s="33">
        <v>0.0</v>
      </c>
      <c r="V464" s="14">
        <v>0.0</v>
      </c>
      <c r="W464" s="14">
        <v>0.0</v>
      </c>
      <c r="X464" s="35" t="s">
        <v>660</v>
      </c>
      <c r="Y464" s="30" t="s">
        <v>61</v>
      </c>
      <c r="Z464" s="35">
        <v>3.4709114310108E13</v>
      </c>
      <c r="AA464" s="32" t="s">
        <v>33</v>
      </c>
      <c r="AB464" s="25">
        <v>48.0</v>
      </c>
    </row>
    <row r="465" ht="19.5" hidden="1" customHeight="1">
      <c r="A465" s="14">
        <v>21.0</v>
      </c>
      <c r="B465" s="15">
        <v>45980.0</v>
      </c>
      <c r="C465" s="16" t="s">
        <v>78</v>
      </c>
      <c r="D465" s="17">
        <v>1.0</v>
      </c>
      <c r="E465" s="18">
        <v>0.7722222222222223</v>
      </c>
      <c r="F465" s="34">
        <v>0.7847222222222222</v>
      </c>
      <c r="G465" s="33">
        <v>376.0</v>
      </c>
      <c r="H465" s="14" t="s">
        <v>79</v>
      </c>
      <c r="I465" s="14" t="s">
        <v>80</v>
      </c>
      <c r="J465" s="21" t="s">
        <v>49</v>
      </c>
      <c r="K465" s="22" t="s">
        <v>81</v>
      </c>
      <c r="L465" s="23" t="s">
        <v>54</v>
      </c>
      <c r="M465" s="24" t="s">
        <v>131</v>
      </c>
      <c r="N465" s="25" t="s">
        <v>159</v>
      </c>
      <c r="O465" s="26" t="s">
        <v>30</v>
      </c>
      <c r="P465" s="14">
        <v>1.0</v>
      </c>
      <c r="Q465" s="14">
        <v>0.0</v>
      </c>
      <c r="R465" s="27">
        <v>0.0</v>
      </c>
      <c r="S465" s="33">
        <v>0.0</v>
      </c>
      <c r="T465" s="28">
        <v>1.0</v>
      </c>
      <c r="U465" s="33">
        <v>0.0</v>
      </c>
      <c r="V465" s="14">
        <v>0.0</v>
      </c>
      <c r="W465" s="14">
        <v>0.0</v>
      </c>
      <c r="X465" s="56" t="s">
        <v>661</v>
      </c>
      <c r="Y465" s="30" t="s">
        <v>115</v>
      </c>
      <c r="Z465" s="29">
        <v>3.307134085172E12</v>
      </c>
      <c r="AA465" s="32" t="s">
        <v>33</v>
      </c>
      <c r="AB465" s="25">
        <v>25.0</v>
      </c>
    </row>
    <row r="466" ht="19.5" hidden="1" customHeight="1">
      <c r="A466" s="14">
        <v>1.0</v>
      </c>
      <c r="B466" s="15">
        <v>45981.0</v>
      </c>
      <c r="C466" s="16" t="s">
        <v>46</v>
      </c>
      <c r="D466" s="17">
        <v>1.0</v>
      </c>
      <c r="E466" s="18">
        <v>0.21875</v>
      </c>
      <c r="F466" s="34">
        <v>0.23680555555555555</v>
      </c>
      <c r="G466" s="33">
        <v>21.0</v>
      </c>
      <c r="H466" s="14" t="s">
        <v>173</v>
      </c>
      <c r="I466" s="14" t="s">
        <v>52</v>
      </c>
      <c r="J466" s="21" t="s">
        <v>37</v>
      </c>
      <c r="K466" s="22" t="s">
        <v>29</v>
      </c>
      <c r="L466" s="23" t="s">
        <v>54</v>
      </c>
      <c r="M466" s="24" t="s">
        <v>64</v>
      </c>
      <c r="N466" s="25"/>
      <c r="O466" s="26" t="s">
        <v>30</v>
      </c>
      <c r="P466" s="14">
        <v>2.0</v>
      </c>
      <c r="Q466" s="14">
        <v>0.0</v>
      </c>
      <c r="R466" s="27">
        <v>0.0</v>
      </c>
      <c r="S466" s="33">
        <v>0.0</v>
      </c>
      <c r="T466" s="28">
        <v>2.0</v>
      </c>
      <c r="U466" s="33">
        <v>0.0</v>
      </c>
      <c r="V466" s="14">
        <v>0.0</v>
      </c>
      <c r="W466" s="14">
        <v>0.0</v>
      </c>
      <c r="X466" s="40" t="s">
        <v>662</v>
      </c>
      <c r="Y466" s="30" t="s">
        <v>32</v>
      </c>
      <c r="Z466" s="40">
        <v>2.750826490919E12</v>
      </c>
      <c r="AA466" s="32" t="s">
        <v>33</v>
      </c>
      <c r="AB466" s="25">
        <v>43.0</v>
      </c>
    </row>
    <row r="467" ht="19.5" hidden="1" customHeight="1">
      <c r="A467" s="14">
        <v>2.0</v>
      </c>
      <c r="B467" s="15">
        <v>45981.0</v>
      </c>
      <c r="C467" s="16" t="s">
        <v>34</v>
      </c>
      <c r="D467" s="17">
        <v>1.0</v>
      </c>
      <c r="E467" s="18">
        <v>0.23819444444444443</v>
      </c>
      <c r="F467" s="34">
        <v>0.4444444444444444</v>
      </c>
      <c r="G467" s="33">
        <v>66.0</v>
      </c>
      <c r="H467" s="14">
        <v>1131.0</v>
      </c>
      <c r="I467" s="14" t="s">
        <v>36</v>
      </c>
      <c r="J467" s="21" t="s">
        <v>37</v>
      </c>
      <c r="K467" s="22" t="s">
        <v>29</v>
      </c>
      <c r="L467" s="23" t="s">
        <v>38</v>
      </c>
      <c r="M467" s="24" t="s">
        <v>417</v>
      </c>
      <c r="N467" s="25" t="s">
        <v>40</v>
      </c>
      <c r="O467" s="26" t="s">
        <v>663</v>
      </c>
      <c r="P467" s="14">
        <v>3.0</v>
      </c>
      <c r="Q467" s="14">
        <v>0.0</v>
      </c>
      <c r="R467" s="27">
        <v>0.0</v>
      </c>
      <c r="S467" s="33">
        <v>0.0</v>
      </c>
      <c r="T467" s="28">
        <v>3.0</v>
      </c>
      <c r="U467" s="33">
        <v>0.0</v>
      </c>
      <c r="V467" s="14">
        <v>0.0</v>
      </c>
      <c r="W467" s="14">
        <v>0.0</v>
      </c>
      <c r="X467" s="56" t="s">
        <v>664</v>
      </c>
      <c r="Y467" s="30" t="s">
        <v>85</v>
      </c>
      <c r="Z467" s="29">
        <v>1.644101200105E12</v>
      </c>
      <c r="AA467" s="32" t="s">
        <v>33</v>
      </c>
      <c r="AB467" s="25">
        <v>36.0</v>
      </c>
    </row>
    <row r="468" ht="19.5" hidden="1" customHeight="1">
      <c r="A468" s="14">
        <v>3.0</v>
      </c>
      <c r="B468" s="15">
        <v>45981.0</v>
      </c>
      <c r="C468" s="16" t="s">
        <v>46</v>
      </c>
      <c r="D468" s="17">
        <v>1.0</v>
      </c>
      <c r="E468" s="18">
        <v>0.24305555555555555</v>
      </c>
      <c r="F468" s="34">
        <v>0.2638888888888889</v>
      </c>
      <c r="G468" s="33">
        <v>24.0</v>
      </c>
      <c r="H468" s="14" t="s">
        <v>150</v>
      </c>
      <c r="I468" s="14" t="s">
        <v>52</v>
      </c>
      <c r="J468" s="21" t="s">
        <v>53</v>
      </c>
      <c r="K468" s="22" t="s">
        <v>89</v>
      </c>
      <c r="L468" s="23" t="s">
        <v>38</v>
      </c>
      <c r="M468" s="24" t="s">
        <v>113</v>
      </c>
      <c r="N468" s="25" t="s">
        <v>345</v>
      </c>
      <c r="O468" s="26" t="s">
        <v>30</v>
      </c>
      <c r="P468" s="14">
        <v>0.0</v>
      </c>
      <c r="Q468" s="14">
        <v>1.0</v>
      </c>
      <c r="R468" s="27">
        <v>0.0</v>
      </c>
      <c r="S468" s="33">
        <v>1.0</v>
      </c>
      <c r="T468" s="28">
        <v>1.0</v>
      </c>
      <c r="U468" s="33">
        <v>0.0</v>
      </c>
      <c r="V468" s="14">
        <v>0.0</v>
      </c>
      <c r="W468" s="14">
        <v>0.0</v>
      </c>
      <c r="X468" s="56" t="s">
        <v>44</v>
      </c>
      <c r="Y468" s="30" t="s">
        <v>44</v>
      </c>
      <c r="Z468" s="56" t="s">
        <v>44</v>
      </c>
      <c r="AA468" s="56" t="s">
        <v>44</v>
      </c>
      <c r="AB468" s="56" t="s">
        <v>44</v>
      </c>
    </row>
    <row r="469" ht="19.5" hidden="1" customHeight="1">
      <c r="A469" s="14"/>
      <c r="B469" s="15">
        <v>45981.0</v>
      </c>
      <c r="C469" s="16"/>
      <c r="D469" s="17"/>
      <c r="E469" s="18"/>
      <c r="F469" s="34"/>
      <c r="G469" s="33"/>
      <c r="H469" s="14"/>
      <c r="I469" s="14"/>
      <c r="J469" s="21"/>
      <c r="K469" s="22" t="s">
        <v>29</v>
      </c>
      <c r="L469" s="23"/>
      <c r="M469" s="24"/>
      <c r="N469" s="25"/>
      <c r="O469" s="26" t="s">
        <v>30</v>
      </c>
      <c r="P469" s="14">
        <v>1.0</v>
      </c>
      <c r="Q469" s="14">
        <v>0.0</v>
      </c>
      <c r="R469" s="27">
        <v>0.0</v>
      </c>
      <c r="S469" s="33">
        <v>0.0</v>
      </c>
      <c r="T469" s="28">
        <v>1.0</v>
      </c>
      <c r="U469" s="33">
        <v>0.0</v>
      </c>
      <c r="V469" s="14">
        <v>0.0</v>
      </c>
      <c r="W469" s="14">
        <v>0.0</v>
      </c>
      <c r="X469" s="56" t="s">
        <v>665</v>
      </c>
      <c r="Y469" s="30" t="s">
        <v>32</v>
      </c>
      <c r="Z469" s="29">
        <v>2.672499930101E12</v>
      </c>
      <c r="AA469" s="32" t="s">
        <v>33</v>
      </c>
      <c r="AB469" s="25">
        <v>41.0</v>
      </c>
    </row>
    <row r="470" ht="19.5" hidden="1" customHeight="1">
      <c r="A470" s="14">
        <v>4.0</v>
      </c>
      <c r="B470" s="15">
        <v>45981.0</v>
      </c>
      <c r="C470" s="16" t="s">
        <v>46</v>
      </c>
      <c r="D470" s="17">
        <v>2.0</v>
      </c>
      <c r="E470" s="18">
        <v>0.24513888888888888</v>
      </c>
      <c r="F470" s="34">
        <v>0.25972222222222224</v>
      </c>
      <c r="G470" s="33">
        <v>43.0</v>
      </c>
      <c r="H470" s="14" t="s">
        <v>139</v>
      </c>
      <c r="I470" s="14" t="s">
        <v>48</v>
      </c>
      <c r="J470" s="21" t="s">
        <v>49</v>
      </c>
      <c r="K470" s="22" t="s">
        <v>109</v>
      </c>
      <c r="L470" s="23" t="s">
        <v>38</v>
      </c>
      <c r="M470" s="24" t="s">
        <v>39</v>
      </c>
      <c r="N470" s="25" t="s">
        <v>40</v>
      </c>
      <c r="O470" s="26" t="s">
        <v>30</v>
      </c>
      <c r="P470" s="14">
        <v>5.0</v>
      </c>
      <c r="Q470" s="14">
        <v>0.0</v>
      </c>
      <c r="R470" s="27">
        <v>0.0</v>
      </c>
      <c r="S470" s="33">
        <v>0.0</v>
      </c>
      <c r="T470" s="28">
        <v>5.0</v>
      </c>
      <c r="U470" s="33">
        <v>0.0</v>
      </c>
      <c r="V470" s="14">
        <v>0.0</v>
      </c>
      <c r="W470" s="14">
        <v>0.0</v>
      </c>
      <c r="X470" s="56" t="s">
        <v>666</v>
      </c>
      <c r="Y470" s="30" t="s">
        <v>61</v>
      </c>
      <c r="Z470" s="29">
        <v>2.268183810101E12</v>
      </c>
      <c r="AA470" s="32" t="s">
        <v>33</v>
      </c>
      <c r="AB470" s="25">
        <v>37.0</v>
      </c>
    </row>
    <row r="471" ht="19.5" hidden="1" customHeight="1">
      <c r="A471" s="14">
        <v>5.0</v>
      </c>
      <c r="B471" s="15">
        <v>45981.0</v>
      </c>
      <c r="C471" s="16" t="s">
        <v>46</v>
      </c>
      <c r="D471" s="17" t="s">
        <v>50</v>
      </c>
      <c r="E471" s="18">
        <v>0.24722222222222223</v>
      </c>
      <c r="F471" s="34">
        <v>0.33194444444444443</v>
      </c>
      <c r="G471" s="33">
        <v>33.0</v>
      </c>
      <c r="H471" s="14" t="s">
        <v>62</v>
      </c>
      <c r="I471" s="14" t="s">
        <v>48</v>
      </c>
      <c r="J471" s="21" t="s">
        <v>87</v>
      </c>
      <c r="K471" s="22" t="s">
        <v>75</v>
      </c>
      <c r="L471" s="23" t="s">
        <v>54</v>
      </c>
      <c r="M471" s="24" t="s">
        <v>55</v>
      </c>
      <c r="N471" s="25" t="s">
        <v>159</v>
      </c>
      <c r="O471" s="26" t="s">
        <v>30</v>
      </c>
      <c r="P471" s="14">
        <v>0.0</v>
      </c>
      <c r="Q471" s="14">
        <v>0.0</v>
      </c>
      <c r="R471" s="27">
        <v>0.0</v>
      </c>
      <c r="S471" s="33">
        <v>0.0</v>
      </c>
      <c r="T471" s="28">
        <v>0.0</v>
      </c>
      <c r="U471" s="33">
        <v>0.0</v>
      </c>
      <c r="V471" s="14">
        <v>0.0</v>
      </c>
      <c r="W471" s="14">
        <v>0.0</v>
      </c>
      <c r="X471" s="56" t="s">
        <v>44</v>
      </c>
      <c r="Y471" s="30" t="s">
        <v>44</v>
      </c>
      <c r="Z471" s="29" t="s">
        <v>44</v>
      </c>
      <c r="AA471" s="32" t="s">
        <v>45</v>
      </c>
      <c r="AB471" s="25" t="s">
        <v>44</v>
      </c>
    </row>
    <row r="472" ht="19.5" hidden="1" customHeight="1">
      <c r="A472" s="14">
        <v>6.0</v>
      </c>
      <c r="B472" s="15">
        <v>45981.0</v>
      </c>
      <c r="C472" s="16" t="s">
        <v>46</v>
      </c>
      <c r="D472" s="17" t="s">
        <v>50</v>
      </c>
      <c r="E472" s="18">
        <v>0.2604166666666667</v>
      </c>
      <c r="F472" s="34">
        <v>0.33194444444444443</v>
      </c>
      <c r="G472" s="33">
        <v>29.0</v>
      </c>
      <c r="H472" s="14" t="s">
        <v>99</v>
      </c>
      <c r="I472" s="14" t="s">
        <v>88</v>
      </c>
      <c r="J472" s="21" t="s">
        <v>87</v>
      </c>
      <c r="K472" s="22" t="s">
        <v>75</v>
      </c>
      <c r="L472" s="23" t="s">
        <v>54</v>
      </c>
      <c r="M472" s="24" t="s">
        <v>55</v>
      </c>
      <c r="N472" s="25"/>
      <c r="O472" s="26" t="s">
        <v>30</v>
      </c>
      <c r="P472" s="14">
        <v>0.0</v>
      </c>
      <c r="Q472" s="14">
        <v>0.0</v>
      </c>
      <c r="R472" s="27">
        <v>0.0</v>
      </c>
      <c r="S472" s="33">
        <v>0.0</v>
      </c>
      <c r="T472" s="28">
        <v>0.0</v>
      </c>
      <c r="U472" s="33">
        <v>0.0</v>
      </c>
      <c r="V472" s="14">
        <v>0.0</v>
      </c>
      <c r="W472" s="14">
        <v>0.0</v>
      </c>
      <c r="X472" s="56" t="s">
        <v>44</v>
      </c>
      <c r="Y472" s="30" t="s">
        <v>44</v>
      </c>
      <c r="Z472" s="29" t="s">
        <v>44</v>
      </c>
      <c r="AA472" s="32" t="s">
        <v>45</v>
      </c>
      <c r="AB472" s="29" t="s">
        <v>44</v>
      </c>
    </row>
    <row r="473" ht="19.5" hidden="1" customHeight="1">
      <c r="A473" s="14">
        <v>7.0</v>
      </c>
      <c r="B473" s="15">
        <v>45981.0</v>
      </c>
      <c r="C473" s="16" t="s">
        <v>46</v>
      </c>
      <c r="D473" s="17">
        <v>1.0</v>
      </c>
      <c r="E473" s="18">
        <v>0.2763888888888889</v>
      </c>
      <c r="F473" s="34">
        <v>0.3680555555555556</v>
      </c>
      <c r="G473" s="33">
        <v>48.0</v>
      </c>
      <c r="H473" s="14">
        <v>1134.0</v>
      </c>
      <c r="I473" s="14" t="s">
        <v>59</v>
      </c>
      <c r="J473" s="21" t="s">
        <v>37</v>
      </c>
      <c r="K473" s="22" t="s">
        <v>63</v>
      </c>
      <c r="L473" s="23" t="s">
        <v>38</v>
      </c>
      <c r="M473" s="24" t="s">
        <v>113</v>
      </c>
      <c r="N473" s="25" t="s">
        <v>40</v>
      </c>
      <c r="O473" s="26" t="s">
        <v>30</v>
      </c>
      <c r="P473" s="14">
        <v>2.0</v>
      </c>
      <c r="Q473" s="14">
        <v>0.0</v>
      </c>
      <c r="R473" s="27">
        <v>0.0</v>
      </c>
      <c r="S473" s="33">
        <v>0.0</v>
      </c>
      <c r="T473" s="28">
        <v>2.0</v>
      </c>
      <c r="U473" s="33">
        <v>0.0</v>
      </c>
      <c r="V473" s="14">
        <v>0.0</v>
      </c>
      <c r="W473" s="14">
        <v>0.0</v>
      </c>
      <c r="X473" s="35" t="s">
        <v>667</v>
      </c>
      <c r="Y473" s="30" t="s">
        <v>61</v>
      </c>
      <c r="Z473" s="35">
        <v>2.61588931015E11</v>
      </c>
      <c r="AA473" s="32" t="s">
        <v>33</v>
      </c>
      <c r="AB473" s="25">
        <v>32.0</v>
      </c>
    </row>
    <row r="474" ht="19.5" hidden="1" customHeight="1">
      <c r="A474" s="14">
        <v>8.0</v>
      </c>
      <c r="B474" s="53">
        <v>45981.0</v>
      </c>
      <c r="C474" s="16" t="s">
        <v>46</v>
      </c>
      <c r="D474" s="17">
        <v>1.0</v>
      </c>
      <c r="E474" s="18">
        <v>0.35833333333333334</v>
      </c>
      <c r="F474" s="34">
        <v>0.51875</v>
      </c>
      <c r="G474" s="33" t="s">
        <v>668</v>
      </c>
      <c r="H474" s="14" t="s">
        <v>94</v>
      </c>
      <c r="I474" s="14" t="s">
        <v>59</v>
      </c>
      <c r="J474" s="21" t="s">
        <v>53</v>
      </c>
      <c r="K474" s="22" t="s">
        <v>75</v>
      </c>
      <c r="L474" s="23" t="s">
        <v>54</v>
      </c>
      <c r="M474" s="24" t="s">
        <v>76</v>
      </c>
      <c r="N474" s="25" t="s">
        <v>669</v>
      </c>
      <c r="O474" s="26" t="s">
        <v>30</v>
      </c>
      <c r="P474" s="14">
        <v>0.0</v>
      </c>
      <c r="Q474" s="14">
        <v>0.0</v>
      </c>
      <c r="R474" s="27">
        <v>0.0</v>
      </c>
      <c r="S474" s="33">
        <v>0.0</v>
      </c>
      <c r="T474" s="28">
        <v>0.0</v>
      </c>
      <c r="U474" s="33">
        <v>0.0</v>
      </c>
      <c r="V474" s="14">
        <v>0.0</v>
      </c>
      <c r="W474" s="14">
        <v>0.0</v>
      </c>
      <c r="X474" s="56" t="s">
        <v>44</v>
      </c>
      <c r="Y474" s="30" t="s">
        <v>44</v>
      </c>
      <c r="Z474" s="29" t="s">
        <v>44</v>
      </c>
      <c r="AA474" s="32" t="s">
        <v>45</v>
      </c>
      <c r="AB474" s="25" t="s">
        <v>44</v>
      </c>
    </row>
    <row r="475" ht="19.5" hidden="1" customHeight="1">
      <c r="A475" s="14">
        <v>9.0</v>
      </c>
      <c r="B475" s="53">
        <v>45981.0</v>
      </c>
      <c r="C475" s="16" t="s">
        <v>46</v>
      </c>
      <c r="D475" s="17">
        <v>1.0</v>
      </c>
      <c r="E475" s="18">
        <v>0.39305555555555555</v>
      </c>
      <c r="F475" s="34">
        <v>0.4777777777777778</v>
      </c>
      <c r="G475" s="33">
        <v>60.0</v>
      </c>
      <c r="H475" s="14" t="s">
        <v>173</v>
      </c>
      <c r="I475" s="14" t="s">
        <v>52</v>
      </c>
      <c r="J475" s="21" t="s">
        <v>37</v>
      </c>
      <c r="K475" s="22" t="s">
        <v>29</v>
      </c>
      <c r="L475" s="23" t="s">
        <v>54</v>
      </c>
      <c r="M475" s="24" t="s">
        <v>64</v>
      </c>
      <c r="N475" s="25" t="s">
        <v>396</v>
      </c>
      <c r="O475" s="26" t="s">
        <v>30</v>
      </c>
      <c r="P475" s="14">
        <v>2.0</v>
      </c>
      <c r="Q475" s="14">
        <v>0.0</v>
      </c>
      <c r="R475" s="27">
        <v>0.0</v>
      </c>
      <c r="S475" s="33">
        <v>0.0</v>
      </c>
      <c r="T475" s="28">
        <v>2.0</v>
      </c>
      <c r="U475" s="33">
        <v>0.0</v>
      </c>
      <c r="V475" s="14">
        <v>0.0</v>
      </c>
      <c r="W475" s="14">
        <v>0.0</v>
      </c>
      <c r="X475" s="35" t="s">
        <v>670</v>
      </c>
      <c r="Y475" s="30" t="s">
        <v>32</v>
      </c>
      <c r="Z475" s="35">
        <v>2.273143790115E12</v>
      </c>
      <c r="AA475" s="32" t="s">
        <v>33</v>
      </c>
      <c r="AB475" s="25">
        <v>42.0</v>
      </c>
    </row>
    <row r="476" ht="19.5" hidden="1" customHeight="1">
      <c r="A476" s="14">
        <v>10.0</v>
      </c>
      <c r="B476" s="53">
        <v>45981.0</v>
      </c>
      <c r="C476" s="16" t="s">
        <v>46</v>
      </c>
      <c r="D476" s="17">
        <v>1.0</v>
      </c>
      <c r="E476" s="18">
        <v>0.4583333333333333</v>
      </c>
      <c r="F476" s="34">
        <v>0.46041666666666664</v>
      </c>
      <c r="G476" s="33">
        <v>22.3</v>
      </c>
      <c r="H476" s="14" t="s">
        <v>150</v>
      </c>
      <c r="I476" s="14" t="s">
        <v>52</v>
      </c>
      <c r="J476" s="21" t="s">
        <v>37</v>
      </c>
      <c r="K476" s="22" t="s">
        <v>100</v>
      </c>
      <c r="L476" s="23" t="s">
        <v>54</v>
      </c>
      <c r="M476" s="24" t="s">
        <v>64</v>
      </c>
      <c r="N476" s="25" t="s">
        <v>671</v>
      </c>
      <c r="O476" s="26" t="s">
        <v>30</v>
      </c>
      <c r="P476" s="14">
        <v>2.0</v>
      </c>
      <c r="Q476" s="14">
        <v>0.0</v>
      </c>
      <c r="R476" s="27">
        <v>0.0</v>
      </c>
      <c r="S476" s="33">
        <v>0.0</v>
      </c>
      <c r="T476" s="25">
        <v>2.0</v>
      </c>
      <c r="U476" s="33">
        <v>0.0</v>
      </c>
      <c r="V476" s="14">
        <v>0.0</v>
      </c>
      <c r="W476" s="14">
        <v>0.0</v>
      </c>
      <c r="X476" s="56" t="s">
        <v>672</v>
      </c>
      <c r="Y476" s="30" t="s">
        <v>61</v>
      </c>
      <c r="Z476" s="29">
        <v>2.351750481219E12</v>
      </c>
      <c r="AA476" s="32" t="s">
        <v>33</v>
      </c>
      <c r="AB476" s="25">
        <v>48.0</v>
      </c>
    </row>
    <row r="477" ht="19.5" hidden="1" customHeight="1">
      <c r="A477" s="14">
        <v>11.0</v>
      </c>
      <c r="B477" s="53">
        <v>45981.0</v>
      </c>
      <c r="C477" s="16" t="s">
        <v>46</v>
      </c>
      <c r="D477" s="17">
        <v>1.0</v>
      </c>
      <c r="E477" s="18">
        <v>0.46458333333333335</v>
      </c>
      <c r="F477" s="34">
        <v>0.46944444444444444</v>
      </c>
      <c r="G477" s="33">
        <v>23.0</v>
      </c>
      <c r="H477" s="14" t="s">
        <v>150</v>
      </c>
      <c r="I477" s="14" t="s">
        <v>52</v>
      </c>
      <c r="J477" s="21" t="s">
        <v>37</v>
      </c>
      <c r="K477" s="22" t="s">
        <v>63</v>
      </c>
      <c r="L477" s="23" t="s">
        <v>54</v>
      </c>
      <c r="M477" s="24" t="s">
        <v>64</v>
      </c>
      <c r="N477" s="25" t="s">
        <v>159</v>
      </c>
      <c r="O477" s="26" t="s">
        <v>30</v>
      </c>
      <c r="P477" s="14">
        <v>2.0</v>
      </c>
      <c r="Q477" s="14">
        <v>0.0</v>
      </c>
      <c r="R477" s="27">
        <v>0.0</v>
      </c>
      <c r="S477" s="33">
        <v>0.0</v>
      </c>
      <c r="T477" s="28">
        <v>2.0</v>
      </c>
      <c r="U477" s="33">
        <v>0.0</v>
      </c>
      <c r="V477" s="14">
        <v>0.0</v>
      </c>
      <c r="W477" s="14">
        <v>0.0</v>
      </c>
      <c r="X477" s="35" t="s">
        <v>673</v>
      </c>
      <c r="Y477" s="30" t="s">
        <v>85</v>
      </c>
      <c r="Z477" s="35">
        <v>2.455241502203E12</v>
      </c>
      <c r="AA477" s="32" t="s">
        <v>33</v>
      </c>
      <c r="AB477" s="25">
        <v>48.0</v>
      </c>
    </row>
    <row r="478" ht="19.5" hidden="1" customHeight="1">
      <c r="A478" s="14">
        <v>12.0</v>
      </c>
      <c r="B478" s="53">
        <v>45981.0</v>
      </c>
      <c r="C478" s="16" t="s">
        <v>34</v>
      </c>
      <c r="D478" s="17">
        <v>1.0</v>
      </c>
      <c r="E478" s="18">
        <v>0.475</v>
      </c>
      <c r="F478" s="34">
        <v>0.5034722222222222</v>
      </c>
      <c r="G478" s="33">
        <v>85.0</v>
      </c>
      <c r="H478" s="14">
        <v>1125.0</v>
      </c>
      <c r="I478" s="14" t="s">
        <v>36</v>
      </c>
      <c r="J478" s="21" t="s">
        <v>37</v>
      </c>
      <c r="K478" s="22" t="s">
        <v>91</v>
      </c>
      <c r="L478" s="23" t="s">
        <v>38</v>
      </c>
      <c r="M478" s="24" t="s">
        <v>510</v>
      </c>
      <c r="N478" s="25" t="s">
        <v>40</v>
      </c>
      <c r="O478" s="26" t="s">
        <v>674</v>
      </c>
      <c r="P478" s="14">
        <v>30.0</v>
      </c>
      <c r="Q478" s="14">
        <v>0.0</v>
      </c>
      <c r="R478" s="27">
        <v>1.0</v>
      </c>
      <c r="S478" s="33">
        <v>0.0</v>
      </c>
      <c r="T478" s="28">
        <v>30.0</v>
      </c>
      <c r="U478" s="33">
        <v>0.0</v>
      </c>
      <c r="V478" s="14">
        <v>0.0</v>
      </c>
      <c r="W478" s="14">
        <v>0.0</v>
      </c>
      <c r="X478" s="40" t="s">
        <v>675</v>
      </c>
      <c r="Y478" s="30" t="s">
        <v>32</v>
      </c>
      <c r="Z478" s="35">
        <v>2.691202030101E12</v>
      </c>
      <c r="AA478" s="32" t="s">
        <v>33</v>
      </c>
      <c r="AB478" s="25">
        <v>58.0</v>
      </c>
    </row>
    <row r="479" ht="19.5" hidden="1" customHeight="1">
      <c r="A479" s="14">
        <v>13.0</v>
      </c>
      <c r="B479" s="53">
        <v>45981.0</v>
      </c>
      <c r="C479" s="16" t="s">
        <v>46</v>
      </c>
      <c r="D479" s="17">
        <v>1.0</v>
      </c>
      <c r="E479" s="18">
        <v>0.48819444444444443</v>
      </c>
      <c r="F479" s="34">
        <v>0.4895833333333333</v>
      </c>
      <c r="G479" s="33">
        <v>0.0</v>
      </c>
      <c r="H479" s="14">
        <v>1104.0</v>
      </c>
      <c r="I479" s="14" t="s">
        <v>143</v>
      </c>
      <c r="J479" s="21" t="s">
        <v>144</v>
      </c>
      <c r="K479" s="22" t="s">
        <v>63</v>
      </c>
      <c r="L479" s="23" t="s">
        <v>54</v>
      </c>
      <c r="M479" s="24" t="s">
        <v>235</v>
      </c>
      <c r="N479" s="25" t="s">
        <v>159</v>
      </c>
      <c r="O479" s="26" t="s">
        <v>30</v>
      </c>
      <c r="P479" s="14">
        <v>1.0</v>
      </c>
      <c r="Q479" s="14">
        <v>0.0</v>
      </c>
      <c r="R479" s="27">
        <v>0.0</v>
      </c>
      <c r="S479" s="33">
        <v>0.0</v>
      </c>
      <c r="T479" s="28">
        <v>1.0</v>
      </c>
      <c r="U479" s="33">
        <v>0.0</v>
      </c>
      <c r="V479" s="14">
        <v>0.0</v>
      </c>
      <c r="W479" s="14">
        <v>0.0</v>
      </c>
      <c r="X479" s="56" t="s">
        <v>44</v>
      </c>
      <c r="Y479" s="30" t="s">
        <v>44</v>
      </c>
      <c r="Z479" s="56" t="s">
        <v>44</v>
      </c>
      <c r="AA479" s="32" t="s">
        <v>45</v>
      </c>
      <c r="AB479" s="56" t="s">
        <v>44</v>
      </c>
    </row>
    <row r="480" ht="19.5" hidden="1" customHeight="1">
      <c r="A480" s="14">
        <v>14.0</v>
      </c>
      <c r="B480" s="15">
        <v>45981.0</v>
      </c>
      <c r="C480" s="16" t="s">
        <v>46</v>
      </c>
      <c r="D480" s="17">
        <v>1.0</v>
      </c>
      <c r="E480" s="18">
        <v>0.4444444444444444</v>
      </c>
      <c r="F480" s="34">
        <v>0.7152777777777778</v>
      </c>
      <c r="G480" s="33">
        <v>53.0</v>
      </c>
      <c r="H480" s="14">
        <v>1134.0</v>
      </c>
      <c r="I480" s="14" t="s">
        <v>59</v>
      </c>
      <c r="J480" s="21" t="s">
        <v>53</v>
      </c>
      <c r="K480" s="22" t="s">
        <v>75</v>
      </c>
      <c r="L480" s="23" t="s">
        <v>54</v>
      </c>
      <c r="M480" s="24" t="s">
        <v>76</v>
      </c>
      <c r="N480" s="25" t="s">
        <v>669</v>
      </c>
      <c r="O480" s="26" t="s">
        <v>30</v>
      </c>
      <c r="P480" s="14">
        <v>15.0</v>
      </c>
      <c r="Q480" s="14">
        <v>0.0</v>
      </c>
      <c r="R480" s="27">
        <v>0.0</v>
      </c>
      <c r="S480" s="33">
        <v>0.0</v>
      </c>
      <c r="T480" s="28">
        <v>15.0</v>
      </c>
      <c r="U480" s="33">
        <v>0.0</v>
      </c>
      <c r="V480" s="14">
        <v>0.0</v>
      </c>
      <c r="W480" s="14">
        <v>0.0</v>
      </c>
      <c r="X480" s="56" t="s">
        <v>44</v>
      </c>
      <c r="Y480" s="56" t="s">
        <v>44</v>
      </c>
      <c r="Z480" s="56" t="s">
        <v>44</v>
      </c>
      <c r="AA480" s="56" t="s">
        <v>44</v>
      </c>
      <c r="AB480" s="56" t="s">
        <v>44</v>
      </c>
    </row>
    <row r="481" ht="19.5" hidden="1" customHeight="1">
      <c r="A481" s="14">
        <v>15.0</v>
      </c>
      <c r="B481" s="15">
        <v>45981.0</v>
      </c>
      <c r="C481" s="16" t="s">
        <v>46</v>
      </c>
      <c r="D481" s="17">
        <v>1.0</v>
      </c>
      <c r="E481" s="18">
        <v>0.5527777777777778</v>
      </c>
      <c r="F481" s="34">
        <v>0.5652777777777778</v>
      </c>
      <c r="G481" s="33">
        <v>39.0</v>
      </c>
      <c r="H481" s="14" t="s">
        <v>150</v>
      </c>
      <c r="I481" s="14" t="s">
        <v>224</v>
      </c>
      <c r="J481" s="21" t="s">
        <v>87</v>
      </c>
      <c r="K481" s="22" t="s">
        <v>100</v>
      </c>
      <c r="L481" s="23" t="s">
        <v>54</v>
      </c>
      <c r="M481" s="24" t="s">
        <v>67</v>
      </c>
      <c r="N481" s="25" t="s">
        <v>159</v>
      </c>
      <c r="O481" s="26" t="s">
        <v>30</v>
      </c>
      <c r="P481" s="14">
        <v>3.0</v>
      </c>
      <c r="Q481" s="14">
        <v>0.0</v>
      </c>
      <c r="R481" s="27">
        <v>0.0</v>
      </c>
      <c r="S481" s="33">
        <v>0.0</v>
      </c>
      <c r="T481" s="28">
        <v>3.0</v>
      </c>
      <c r="U481" s="33">
        <v>0.0</v>
      </c>
      <c r="V481" s="14">
        <v>0.0</v>
      </c>
      <c r="W481" s="14">
        <v>0.0</v>
      </c>
      <c r="X481" s="25" t="s">
        <v>676</v>
      </c>
      <c r="Y481" s="30" t="s">
        <v>85</v>
      </c>
      <c r="Z481" s="29">
        <v>2.502946990302E12</v>
      </c>
      <c r="AA481" s="32" t="s">
        <v>33</v>
      </c>
      <c r="AB481" s="25">
        <v>42.0</v>
      </c>
    </row>
    <row r="482" ht="19.5" hidden="1" customHeight="1">
      <c r="A482" s="14">
        <v>16.0</v>
      </c>
      <c r="B482" s="15">
        <v>45981.0</v>
      </c>
      <c r="C482" s="16" t="s">
        <v>46</v>
      </c>
      <c r="D482" s="17">
        <v>1.0</v>
      </c>
      <c r="E482" s="18">
        <v>0.5972222222222222</v>
      </c>
      <c r="F482" s="34">
        <v>0.6159722222222223</v>
      </c>
      <c r="G482" s="33">
        <v>23.0</v>
      </c>
      <c r="H482" s="14" t="s">
        <v>99</v>
      </c>
      <c r="I482" s="14" t="s">
        <v>88</v>
      </c>
      <c r="J482" s="21" t="s">
        <v>49</v>
      </c>
      <c r="K482" s="22" t="s">
        <v>100</v>
      </c>
      <c r="L482" s="23" t="s">
        <v>54</v>
      </c>
      <c r="M482" s="24" t="s">
        <v>67</v>
      </c>
      <c r="N482" s="25" t="s">
        <v>159</v>
      </c>
      <c r="O482" s="26" t="s">
        <v>30</v>
      </c>
      <c r="P482" s="14">
        <v>1.0</v>
      </c>
      <c r="Q482" s="14">
        <v>0.0</v>
      </c>
      <c r="R482" s="27">
        <v>0.0</v>
      </c>
      <c r="S482" s="33">
        <v>0.0</v>
      </c>
      <c r="T482" s="28">
        <v>0.0</v>
      </c>
      <c r="U482" s="33">
        <v>0.0</v>
      </c>
      <c r="V482" s="14">
        <v>0.0</v>
      </c>
      <c r="W482" s="14">
        <v>0.0</v>
      </c>
      <c r="X482" s="56" t="s">
        <v>677</v>
      </c>
      <c r="Y482" s="30" t="s">
        <v>61</v>
      </c>
      <c r="Z482" s="29">
        <v>2.964272761204E12</v>
      </c>
      <c r="AA482" s="32" t="s">
        <v>33</v>
      </c>
      <c r="AB482" s="25">
        <v>24.0</v>
      </c>
    </row>
    <row r="483" ht="19.5" hidden="1" customHeight="1">
      <c r="A483" s="14">
        <v>17.0</v>
      </c>
      <c r="B483" s="15">
        <v>45981.0</v>
      </c>
      <c r="C483" s="16" t="s">
        <v>125</v>
      </c>
      <c r="D483" s="17">
        <v>1.0</v>
      </c>
      <c r="E483" s="18">
        <v>0.6909722222222222</v>
      </c>
      <c r="F483" s="34">
        <v>0.7291666666666666</v>
      </c>
      <c r="G483" s="33">
        <v>152.0</v>
      </c>
      <c r="H483" s="14" t="s">
        <v>126</v>
      </c>
      <c r="I483" s="14" t="s">
        <v>36</v>
      </c>
      <c r="J483" s="21" t="s">
        <v>53</v>
      </c>
      <c r="K483" s="22" t="s">
        <v>678</v>
      </c>
      <c r="L483" s="23" t="s">
        <v>54</v>
      </c>
      <c r="M483" s="24" t="s">
        <v>64</v>
      </c>
      <c r="N483" s="25" t="s">
        <v>159</v>
      </c>
      <c r="O483" s="26" t="s">
        <v>77</v>
      </c>
      <c r="P483" s="14">
        <v>1.0</v>
      </c>
      <c r="Q483" s="14">
        <v>0.0</v>
      </c>
      <c r="R483" s="27">
        <v>0.0</v>
      </c>
      <c r="S483" s="33">
        <v>0.0</v>
      </c>
      <c r="T483" s="28">
        <v>1.0</v>
      </c>
      <c r="U483" s="33">
        <v>0.0</v>
      </c>
      <c r="V483" s="14">
        <v>0.0</v>
      </c>
      <c r="W483" s="14">
        <v>0.0</v>
      </c>
      <c r="X483" s="56" t="s">
        <v>44</v>
      </c>
      <c r="Y483" s="56" t="s">
        <v>44</v>
      </c>
      <c r="Z483" s="56" t="s">
        <v>44</v>
      </c>
      <c r="AA483" s="56" t="s">
        <v>44</v>
      </c>
      <c r="AB483" s="56" t="s">
        <v>44</v>
      </c>
    </row>
    <row r="484" ht="19.5" hidden="1" customHeight="1">
      <c r="A484" s="14">
        <v>18.0</v>
      </c>
      <c r="B484" s="15">
        <v>45981.0</v>
      </c>
      <c r="C484" s="16" t="s">
        <v>125</v>
      </c>
      <c r="D484" s="17">
        <v>1.0</v>
      </c>
      <c r="E484" s="18">
        <v>0.7055555555555556</v>
      </c>
      <c r="F484" s="34">
        <v>0.7923611111111111</v>
      </c>
      <c r="G484" s="33">
        <v>152.0</v>
      </c>
      <c r="H484" s="14" t="s">
        <v>126</v>
      </c>
      <c r="I484" s="14" t="s">
        <v>36</v>
      </c>
      <c r="J484" s="21" t="s">
        <v>53</v>
      </c>
      <c r="K484" s="22" t="s">
        <v>374</v>
      </c>
      <c r="L484" s="23" t="s">
        <v>38</v>
      </c>
      <c r="M484" s="24" t="s">
        <v>113</v>
      </c>
      <c r="N484" s="25" t="s">
        <v>40</v>
      </c>
      <c r="O484" s="26"/>
      <c r="P484" s="14">
        <v>0.0</v>
      </c>
      <c r="Q484" s="14">
        <v>0.0</v>
      </c>
      <c r="R484" s="27">
        <v>1.0</v>
      </c>
      <c r="S484" s="33">
        <v>0.0</v>
      </c>
      <c r="T484" s="28">
        <v>0.0</v>
      </c>
      <c r="U484" s="33">
        <v>0.0</v>
      </c>
      <c r="V484" s="14">
        <v>0.0</v>
      </c>
      <c r="W484" s="14">
        <v>0.0</v>
      </c>
      <c r="X484" s="56" t="s">
        <v>44</v>
      </c>
      <c r="Y484" s="56" t="s">
        <v>44</v>
      </c>
      <c r="Z484" s="56" t="s">
        <v>44</v>
      </c>
      <c r="AA484" s="56" t="s">
        <v>44</v>
      </c>
      <c r="AB484" s="56" t="s">
        <v>44</v>
      </c>
    </row>
    <row r="485" ht="19.5" hidden="1" customHeight="1">
      <c r="A485" s="14"/>
      <c r="B485" s="15">
        <v>45981.0</v>
      </c>
      <c r="C485" s="16"/>
      <c r="D485" s="17"/>
      <c r="E485" s="18"/>
      <c r="F485" s="34"/>
      <c r="G485" s="33"/>
      <c r="H485" s="14"/>
      <c r="I485" s="14"/>
      <c r="J485" s="21"/>
      <c r="K485" s="22" t="s">
        <v>89</v>
      </c>
      <c r="L485" s="23"/>
      <c r="M485" s="24"/>
      <c r="N485" s="25"/>
      <c r="O485" s="26"/>
      <c r="P485" s="14">
        <v>2.0</v>
      </c>
      <c r="Q485" s="14">
        <v>1.0</v>
      </c>
      <c r="R485" s="27">
        <v>0.0</v>
      </c>
      <c r="S485" s="33">
        <v>1.0</v>
      </c>
      <c r="T485" s="28">
        <v>0.0</v>
      </c>
      <c r="U485" s="33">
        <v>0.0</v>
      </c>
      <c r="V485" s="14">
        <v>0.0</v>
      </c>
      <c r="W485" s="14">
        <v>0.0</v>
      </c>
      <c r="X485" s="56" t="s">
        <v>679</v>
      </c>
      <c r="Y485" s="30" t="s">
        <v>259</v>
      </c>
      <c r="Z485" s="29">
        <v>3.215129600502E12</v>
      </c>
      <c r="AA485" s="32" t="s">
        <v>33</v>
      </c>
      <c r="AB485" s="25">
        <v>21.0</v>
      </c>
    </row>
    <row r="486" ht="19.5" hidden="1" customHeight="1">
      <c r="A486" s="14">
        <v>19.0</v>
      </c>
      <c r="B486" s="15">
        <v>45981.0</v>
      </c>
      <c r="C486" s="16" t="s">
        <v>34</v>
      </c>
      <c r="D486" s="17">
        <v>2.0</v>
      </c>
      <c r="E486" s="18">
        <v>0.7013888888888888</v>
      </c>
      <c r="F486" s="34">
        <v>0.8479166666666667</v>
      </c>
      <c r="G486" s="33">
        <v>78.8</v>
      </c>
      <c r="H486" s="14">
        <v>1125.0</v>
      </c>
      <c r="I486" s="14" t="s">
        <v>36</v>
      </c>
      <c r="J486" s="21" t="s">
        <v>37</v>
      </c>
      <c r="K486" s="22" t="s">
        <v>100</v>
      </c>
      <c r="L486" s="23" t="s">
        <v>38</v>
      </c>
      <c r="M486" s="24" t="s">
        <v>39</v>
      </c>
      <c r="N486" s="25" t="s">
        <v>680</v>
      </c>
      <c r="O486" s="26"/>
      <c r="P486" s="14">
        <v>1.0</v>
      </c>
      <c r="Q486" s="14">
        <v>0.0</v>
      </c>
      <c r="R486" s="27">
        <v>0.0</v>
      </c>
      <c r="S486" s="33">
        <v>0.0</v>
      </c>
      <c r="T486" s="28">
        <v>1.0</v>
      </c>
      <c r="U486" s="33">
        <v>0.0</v>
      </c>
      <c r="V486" s="14">
        <v>0.0</v>
      </c>
      <c r="W486" s="14">
        <v>0.0</v>
      </c>
      <c r="X486" s="56"/>
      <c r="Y486" s="30"/>
      <c r="Z486" s="29"/>
      <c r="AA486" s="32"/>
      <c r="AB486" s="25"/>
    </row>
    <row r="487" ht="19.5" hidden="1" customHeight="1">
      <c r="A487" s="14">
        <v>1.0</v>
      </c>
      <c r="B487" s="15">
        <v>45982.0</v>
      </c>
      <c r="C487" s="16" t="s">
        <v>78</v>
      </c>
      <c r="D487" s="17">
        <v>1.0</v>
      </c>
      <c r="E487" s="18">
        <v>0.25</v>
      </c>
      <c r="F487" s="34">
        <v>0.30069444444444443</v>
      </c>
      <c r="G487" s="33">
        <v>274.0</v>
      </c>
      <c r="H487" s="14">
        <v>1132.0</v>
      </c>
      <c r="I487" s="14" t="s">
        <v>80</v>
      </c>
      <c r="J487" s="21" t="s">
        <v>49</v>
      </c>
      <c r="K487" s="22" t="s">
        <v>29</v>
      </c>
      <c r="L487" s="23" t="s">
        <v>54</v>
      </c>
      <c r="M487" s="24" t="s">
        <v>64</v>
      </c>
      <c r="N487" s="25" t="s">
        <v>40</v>
      </c>
      <c r="O487" s="26" t="s">
        <v>30</v>
      </c>
      <c r="P487" s="14">
        <v>1.0</v>
      </c>
      <c r="Q487" s="14">
        <v>0.0</v>
      </c>
      <c r="R487" s="27">
        <v>0.0</v>
      </c>
      <c r="S487" s="33">
        <v>0.0</v>
      </c>
      <c r="T487" s="28">
        <v>1.0</v>
      </c>
      <c r="U487" s="33">
        <v>0.0</v>
      </c>
      <c r="V487" s="14">
        <v>0.0</v>
      </c>
      <c r="W487" s="14">
        <v>0.0</v>
      </c>
      <c r="X487" s="56" t="s">
        <v>681</v>
      </c>
      <c r="Y487" s="30" t="s">
        <v>115</v>
      </c>
      <c r="Z487" s="29">
        <v>3.346803951805E12</v>
      </c>
      <c r="AA487" s="32" t="s">
        <v>33</v>
      </c>
      <c r="AB487" s="25">
        <v>20.0</v>
      </c>
    </row>
    <row r="488" ht="19.5" hidden="1" customHeight="1">
      <c r="A488" s="14">
        <v>2.0</v>
      </c>
      <c r="B488" s="15">
        <v>45982.0</v>
      </c>
      <c r="C488" s="16" t="s">
        <v>71</v>
      </c>
      <c r="D488" s="17">
        <v>1.0</v>
      </c>
      <c r="E488" s="18">
        <v>0.25763888888888886</v>
      </c>
      <c r="F488" s="34">
        <v>0.5104166666666666</v>
      </c>
      <c r="G488" s="33">
        <v>194.0</v>
      </c>
      <c r="H488" s="14" t="s">
        <v>72</v>
      </c>
      <c r="I488" s="14" t="s">
        <v>73</v>
      </c>
      <c r="J488" s="21" t="s">
        <v>49</v>
      </c>
      <c r="K488" s="22" t="s">
        <v>29</v>
      </c>
      <c r="L488" s="23" t="s">
        <v>54</v>
      </c>
      <c r="M488" s="24" t="s">
        <v>64</v>
      </c>
      <c r="N488" s="25" t="s">
        <v>169</v>
      </c>
      <c r="O488" s="26" t="s">
        <v>30</v>
      </c>
      <c r="P488" s="14">
        <v>1.0</v>
      </c>
      <c r="Q488" s="14">
        <v>0.0</v>
      </c>
      <c r="R488" s="27">
        <v>0.0</v>
      </c>
      <c r="S488" s="33">
        <v>0.0</v>
      </c>
      <c r="T488" s="28">
        <v>1.0</v>
      </c>
      <c r="U488" s="33">
        <v>0.0</v>
      </c>
      <c r="V488" s="14">
        <v>0.0</v>
      </c>
      <c r="W488" s="14">
        <v>0.0</v>
      </c>
      <c r="X488" s="35" t="s">
        <v>682</v>
      </c>
      <c r="Y488" s="30" t="s">
        <v>32</v>
      </c>
      <c r="Z488" s="35">
        <v>1.896865451002E12</v>
      </c>
      <c r="AA488" s="32" t="s">
        <v>33</v>
      </c>
      <c r="AB488" s="25">
        <v>44.0</v>
      </c>
    </row>
    <row r="489" ht="19.5" hidden="1" customHeight="1">
      <c r="A489" s="14">
        <v>3.0</v>
      </c>
      <c r="B489" s="15">
        <v>45982.0</v>
      </c>
      <c r="C489" s="16" t="s">
        <v>46</v>
      </c>
      <c r="D489" s="17">
        <v>1.0</v>
      </c>
      <c r="E489" s="18">
        <v>0.2604166666666667</v>
      </c>
      <c r="F489" s="34">
        <v>0.48194444444444445</v>
      </c>
      <c r="G489" s="33">
        <v>0.0</v>
      </c>
      <c r="H489" s="14" t="s">
        <v>173</v>
      </c>
      <c r="I489" s="14" t="s">
        <v>143</v>
      </c>
      <c r="J489" s="21" t="s">
        <v>144</v>
      </c>
      <c r="K489" s="22" t="s">
        <v>75</v>
      </c>
      <c r="L489" s="23" t="s">
        <v>54</v>
      </c>
      <c r="M489" s="24" t="s">
        <v>55</v>
      </c>
      <c r="N489" s="25" t="s">
        <v>57</v>
      </c>
      <c r="O489" s="26" t="s">
        <v>30</v>
      </c>
      <c r="P489" s="14">
        <v>30.0</v>
      </c>
      <c r="Q489" s="14">
        <v>0.0</v>
      </c>
      <c r="R489" s="27">
        <v>0.0</v>
      </c>
      <c r="S489" s="33">
        <v>0.0</v>
      </c>
      <c r="T489" s="28">
        <v>30.0</v>
      </c>
      <c r="U489" s="33">
        <v>0.0</v>
      </c>
      <c r="V489" s="14">
        <v>0.0</v>
      </c>
      <c r="W489" s="14">
        <v>0.0</v>
      </c>
      <c r="X489" s="56" t="s">
        <v>44</v>
      </c>
      <c r="Y489" s="56" t="s">
        <v>44</v>
      </c>
      <c r="Z489" s="56" t="s">
        <v>44</v>
      </c>
      <c r="AA489" s="56" t="s">
        <v>44</v>
      </c>
      <c r="AB489" s="56" t="s">
        <v>44</v>
      </c>
    </row>
    <row r="490" ht="19.5" hidden="1" customHeight="1">
      <c r="A490" s="14">
        <v>4.0</v>
      </c>
      <c r="B490" s="15">
        <v>45982.0</v>
      </c>
      <c r="C490" s="16" t="s">
        <v>46</v>
      </c>
      <c r="D490" s="17">
        <v>1.0</v>
      </c>
      <c r="E490" s="18">
        <v>0.2638888888888889</v>
      </c>
      <c r="F490" s="34">
        <v>0.4826388888888889</v>
      </c>
      <c r="G490" s="33">
        <v>35.0</v>
      </c>
      <c r="H490" s="14" t="s">
        <v>99</v>
      </c>
      <c r="I490" s="14" t="s">
        <v>59</v>
      </c>
      <c r="J490" s="21" t="s">
        <v>53</v>
      </c>
      <c r="K490" s="22" t="s">
        <v>42</v>
      </c>
      <c r="L490" s="23" t="s">
        <v>54</v>
      </c>
      <c r="M490" s="24" t="s">
        <v>64</v>
      </c>
      <c r="N490" s="25" t="s">
        <v>103</v>
      </c>
      <c r="O490" s="26" t="s">
        <v>30</v>
      </c>
      <c r="P490" s="14">
        <v>2.0</v>
      </c>
      <c r="Q490" s="14">
        <v>0.0</v>
      </c>
      <c r="R490" s="27">
        <v>0.0</v>
      </c>
      <c r="S490" s="33">
        <v>0.0</v>
      </c>
      <c r="T490" s="28">
        <v>2.0</v>
      </c>
      <c r="U490" s="33">
        <v>0.0</v>
      </c>
      <c r="V490" s="14">
        <v>0.0</v>
      </c>
      <c r="W490" s="14">
        <v>0.0</v>
      </c>
      <c r="X490" s="56" t="s">
        <v>683</v>
      </c>
      <c r="Y490" s="30" t="s">
        <v>61</v>
      </c>
      <c r="Z490" s="29">
        <v>2.214107080101E12</v>
      </c>
      <c r="AA490" s="32" t="s">
        <v>33</v>
      </c>
      <c r="AB490" s="25">
        <v>35.0</v>
      </c>
    </row>
    <row r="491" ht="19.5" hidden="1" customHeight="1">
      <c r="A491" s="14">
        <v>5.0</v>
      </c>
      <c r="B491" s="15">
        <v>45982.0</v>
      </c>
      <c r="C491" s="16" t="s">
        <v>46</v>
      </c>
      <c r="D491" s="17">
        <v>1.0</v>
      </c>
      <c r="E491" s="18">
        <v>0.2701388888888889</v>
      </c>
      <c r="F491" s="34">
        <v>0.4826388888888889</v>
      </c>
      <c r="G491" s="33">
        <v>0.0</v>
      </c>
      <c r="H491" s="14" t="s">
        <v>62</v>
      </c>
      <c r="I491" s="14" t="s">
        <v>143</v>
      </c>
      <c r="J491" s="21" t="s">
        <v>144</v>
      </c>
      <c r="K491" s="22" t="s">
        <v>75</v>
      </c>
      <c r="L491" s="23" t="s">
        <v>54</v>
      </c>
      <c r="M491" s="24" t="s">
        <v>55</v>
      </c>
      <c r="N491" s="25" t="s">
        <v>57</v>
      </c>
      <c r="O491" s="26" t="s">
        <v>30</v>
      </c>
      <c r="P491" s="14">
        <v>35.0</v>
      </c>
      <c r="Q491" s="14">
        <v>0.0</v>
      </c>
      <c r="R491" s="27">
        <v>0.0</v>
      </c>
      <c r="S491" s="33">
        <v>0.0</v>
      </c>
      <c r="T491" s="28">
        <v>35.0</v>
      </c>
      <c r="U491" s="33">
        <v>0.0</v>
      </c>
      <c r="V491" s="14">
        <v>0.0</v>
      </c>
      <c r="W491" s="14">
        <v>0.0</v>
      </c>
      <c r="X491" s="56" t="s">
        <v>44</v>
      </c>
      <c r="Y491" s="56" t="s">
        <v>44</v>
      </c>
      <c r="Z491" s="56" t="s">
        <v>44</v>
      </c>
      <c r="AA491" s="56" t="s">
        <v>44</v>
      </c>
      <c r="AB491" s="56" t="s">
        <v>44</v>
      </c>
    </row>
    <row r="492" ht="19.5" hidden="1" customHeight="1">
      <c r="A492" s="14"/>
      <c r="B492" s="15">
        <v>45982.0</v>
      </c>
      <c r="C492" s="16"/>
      <c r="D492" s="17"/>
      <c r="E492" s="18"/>
      <c r="F492" s="34"/>
      <c r="G492" s="33"/>
      <c r="H492" s="14"/>
      <c r="I492" s="14"/>
      <c r="J492" s="21"/>
      <c r="K492" s="22" t="s">
        <v>29</v>
      </c>
      <c r="L492" s="23"/>
      <c r="M492" s="24"/>
      <c r="N492" s="25"/>
      <c r="O492" s="26"/>
      <c r="P492" s="14">
        <v>1.0</v>
      </c>
      <c r="Q492" s="14">
        <v>0.0</v>
      </c>
      <c r="R492" s="27">
        <v>0.0</v>
      </c>
      <c r="S492" s="33">
        <v>0.0</v>
      </c>
      <c r="T492" s="28">
        <v>1.0</v>
      </c>
      <c r="U492" s="33">
        <v>0.0</v>
      </c>
      <c r="V492" s="14">
        <v>0.0</v>
      </c>
      <c r="W492" s="14">
        <v>0.0</v>
      </c>
      <c r="X492" s="40" t="s">
        <v>684</v>
      </c>
      <c r="Y492" s="30" t="s">
        <v>32</v>
      </c>
      <c r="Z492" s="40">
        <v>2.323865791001E12</v>
      </c>
      <c r="AA492" s="32" t="s">
        <v>33</v>
      </c>
      <c r="AB492" s="25">
        <v>62.0</v>
      </c>
    </row>
    <row r="493" ht="19.5" hidden="1" customHeight="1">
      <c r="A493" s="14">
        <v>6.0</v>
      </c>
      <c r="B493" s="15">
        <v>45982.0</v>
      </c>
      <c r="C493" s="16" t="s">
        <v>243</v>
      </c>
      <c r="D493" s="17">
        <v>2.0</v>
      </c>
      <c r="E493" s="18">
        <v>0.2972222222222222</v>
      </c>
      <c r="F493" s="34">
        <v>0.7375</v>
      </c>
      <c r="G493" s="33">
        <v>266.0</v>
      </c>
      <c r="H493" s="14" t="s">
        <v>249</v>
      </c>
      <c r="I493" s="14" t="s">
        <v>48</v>
      </c>
      <c r="J493" s="21" t="s">
        <v>49</v>
      </c>
      <c r="K493" s="22" t="s">
        <v>29</v>
      </c>
      <c r="L493" s="23" t="s">
        <v>38</v>
      </c>
      <c r="M493" s="24" t="s">
        <v>39</v>
      </c>
      <c r="N493" s="25" t="s">
        <v>40</v>
      </c>
      <c r="O493" s="26"/>
      <c r="P493" s="14">
        <v>0.0</v>
      </c>
      <c r="Q493" s="14">
        <v>1.0</v>
      </c>
      <c r="R493" s="27">
        <v>0.0</v>
      </c>
      <c r="S493" s="33">
        <v>1.0</v>
      </c>
      <c r="T493" s="28">
        <v>0.0</v>
      </c>
      <c r="U493" s="33">
        <v>0.0</v>
      </c>
      <c r="V493" s="14">
        <v>0.0</v>
      </c>
      <c r="W493" s="14">
        <v>0.0</v>
      </c>
      <c r="X493" s="40" t="s">
        <v>685</v>
      </c>
      <c r="Y493" s="30" t="s">
        <v>32</v>
      </c>
      <c r="Z493" s="40">
        <v>1.600205301604E12</v>
      </c>
      <c r="AA493" s="32" t="s">
        <v>33</v>
      </c>
      <c r="AB493" s="25">
        <v>37.0</v>
      </c>
    </row>
    <row r="494" ht="19.5" hidden="1" customHeight="1">
      <c r="A494" s="14">
        <v>7.0</v>
      </c>
      <c r="B494" s="15">
        <v>45982.0</v>
      </c>
      <c r="C494" s="16" t="s">
        <v>34</v>
      </c>
      <c r="D494" s="17" t="s">
        <v>50</v>
      </c>
      <c r="E494" s="18">
        <v>0.3138888888888889</v>
      </c>
      <c r="F494" s="34">
        <v>0.65</v>
      </c>
      <c r="G494" s="33">
        <v>66.3</v>
      </c>
      <c r="H494" s="14" t="s">
        <v>181</v>
      </c>
      <c r="I494" s="14" t="s">
        <v>36</v>
      </c>
      <c r="J494" s="21" t="s">
        <v>53</v>
      </c>
      <c r="K494" s="22" t="s">
        <v>75</v>
      </c>
      <c r="L494" s="23" t="s">
        <v>54</v>
      </c>
      <c r="M494" s="24" t="s">
        <v>76</v>
      </c>
      <c r="N494" s="25" t="s">
        <v>686</v>
      </c>
      <c r="O494" s="26"/>
      <c r="P494" s="14">
        <v>0.0</v>
      </c>
      <c r="Q494" s="14">
        <v>0.0</v>
      </c>
      <c r="R494" s="27">
        <v>0.0</v>
      </c>
      <c r="S494" s="33">
        <v>0.0</v>
      </c>
      <c r="T494" s="28">
        <v>0.0</v>
      </c>
      <c r="U494" s="33">
        <v>0.0</v>
      </c>
      <c r="V494" s="14">
        <v>0.0</v>
      </c>
      <c r="W494" s="14">
        <v>0.0</v>
      </c>
      <c r="X494" s="56" t="s">
        <v>44</v>
      </c>
      <c r="Y494" s="30" t="s">
        <v>44</v>
      </c>
      <c r="Z494" s="56" t="s">
        <v>44</v>
      </c>
      <c r="AA494" s="32" t="s">
        <v>45</v>
      </c>
      <c r="AB494" s="56" t="s">
        <v>44</v>
      </c>
    </row>
    <row r="495" ht="19.5" hidden="1" customHeight="1">
      <c r="A495" s="14">
        <v>8.0</v>
      </c>
      <c r="B495" s="15">
        <v>45982.0</v>
      </c>
      <c r="C495" s="16" t="s">
        <v>46</v>
      </c>
      <c r="D495" s="17">
        <v>1.0</v>
      </c>
      <c r="E495" s="18">
        <v>0.30416666666666664</v>
      </c>
      <c r="F495" s="34">
        <v>0.5277777777777778</v>
      </c>
      <c r="G495" s="33">
        <v>27.0</v>
      </c>
      <c r="H495" s="14">
        <v>1134.0</v>
      </c>
      <c r="I495" s="14" t="s">
        <v>52</v>
      </c>
      <c r="J495" s="21" t="s">
        <v>53</v>
      </c>
      <c r="K495" s="22" t="s">
        <v>29</v>
      </c>
      <c r="L495" s="23" t="s">
        <v>54</v>
      </c>
      <c r="M495" s="24" t="s">
        <v>526</v>
      </c>
      <c r="N495" s="25" t="s">
        <v>159</v>
      </c>
      <c r="O495" s="26"/>
      <c r="P495" s="14">
        <v>1.0</v>
      </c>
      <c r="Q495" s="14">
        <v>0.0</v>
      </c>
      <c r="R495" s="27">
        <v>0.0</v>
      </c>
      <c r="S495" s="33">
        <v>0.0</v>
      </c>
      <c r="T495" s="28">
        <v>1.0</v>
      </c>
      <c r="U495" s="33">
        <v>0.0</v>
      </c>
      <c r="V495" s="14">
        <v>0.0</v>
      </c>
      <c r="W495" s="14">
        <v>0.0</v>
      </c>
      <c r="X495" s="56" t="s">
        <v>687</v>
      </c>
      <c r="Y495" s="30" t="s">
        <v>32</v>
      </c>
      <c r="Z495" s="29">
        <v>2.005383560101E12</v>
      </c>
      <c r="AA495" s="32" t="s">
        <v>33</v>
      </c>
      <c r="AB495" s="25">
        <v>25.0</v>
      </c>
    </row>
    <row r="496" ht="19.5" hidden="1" customHeight="1">
      <c r="A496" s="14">
        <v>9.0</v>
      </c>
      <c r="B496" s="15">
        <v>45982.0</v>
      </c>
      <c r="C496" s="16" t="s">
        <v>46</v>
      </c>
      <c r="D496" s="17">
        <v>1.0</v>
      </c>
      <c r="E496" s="18">
        <v>0.3277777777777778</v>
      </c>
      <c r="F496" s="34">
        <v>0.3972222222222222</v>
      </c>
      <c r="G496" s="33">
        <v>47.5</v>
      </c>
      <c r="H496" s="14" t="s">
        <v>51</v>
      </c>
      <c r="I496" s="14" t="s">
        <v>48</v>
      </c>
      <c r="J496" s="21" t="s">
        <v>49</v>
      </c>
      <c r="K496" s="22" t="s">
        <v>109</v>
      </c>
      <c r="L496" s="23" t="s">
        <v>38</v>
      </c>
      <c r="M496" s="24" t="s">
        <v>82</v>
      </c>
      <c r="N496" s="25" t="s">
        <v>40</v>
      </c>
      <c r="O496" s="26"/>
      <c r="P496" s="14">
        <v>6.0</v>
      </c>
      <c r="Q496" s="14">
        <v>0.0</v>
      </c>
      <c r="R496" s="27">
        <v>0.0</v>
      </c>
      <c r="S496" s="33">
        <v>0.0</v>
      </c>
      <c r="T496" s="28">
        <v>6.0</v>
      </c>
      <c r="U496" s="33">
        <v>0.0</v>
      </c>
      <c r="V496" s="14">
        <v>0.0</v>
      </c>
      <c r="W496" s="14">
        <v>0.0</v>
      </c>
      <c r="X496" s="56" t="s">
        <v>688</v>
      </c>
      <c r="Y496" s="30" t="s">
        <v>61</v>
      </c>
      <c r="Z496" s="29">
        <v>3.729156200115E12</v>
      </c>
      <c r="AA496" s="32" t="s">
        <v>33</v>
      </c>
      <c r="AB496" s="25">
        <v>20.0</v>
      </c>
    </row>
    <row r="497" ht="19.5" hidden="1" customHeight="1">
      <c r="A497" s="14">
        <v>10.0</v>
      </c>
      <c r="B497" s="15">
        <v>45982.0</v>
      </c>
      <c r="C497" s="16" t="s">
        <v>46</v>
      </c>
      <c r="D497" s="17" t="s">
        <v>50</v>
      </c>
      <c r="E497" s="18">
        <v>0.38055555555555554</v>
      </c>
      <c r="F497" s="34"/>
      <c r="G497" s="45">
        <v>46900.0</v>
      </c>
      <c r="H497" s="14" t="s">
        <v>96</v>
      </c>
      <c r="I497" s="14" t="s">
        <v>48</v>
      </c>
      <c r="J497" s="21" t="s">
        <v>49</v>
      </c>
      <c r="K497" s="22" t="s">
        <v>75</v>
      </c>
      <c r="L497" s="23" t="s">
        <v>323</v>
      </c>
      <c r="M497" s="24" t="s">
        <v>689</v>
      </c>
      <c r="N497" s="25" t="s">
        <v>40</v>
      </c>
      <c r="O497" s="26"/>
      <c r="P497" s="14">
        <v>30.0</v>
      </c>
      <c r="Q497" s="14">
        <v>0.0</v>
      </c>
      <c r="R497" s="27">
        <v>0.0</v>
      </c>
      <c r="S497" s="33">
        <v>0.0</v>
      </c>
      <c r="T497" s="28">
        <v>30.0</v>
      </c>
      <c r="U497" s="33">
        <v>0.0</v>
      </c>
      <c r="V497" s="14">
        <v>0.0</v>
      </c>
      <c r="W497" s="14">
        <v>0.0</v>
      </c>
      <c r="X497" s="56" t="s">
        <v>44</v>
      </c>
      <c r="Y497" s="30" t="s">
        <v>44</v>
      </c>
      <c r="Z497" s="29" t="s">
        <v>44</v>
      </c>
      <c r="AA497" s="32" t="s">
        <v>45</v>
      </c>
      <c r="AB497" s="25" t="s">
        <v>44</v>
      </c>
    </row>
    <row r="498" ht="19.5" hidden="1" customHeight="1">
      <c r="A498" s="14">
        <v>11.0</v>
      </c>
      <c r="B498" s="15">
        <v>45982.0</v>
      </c>
      <c r="C498" s="16" t="s">
        <v>46</v>
      </c>
      <c r="D498" s="17">
        <v>1.0</v>
      </c>
      <c r="E498" s="18">
        <v>0.3854166666666667</v>
      </c>
      <c r="F498" s="34">
        <v>0.4166666666666667</v>
      </c>
      <c r="G498" s="33">
        <v>37.0</v>
      </c>
      <c r="H498" s="14" t="s">
        <v>147</v>
      </c>
      <c r="I498" s="14" t="s">
        <v>88</v>
      </c>
      <c r="J498" s="21" t="s">
        <v>87</v>
      </c>
      <c r="K498" s="22" t="s">
        <v>29</v>
      </c>
      <c r="L498" s="23" t="s">
        <v>54</v>
      </c>
      <c r="M498" s="24" t="s">
        <v>131</v>
      </c>
      <c r="N498" s="25" t="s">
        <v>159</v>
      </c>
      <c r="O498" s="26"/>
      <c r="P498" s="14">
        <v>2.0</v>
      </c>
      <c r="Q498" s="14">
        <v>0.0</v>
      </c>
      <c r="R498" s="27">
        <v>0.0</v>
      </c>
      <c r="S498" s="33">
        <v>0.0</v>
      </c>
      <c r="T498" s="28">
        <v>2.0</v>
      </c>
      <c r="U498" s="33">
        <v>0.0</v>
      </c>
      <c r="V498" s="14">
        <v>0.0</v>
      </c>
      <c r="W498" s="14">
        <v>0.0</v>
      </c>
      <c r="X498" s="29" t="s">
        <v>690</v>
      </c>
      <c r="Y498" s="41" t="s">
        <v>32</v>
      </c>
      <c r="Z498" s="29">
        <v>2.371003120512E12</v>
      </c>
      <c r="AA498" s="42" t="s">
        <v>33</v>
      </c>
      <c r="AB498" s="56">
        <v>32.0</v>
      </c>
    </row>
    <row r="499" ht="19.5" hidden="1" customHeight="1">
      <c r="A499" s="14">
        <v>12.0</v>
      </c>
      <c r="B499" s="15">
        <v>45982.0</v>
      </c>
      <c r="C499" s="16" t="s">
        <v>46</v>
      </c>
      <c r="D499" s="17" t="s">
        <v>50</v>
      </c>
      <c r="E499" s="18">
        <v>0.4270833333333333</v>
      </c>
      <c r="F499" s="34">
        <v>0.6055555555555555</v>
      </c>
      <c r="G499" s="33">
        <v>23.0</v>
      </c>
      <c r="H499" s="14" t="s">
        <v>58</v>
      </c>
      <c r="I499" s="14" t="s">
        <v>691</v>
      </c>
      <c r="J499" s="21" t="s">
        <v>37</v>
      </c>
      <c r="K499" s="22" t="s">
        <v>75</v>
      </c>
      <c r="L499" s="23" t="s">
        <v>54</v>
      </c>
      <c r="M499" s="24" t="s">
        <v>76</v>
      </c>
      <c r="N499" s="25" t="s">
        <v>692</v>
      </c>
      <c r="O499" s="26" t="s">
        <v>77</v>
      </c>
      <c r="P499" s="14">
        <v>0.0</v>
      </c>
      <c r="Q499" s="14">
        <v>0.0</v>
      </c>
      <c r="R499" s="27">
        <v>0.0</v>
      </c>
      <c r="S499" s="33">
        <v>0.0</v>
      </c>
      <c r="T499" s="28">
        <v>0.0</v>
      </c>
      <c r="U499" s="33">
        <v>0.0</v>
      </c>
      <c r="V499" s="14">
        <v>0.0</v>
      </c>
      <c r="W499" s="14">
        <v>0.0</v>
      </c>
      <c r="X499" s="56" t="s">
        <v>44</v>
      </c>
      <c r="Y499" s="30" t="s">
        <v>44</v>
      </c>
      <c r="Z499" s="29" t="s">
        <v>45</v>
      </c>
      <c r="AA499" s="32" t="s">
        <v>45</v>
      </c>
      <c r="AB499" s="25" t="s">
        <v>45</v>
      </c>
    </row>
    <row r="500" ht="19.5" hidden="1" customHeight="1">
      <c r="A500" s="14">
        <v>13.0</v>
      </c>
      <c r="B500" s="15">
        <v>45982.0</v>
      </c>
      <c r="C500" s="16" t="s">
        <v>46</v>
      </c>
      <c r="D500" s="17">
        <v>1.0</v>
      </c>
      <c r="E500" s="18">
        <v>0.51875</v>
      </c>
      <c r="F500" s="34">
        <v>0.5409722222222222</v>
      </c>
      <c r="G500" s="33">
        <v>0.0</v>
      </c>
      <c r="H500" s="14">
        <v>1121.0</v>
      </c>
      <c r="I500" s="14" t="s">
        <v>143</v>
      </c>
      <c r="J500" s="21" t="s">
        <v>144</v>
      </c>
      <c r="K500" s="22" t="s">
        <v>100</v>
      </c>
      <c r="L500" s="23" t="s">
        <v>54</v>
      </c>
      <c r="M500" s="24" t="s">
        <v>102</v>
      </c>
      <c r="N500" s="25" t="s">
        <v>693</v>
      </c>
      <c r="O500" s="26"/>
      <c r="P500" s="14">
        <v>2.0</v>
      </c>
      <c r="Q500" s="14">
        <v>0.0</v>
      </c>
      <c r="R500" s="27">
        <v>0.0</v>
      </c>
      <c r="S500" s="33">
        <v>0.0</v>
      </c>
      <c r="T500" s="28">
        <v>2.0</v>
      </c>
      <c r="U500" s="33">
        <v>0.0</v>
      </c>
      <c r="V500" s="14">
        <v>0.0</v>
      </c>
      <c r="W500" s="14"/>
      <c r="X500" s="56" t="s">
        <v>694</v>
      </c>
      <c r="Y500" s="30" t="s">
        <v>61</v>
      </c>
      <c r="Z500" s="35">
        <v>1.6513780000101E13</v>
      </c>
      <c r="AA500" s="32" t="s">
        <v>33</v>
      </c>
      <c r="AB500" s="25">
        <v>48.0</v>
      </c>
    </row>
    <row r="501" ht="19.5" hidden="1" customHeight="1">
      <c r="A501" s="14">
        <v>14.0</v>
      </c>
      <c r="B501" s="15">
        <v>45982.0</v>
      </c>
      <c r="C501" s="16" t="s">
        <v>46</v>
      </c>
      <c r="D501" s="17">
        <v>1.0</v>
      </c>
      <c r="E501" s="18">
        <v>0.30416666666666664</v>
      </c>
      <c r="F501" s="34">
        <v>0.65</v>
      </c>
      <c r="G501" s="33">
        <v>27.0</v>
      </c>
      <c r="H501" s="14">
        <v>1134.0</v>
      </c>
      <c r="I501" s="14" t="s">
        <v>52</v>
      </c>
      <c r="J501" s="21" t="s">
        <v>53</v>
      </c>
      <c r="K501" s="22" t="s">
        <v>29</v>
      </c>
      <c r="L501" s="23" t="s">
        <v>38</v>
      </c>
      <c r="M501" s="24" t="s">
        <v>82</v>
      </c>
      <c r="N501" s="25" t="s">
        <v>159</v>
      </c>
      <c r="O501" s="26"/>
      <c r="P501" s="14">
        <v>1.0</v>
      </c>
      <c r="Q501" s="14">
        <v>0.0</v>
      </c>
      <c r="R501" s="27">
        <v>0.0</v>
      </c>
      <c r="S501" s="33">
        <v>0.0</v>
      </c>
      <c r="T501" s="28">
        <v>1.0</v>
      </c>
      <c r="U501" s="33">
        <v>0.0</v>
      </c>
      <c r="V501" s="14">
        <v>0.0</v>
      </c>
      <c r="W501" s="14">
        <v>0.0</v>
      </c>
      <c r="X501" s="56" t="s">
        <v>687</v>
      </c>
      <c r="Y501" s="30" t="s">
        <v>32</v>
      </c>
      <c r="Z501" s="29">
        <v>2.005383560101E12</v>
      </c>
      <c r="AA501" s="32" t="s">
        <v>33</v>
      </c>
      <c r="AB501" s="25">
        <v>25.0</v>
      </c>
    </row>
    <row r="502" ht="19.5" hidden="1" customHeight="1">
      <c r="A502" s="14">
        <v>15.0</v>
      </c>
      <c r="B502" s="15">
        <v>45982.0</v>
      </c>
      <c r="C502" s="16" t="s">
        <v>34</v>
      </c>
      <c r="D502" s="17">
        <v>1.0</v>
      </c>
      <c r="E502" s="18">
        <v>0.5694444444444444</v>
      </c>
      <c r="F502" s="34">
        <v>0.8194444444444444</v>
      </c>
      <c r="G502" s="33">
        <v>60.0</v>
      </c>
      <c r="H502" s="14">
        <v>1131.0</v>
      </c>
      <c r="I502" s="14" t="s">
        <v>36</v>
      </c>
      <c r="J502" s="21" t="s">
        <v>87</v>
      </c>
      <c r="K502" s="22" t="s">
        <v>29</v>
      </c>
      <c r="L502" s="23" t="s">
        <v>38</v>
      </c>
      <c r="M502" s="24" t="s">
        <v>82</v>
      </c>
      <c r="N502" s="25" t="s">
        <v>695</v>
      </c>
      <c r="O502" s="26"/>
      <c r="P502" s="14"/>
      <c r="Q502" s="14"/>
      <c r="R502" s="27"/>
      <c r="S502" s="33"/>
      <c r="T502" s="28"/>
      <c r="U502" s="33"/>
      <c r="V502" s="14"/>
      <c r="W502" s="14"/>
      <c r="X502" s="56"/>
      <c r="Y502" s="30"/>
      <c r="Z502" s="29"/>
      <c r="AA502" s="32"/>
      <c r="AB502" s="25"/>
    </row>
    <row r="503" ht="19.5" hidden="1" customHeight="1">
      <c r="A503" s="14"/>
      <c r="B503" s="15">
        <v>45982.0</v>
      </c>
      <c r="C503" s="16"/>
      <c r="D503" s="17"/>
      <c r="E503" s="18"/>
      <c r="F503" s="34"/>
      <c r="G503" s="33"/>
      <c r="H503" s="14"/>
      <c r="I503" s="14"/>
      <c r="J503" s="21"/>
      <c r="K503" s="22" t="s">
        <v>42</v>
      </c>
      <c r="L503" s="23"/>
      <c r="M503" s="24"/>
      <c r="N503" s="25"/>
      <c r="O503" s="26"/>
      <c r="P503" s="14">
        <v>2.0</v>
      </c>
      <c r="Q503" s="14">
        <v>0.0</v>
      </c>
      <c r="R503" s="27">
        <v>0.0</v>
      </c>
      <c r="S503" s="33">
        <v>0.0</v>
      </c>
      <c r="T503" s="28">
        <v>2.0</v>
      </c>
      <c r="U503" s="33">
        <v>0.0</v>
      </c>
      <c r="V503" s="14">
        <v>0.0</v>
      </c>
      <c r="W503" s="14">
        <v>0.0</v>
      </c>
      <c r="X503" s="35" t="s">
        <v>696</v>
      </c>
      <c r="Y503" s="30" t="s">
        <v>85</v>
      </c>
      <c r="Z503" s="35">
        <v>2.582005230114E12</v>
      </c>
      <c r="AA503" s="32" t="s">
        <v>33</v>
      </c>
      <c r="AB503" s="25">
        <v>37.0</v>
      </c>
    </row>
    <row r="504" ht="19.5" hidden="1" customHeight="1">
      <c r="A504" s="14"/>
      <c r="B504" s="15">
        <v>45982.0</v>
      </c>
      <c r="C504" s="16"/>
      <c r="D504" s="17"/>
      <c r="E504" s="18"/>
      <c r="F504" s="34"/>
      <c r="G504" s="33"/>
      <c r="H504" s="14"/>
      <c r="I504" s="14"/>
      <c r="J504" s="21"/>
      <c r="K504" s="22" t="s">
        <v>42</v>
      </c>
      <c r="L504" s="23"/>
      <c r="M504" s="24"/>
      <c r="N504" s="25"/>
      <c r="O504" s="26"/>
      <c r="P504" s="14">
        <v>2.0</v>
      </c>
      <c r="Q504" s="14">
        <v>0.0</v>
      </c>
      <c r="R504" s="27">
        <v>0.0</v>
      </c>
      <c r="S504" s="33">
        <v>0.0</v>
      </c>
      <c r="T504" s="28">
        <v>2.0</v>
      </c>
      <c r="U504" s="33">
        <v>0.0</v>
      </c>
      <c r="V504" s="14">
        <v>0.0</v>
      </c>
      <c r="W504" s="14">
        <v>0.0</v>
      </c>
      <c r="X504" s="35" t="s">
        <v>697</v>
      </c>
      <c r="Y504" s="30" t="s">
        <v>85</v>
      </c>
      <c r="Z504" s="35">
        <v>3.308928351801E12</v>
      </c>
      <c r="AA504" s="32" t="s">
        <v>33</v>
      </c>
      <c r="AB504" s="25">
        <v>29.0</v>
      </c>
    </row>
    <row r="505" ht="19.5" hidden="1" customHeight="1">
      <c r="A505" s="14">
        <v>16.0</v>
      </c>
      <c r="B505" s="15">
        <v>45982.0</v>
      </c>
      <c r="C505" s="16" t="s">
        <v>78</v>
      </c>
      <c r="D505" s="17">
        <v>3.0</v>
      </c>
      <c r="E505" s="18">
        <v>0.6180555555555556</v>
      </c>
      <c r="F505" s="34"/>
      <c r="G505" s="33">
        <v>400.0</v>
      </c>
      <c r="H505" s="14" t="s">
        <v>79</v>
      </c>
      <c r="I505" s="14" t="s">
        <v>80</v>
      </c>
      <c r="J505" s="21" t="s">
        <v>49</v>
      </c>
      <c r="K505" s="22" t="s">
        <v>81</v>
      </c>
      <c r="L505" s="23" t="s">
        <v>38</v>
      </c>
      <c r="M505" s="24" t="s">
        <v>288</v>
      </c>
      <c r="N505" s="25" t="s">
        <v>40</v>
      </c>
      <c r="O505" s="26"/>
      <c r="P505" s="14">
        <v>3.0</v>
      </c>
      <c r="Q505" s="14">
        <v>0.0</v>
      </c>
      <c r="R505" s="27">
        <v>0.0</v>
      </c>
      <c r="S505" s="33">
        <v>0.0</v>
      </c>
      <c r="T505" s="28">
        <v>3.0</v>
      </c>
      <c r="U505" s="33">
        <v>0.0</v>
      </c>
      <c r="V505" s="14">
        <v>0.0</v>
      </c>
      <c r="W505" s="14">
        <v>0.0</v>
      </c>
      <c r="X505" s="35" t="s">
        <v>698</v>
      </c>
      <c r="Y505" s="30" t="s">
        <v>61</v>
      </c>
      <c r="Z505" s="35">
        <v>4.175782021701E13</v>
      </c>
      <c r="AA505" s="32" t="s">
        <v>33</v>
      </c>
      <c r="AB505" s="25">
        <v>20.0</v>
      </c>
    </row>
    <row r="506" ht="19.5" hidden="1" customHeight="1">
      <c r="A506" s="14">
        <v>17.0</v>
      </c>
      <c r="B506" s="15">
        <v>45982.0</v>
      </c>
      <c r="C506" s="16" t="s">
        <v>46</v>
      </c>
      <c r="D506" s="17">
        <v>1.0</v>
      </c>
      <c r="E506" s="18">
        <v>0.6375</v>
      </c>
      <c r="F506" s="34">
        <v>0.7569444444444444</v>
      </c>
      <c r="G506" s="33">
        <v>0.0</v>
      </c>
      <c r="H506" s="14" t="s">
        <v>173</v>
      </c>
      <c r="I506" s="14" t="s">
        <v>143</v>
      </c>
      <c r="J506" s="21" t="s">
        <v>87</v>
      </c>
      <c r="K506" s="22" t="s">
        <v>29</v>
      </c>
      <c r="L506" s="23" t="s">
        <v>38</v>
      </c>
      <c r="M506" s="24" t="s">
        <v>108</v>
      </c>
      <c r="N506" s="25" t="s">
        <v>699</v>
      </c>
      <c r="O506" s="26" t="s">
        <v>700</v>
      </c>
      <c r="P506" s="14">
        <v>1.0</v>
      </c>
      <c r="Q506" s="14">
        <v>0.0</v>
      </c>
      <c r="R506" s="27">
        <v>0.0</v>
      </c>
      <c r="S506" s="33">
        <v>0.0</v>
      </c>
      <c r="T506" s="28">
        <v>1.0</v>
      </c>
      <c r="U506" s="33">
        <v>0.0</v>
      </c>
      <c r="V506" s="14">
        <v>0.0</v>
      </c>
      <c r="W506" s="14">
        <v>0.0</v>
      </c>
      <c r="X506" s="56" t="s">
        <v>701</v>
      </c>
      <c r="Y506" s="30" t="s">
        <v>32</v>
      </c>
      <c r="Z506" s="29">
        <v>2.630032801601E12</v>
      </c>
      <c r="AA506" s="32" t="s">
        <v>33</v>
      </c>
      <c r="AB506" s="25">
        <v>67.0</v>
      </c>
    </row>
    <row r="507" ht="19.5" hidden="1" customHeight="1">
      <c r="A507" s="14">
        <v>18.0</v>
      </c>
      <c r="B507" s="15">
        <v>45982.0</v>
      </c>
      <c r="C507" s="16" t="s">
        <v>46</v>
      </c>
      <c r="D507" s="17">
        <v>1.0</v>
      </c>
      <c r="E507" s="18">
        <v>0.6694444444444444</v>
      </c>
      <c r="F507" s="34">
        <v>0.7506944444444444</v>
      </c>
      <c r="G507" s="33">
        <v>58.5</v>
      </c>
      <c r="H507" s="14" t="s">
        <v>98</v>
      </c>
      <c r="I507" s="14" t="s">
        <v>52</v>
      </c>
      <c r="J507" s="21" t="s">
        <v>37</v>
      </c>
      <c r="K507" s="22" t="s">
        <v>100</v>
      </c>
      <c r="L507" s="23" t="s">
        <v>54</v>
      </c>
      <c r="M507" s="24" t="s">
        <v>64</v>
      </c>
      <c r="N507" s="25" t="s">
        <v>40</v>
      </c>
      <c r="O507" s="26"/>
      <c r="P507" s="14">
        <v>1.0</v>
      </c>
      <c r="Q507" s="14">
        <v>0.0</v>
      </c>
      <c r="R507" s="27">
        <v>0.0</v>
      </c>
      <c r="S507" s="33">
        <v>0.0</v>
      </c>
      <c r="T507" s="28">
        <v>1.0</v>
      </c>
      <c r="U507" s="33">
        <v>0.0</v>
      </c>
      <c r="V507" s="14">
        <v>0.0</v>
      </c>
      <c r="W507" s="14">
        <v>0.0</v>
      </c>
      <c r="X507" s="59" t="s">
        <v>702</v>
      </c>
      <c r="Y507" s="30" t="s">
        <v>61</v>
      </c>
      <c r="Z507" s="35">
        <v>2.186128690404E12</v>
      </c>
      <c r="AA507" s="32" t="s">
        <v>33</v>
      </c>
      <c r="AB507" s="25">
        <v>53.0</v>
      </c>
    </row>
    <row r="508" ht="19.5" hidden="1" customHeight="1">
      <c r="A508" s="14">
        <v>19.0</v>
      </c>
      <c r="B508" s="15">
        <v>45982.0</v>
      </c>
      <c r="C508" s="16" t="s">
        <v>46</v>
      </c>
      <c r="D508" s="17">
        <v>1.0</v>
      </c>
      <c r="E508" s="18">
        <v>0.6888888888888889</v>
      </c>
      <c r="F508" s="34">
        <v>0.7173611111111111</v>
      </c>
      <c r="G508" s="33">
        <v>49.0</v>
      </c>
      <c r="H508" s="14" t="s">
        <v>94</v>
      </c>
      <c r="I508" s="14" t="s">
        <v>59</v>
      </c>
      <c r="J508" s="21" t="s">
        <v>37</v>
      </c>
      <c r="K508" s="22" t="s">
        <v>42</v>
      </c>
      <c r="L508" s="23" t="s">
        <v>54</v>
      </c>
      <c r="M508" s="24" t="s">
        <v>64</v>
      </c>
      <c r="N508" s="25" t="s">
        <v>40</v>
      </c>
      <c r="O508" s="26"/>
      <c r="P508" s="14">
        <v>2.0</v>
      </c>
      <c r="Q508" s="14">
        <v>0.0</v>
      </c>
      <c r="R508" s="27">
        <v>0.0</v>
      </c>
      <c r="S508" s="33">
        <v>0.0</v>
      </c>
      <c r="T508" s="28">
        <v>2.0</v>
      </c>
      <c r="U508" s="33">
        <v>0.0</v>
      </c>
      <c r="V508" s="14">
        <v>0.0</v>
      </c>
      <c r="W508" s="14">
        <v>0.0</v>
      </c>
      <c r="X508" s="60" t="s">
        <v>703</v>
      </c>
      <c r="Y508" s="30" t="s">
        <v>61</v>
      </c>
      <c r="Z508" s="29">
        <v>3.045842580115E12</v>
      </c>
      <c r="AA508" s="32" t="s">
        <v>33</v>
      </c>
      <c r="AB508" s="25">
        <v>23.0</v>
      </c>
    </row>
    <row r="509" ht="19.5" hidden="1" customHeight="1">
      <c r="A509" s="14"/>
      <c r="B509" s="15">
        <v>45982.0</v>
      </c>
      <c r="C509" s="16"/>
      <c r="D509" s="17"/>
      <c r="E509" s="18"/>
      <c r="F509" s="34"/>
      <c r="G509" s="33"/>
      <c r="H509" s="14"/>
      <c r="I509" s="14"/>
      <c r="J509" s="21"/>
      <c r="K509" s="22" t="s">
        <v>29</v>
      </c>
      <c r="L509" s="23"/>
      <c r="M509" s="24"/>
      <c r="N509" s="25"/>
      <c r="O509" s="26"/>
      <c r="P509" s="14">
        <v>0.0</v>
      </c>
      <c r="Q509" s="14">
        <v>0.0</v>
      </c>
      <c r="R509" s="27">
        <v>0.0</v>
      </c>
      <c r="S509" s="33">
        <v>0.0</v>
      </c>
      <c r="T509" s="28">
        <v>1.0</v>
      </c>
      <c r="U509" s="33">
        <v>0.0</v>
      </c>
      <c r="V509" s="14">
        <v>0.0</v>
      </c>
      <c r="W509" s="14">
        <v>0.0</v>
      </c>
      <c r="X509" s="61" t="s">
        <v>704</v>
      </c>
      <c r="Y509" s="30" t="s">
        <v>32</v>
      </c>
      <c r="Z509" s="61">
        <v>1.796678900114E12</v>
      </c>
      <c r="AA509" s="32" t="s">
        <v>33</v>
      </c>
      <c r="AB509" s="25">
        <v>44.0</v>
      </c>
    </row>
    <row r="510" ht="19.5" hidden="1" customHeight="1">
      <c r="A510" s="14">
        <v>20.0</v>
      </c>
      <c r="B510" s="15">
        <v>45982.0</v>
      </c>
      <c r="C510" s="16" t="s">
        <v>128</v>
      </c>
      <c r="D510" s="17">
        <v>2.0</v>
      </c>
      <c r="E510" s="18">
        <v>0.7048611111111112</v>
      </c>
      <c r="F510" s="34">
        <v>0.7409722222222223</v>
      </c>
      <c r="G510" s="33">
        <v>100.0</v>
      </c>
      <c r="H510" s="14" t="s">
        <v>252</v>
      </c>
      <c r="I510" s="14" t="s">
        <v>299</v>
      </c>
      <c r="J510" s="21" t="s">
        <v>49</v>
      </c>
      <c r="K510" s="22" t="s">
        <v>42</v>
      </c>
      <c r="L510" s="23" t="s">
        <v>38</v>
      </c>
      <c r="M510" s="24" t="s">
        <v>39</v>
      </c>
      <c r="N510" s="25" t="s">
        <v>705</v>
      </c>
      <c r="O510" s="26"/>
      <c r="P510" s="14">
        <v>0.0</v>
      </c>
      <c r="Q510" s="14">
        <v>1.0</v>
      </c>
      <c r="R510" s="27">
        <v>0.0</v>
      </c>
      <c r="S510" s="33">
        <v>0.0</v>
      </c>
      <c r="T510" s="28">
        <v>1.0</v>
      </c>
      <c r="U510" s="33">
        <v>0.0</v>
      </c>
      <c r="V510" s="14">
        <v>0.0</v>
      </c>
      <c r="W510" s="14">
        <v>0.0</v>
      </c>
      <c r="X510" s="35" t="s">
        <v>706</v>
      </c>
      <c r="Y510" s="30" t="s">
        <v>61</v>
      </c>
      <c r="Z510" s="35">
        <v>2.7578460101101E13</v>
      </c>
      <c r="AA510" s="32" t="s">
        <v>33</v>
      </c>
      <c r="AB510" s="25">
        <v>20.0</v>
      </c>
    </row>
    <row r="511" ht="19.5" hidden="1" customHeight="1">
      <c r="A511" s="14"/>
      <c r="B511" s="15">
        <v>45982.0</v>
      </c>
      <c r="C511" s="16"/>
      <c r="D511" s="17"/>
      <c r="E511" s="18"/>
      <c r="F511" s="34"/>
      <c r="G511" s="33"/>
      <c r="H511" s="14"/>
      <c r="I511" s="14"/>
      <c r="J511" s="21"/>
      <c r="K511" s="22" t="s">
        <v>42</v>
      </c>
      <c r="L511" s="23"/>
      <c r="M511" s="24"/>
      <c r="N511" s="25"/>
      <c r="O511" s="26"/>
      <c r="P511" s="14">
        <v>1.0</v>
      </c>
      <c r="Q511" s="14">
        <v>0.0</v>
      </c>
      <c r="R511" s="27">
        <v>0.0</v>
      </c>
      <c r="S511" s="33">
        <v>0.0</v>
      </c>
      <c r="T511" s="28">
        <v>1.0</v>
      </c>
      <c r="U511" s="33">
        <v>0.0</v>
      </c>
      <c r="V511" s="14">
        <v>0.0</v>
      </c>
      <c r="W511" s="14">
        <v>0.0</v>
      </c>
      <c r="X511" s="56" t="s">
        <v>707</v>
      </c>
      <c r="Y511" s="30" t="s">
        <v>115</v>
      </c>
      <c r="Z511" s="29">
        <v>2.246124331001E12</v>
      </c>
      <c r="AA511" s="32" t="s">
        <v>33</v>
      </c>
      <c r="AB511" s="25">
        <v>46.0</v>
      </c>
    </row>
    <row r="512" ht="19.5" hidden="1" customHeight="1">
      <c r="A512" s="14">
        <v>21.0</v>
      </c>
      <c r="B512" s="15">
        <v>45982.0</v>
      </c>
      <c r="C512" s="16" t="s">
        <v>34</v>
      </c>
      <c r="D512" s="17">
        <v>2.0</v>
      </c>
      <c r="E512" s="18">
        <v>0.7263888888888889</v>
      </c>
      <c r="F512" s="34">
        <v>0.8340277777777778</v>
      </c>
      <c r="G512" s="33">
        <v>80.6</v>
      </c>
      <c r="H512" s="14">
        <v>1125.0</v>
      </c>
      <c r="I512" s="14" t="s">
        <v>36</v>
      </c>
      <c r="J512" s="21" t="s">
        <v>37</v>
      </c>
      <c r="K512" s="22" t="s">
        <v>29</v>
      </c>
      <c r="L512" s="23" t="s">
        <v>38</v>
      </c>
      <c r="M512" s="24" t="s">
        <v>39</v>
      </c>
      <c r="N512" s="25" t="s">
        <v>708</v>
      </c>
      <c r="O512" s="26"/>
      <c r="P512" s="14">
        <v>1.0</v>
      </c>
      <c r="Q512" s="14">
        <v>0.0</v>
      </c>
      <c r="R512" s="27">
        <v>0.0</v>
      </c>
      <c r="S512" s="33">
        <v>0.0</v>
      </c>
      <c r="T512" s="28">
        <v>1.0</v>
      </c>
      <c r="U512" s="33">
        <v>0.0</v>
      </c>
      <c r="V512" s="14">
        <v>0.0</v>
      </c>
      <c r="W512" s="14">
        <v>0.0</v>
      </c>
      <c r="X512" s="56" t="s">
        <v>709</v>
      </c>
      <c r="Y512" s="30" t="s">
        <v>32</v>
      </c>
      <c r="Z512" s="29">
        <v>2.699574210412E12</v>
      </c>
      <c r="AA512" s="32" t="s">
        <v>33</v>
      </c>
      <c r="AB512" s="25">
        <v>56.0</v>
      </c>
    </row>
    <row r="513" ht="19.5" hidden="1" customHeight="1">
      <c r="A513" s="14">
        <v>22.0</v>
      </c>
      <c r="B513" s="15">
        <v>45982.0</v>
      </c>
      <c r="C513" s="16" t="s">
        <v>407</v>
      </c>
      <c r="D513" s="17">
        <v>1.0</v>
      </c>
      <c r="E513" s="18">
        <v>0.7305555555555555</v>
      </c>
      <c r="F513" s="62">
        <v>0.75625</v>
      </c>
      <c r="G513" s="33">
        <v>274.0</v>
      </c>
      <c r="H513" s="14">
        <v>1132.0</v>
      </c>
      <c r="I513" s="14" t="s">
        <v>80</v>
      </c>
      <c r="J513" s="21" t="s">
        <v>49</v>
      </c>
      <c r="K513" s="22" t="s">
        <v>81</v>
      </c>
      <c r="L513" s="23" t="s">
        <v>54</v>
      </c>
      <c r="M513" s="24" t="s">
        <v>64</v>
      </c>
      <c r="O513" s="26"/>
      <c r="P513" s="14">
        <v>2.0</v>
      </c>
      <c r="Q513" s="14">
        <v>0.0</v>
      </c>
      <c r="R513" s="27">
        <v>0.0</v>
      </c>
      <c r="S513" s="33">
        <v>0.0</v>
      </c>
      <c r="T513" s="28">
        <v>2.0</v>
      </c>
      <c r="U513" s="33">
        <v>0.0</v>
      </c>
      <c r="V513" s="14">
        <v>0.0</v>
      </c>
      <c r="W513" s="14">
        <v>0.0</v>
      </c>
      <c r="X513" s="56" t="s">
        <v>710</v>
      </c>
      <c r="Y513" s="30" t="s">
        <v>32</v>
      </c>
      <c r="Z513" s="29">
        <v>1.595789061213E12</v>
      </c>
      <c r="AA513" s="32" t="s">
        <v>33</v>
      </c>
      <c r="AB513" s="25">
        <v>39.0</v>
      </c>
    </row>
    <row r="514" ht="19.5" hidden="1" customHeight="1">
      <c r="A514" s="14">
        <v>23.0</v>
      </c>
      <c r="B514" s="15">
        <v>45982.0</v>
      </c>
      <c r="C514" s="16" t="s">
        <v>46</v>
      </c>
      <c r="D514" s="17">
        <v>1.0</v>
      </c>
      <c r="E514" s="18">
        <v>0.7819444444444444</v>
      </c>
      <c r="F514" s="34">
        <v>0.8416666666666667</v>
      </c>
      <c r="G514" s="33">
        <v>22.5</v>
      </c>
      <c r="H514" s="14" t="s">
        <v>147</v>
      </c>
      <c r="I514" s="14" t="s">
        <v>88</v>
      </c>
      <c r="J514" s="21" t="s">
        <v>87</v>
      </c>
      <c r="K514" s="22" t="s">
        <v>42</v>
      </c>
      <c r="L514" s="23" t="s">
        <v>54</v>
      </c>
      <c r="M514" s="24" t="s">
        <v>131</v>
      </c>
      <c r="N514" s="25" t="s">
        <v>148</v>
      </c>
      <c r="O514" s="26"/>
      <c r="P514" s="14">
        <v>2.0</v>
      </c>
      <c r="Q514" s="14">
        <v>0.0</v>
      </c>
      <c r="R514" s="27">
        <v>0.0</v>
      </c>
      <c r="S514" s="33">
        <v>0.0</v>
      </c>
      <c r="T514" s="28">
        <v>2.0</v>
      </c>
      <c r="U514" s="33">
        <v>0.0</v>
      </c>
      <c r="V514" s="14">
        <v>0.0</v>
      </c>
      <c r="W514" s="14">
        <v>0.0</v>
      </c>
      <c r="X514" s="61" t="s">
        <v>711</v>
      </c>
      <c r="Y514" s="30" t="s">
        <v>115</v>
      </c>
      <c r="Z514" s="61">
        <v>3.043603120114E12</v>
      </c>
      <c r="AA514" s="32" t="s">
        <v>33</v>
      </c>
      <c r="AB514" s="25" t="s">
        <v>44</v>
      </c>
    </row>
    <row r="515" ht="19.5" hidden="1" customHeight="1">
      <c r="A515" s="14">
        <v>24.0</v>
      </c>
      <c r="B515" s="15">
        <v>45982.0</v>
      </c>
      <c r="C515" s="16" t="s">
        <v>46</v>
      </c>
      <c r="D515" s="17">
        <v>1.0</v>
      </c>
      <c r="E515" s="18">
        <v>0.6222222222222222</v>
      </c>
      <c r="F515" s="34">
        <v>0.65625</v>
      </c>
      <c r="G515" s="33">
        <v>57.0</v>
      </c>
      <c r="H515" s="14" t="s">
        <v>98</v>
      </c>
      <c r="I515" s="14" t="s">
        <v>52</v>
      </c>
      <c r="J515" s="21" t="s">
        <v>37</v>
      </c>
      <c r="K515" s="22" t="s">
        <v>42</v>
      </c>
      <c r="L515" s="23" t="s">
        <v>54</v>
      </c>
      <c r="M515" s="24" t="s">
        <v>64</v>
      </c>
      <c r="N515" s="25" t="s">
        <v>148</v>
      </c>
      <c r="O515" s="26"/>
      <c r="P515" s="14">
        <v>1.0</v>
      </c>
      <c r="Q515" s="14">
        <v>0.0</v>
      </c>
      <c r="R515" s="27">
        <v>0.0</v>
      </c>
      <c r="S515" s="33">
        <v>0.0</v>
      </c>
      <c r="T515" s="28">
        <v>1.0</v>
      </c>
      <c r="U515" s="33">
        <v>0.0</v>
      </c>
      <c r="V515" s="14">
        <v>0.0</v>
      </c>
      <c r="W515" s="14">
        <v>0.0</v>
      </c>
      <c r="X515" s="35" t="s">
        <v>712</v>
      </c>
      <c r="Y515" s="30" t="s">
        <v>85</v>
      </c>
      <c r="Z515" s="35">
        <v>2.744524480406E12</v>
      </c>
      <c r="AA515" s="32" t="s">
        <v>33</v>
      </c>
      <c r="AB515" s="25"/>
    </row>
    <row r="516" ht="19.5" hidden="1" customHeight="1">
      <c r="A516" s="14">
        <v>1.0</v>
      </c>
      <c r="B516" s="15">
        <v>45983.0</v>
      </c>
      <c r="C516" s="16" t="s">
        <v>46</v>
      </c>
      <c r="D516" s="17">
        <v>1.0</v>
      </c>
      <c r="E516" s="18">
        <v>0.22777777777777777</v>
      </c>
      <c r="F516" s="34">
        <v>0.3451388888888889</v>
      </c>
      <c r="G516" s="33">
        <v>18.5</v>
      </c>
      <c r="H516" s="14" t="s">
        <v>99</v>
      </c>
      <c r="I516" s="14" t="s">
        <v>59</v>
      </c>
      <c r="J516" s="21" t="s">
        <v>37</v>
      </c>
      <c r="K516" s="22" t="s">
        <v>29</v>
      </c>
      <c r="L516" s="23" t="s">
        <v>54</v>
      </c>
      <c r="M516" s="24" t="s">
        <v>64</v>
      </c>
      <c r="N516" s="61" t="s">
        <v>713</v>
      </c>
      <c r="O516" s="26"/>
      <c r="P516" s="14">
        <v>2.0</v>
      </c>
      <c r="Q516" s="14">
        <v>0.0</v>
      </c>
      <c r="R516" s="27">
        <v>0.0</v>
      </c>
      <c r="S516" s="33">
        <v>0.0</v>
      </c>
      <c r="T516" s="28">
        <v>2.0</v>
      </c>
      <c r="U516" s="33">
        <v>0.0</v>
      </c>
      <c r="V516" s="14">
        <v>0.0</v>
      </c>
      <c r="W516" s="14">
        <v>0.0</v>
      </c>
      <c r="X516" s="56" t="s">
        <v>714</v>
      </c>
      <c r="Y516" s="30" t="s">
        <v>32</v>
      </c>
      <c r="Z516" s="29">
        <v>2.6501930511E10</v>
      </c>
      <c r="AA516" s="32" t="s">
        <v>33</v>
      </c>
      <c r="AB516" s="25">
        <v>42.0</v>
      </c>
    </row>
    <row r="517" ht="19.5" hidden="1" customHeight="1">
      <c r="A517" s="14">
        <v>2.0</v>
      </c>
      <c r="B517" s="15">
        <v>45983.0</v>
      </c>
      <c r="C517" s="16" t="s">
        <v>46</v>
      </c>
      <c r="D517" s="17">
        <v>1.0</v>
      </c>
      <c r="E517" s="18">
        <v>0.2375</v>
      </c>
      <c r="F517" s="34">
        <v>0.2986111111111111</v>
      </c>
      <c r="G517" s="33">
        <v>23.0</v>
      </c>
      <c r="H517" s="14" t="s">
        <v>147</v>
      </c>
      <c r="I517" s="14" t="s">
        <v>88</v>
      </c>
      <c r="J517" s="21" t="s">
        <v>49</v>
      </c>
      <c r="K517" s="22" t="s">
        <v>42</v>
      </c>
      <c r="L517" s="23" t="s">
        <v>38</v>
      </c>
      <c r="M517" s="24" t="s">
        <v>82</v>
      </c>
      <c r="N517" s="25" t="s">
        <v>715</v>
      </c>
      <c r="O517" s="26"/>
      <c r="P517" s="14">
        <v>1.0</v>
      </c>
      <c r="Q517" s="14">
        <v>0.0</v>
      </c>
      <c r="R517" s="27">
        <v>0.0</v>
      </c>
      <c r="S517" s="33">
        <v>0.0</v>
      </c>
      <c r="T517" s="28">
        <v>1.0</v>
      </c>
      <c r="U517" s="33">
        <v>0.0</v>
      </c>
      <c r="V517" s="14">
        <v>0.0</v>
      </c>
      <c r="W517" s="14">
        <v>0.0</v>
      </c>
      <c r="X517" s="35" t="s">
        <v>716</v>
      </c>
      <c r="Y517" s="30" t="s">
        <v>61</v>
      </c>
      <c r="Z517" s="35">
        <v>2.660953560101E12</v>
      </c>
      <c r="AA517" s="32" t="s">
        <v>127</v>
      </c>
      <c r="AB517" s="25">
        <v>50.0</v>
      </c>
    </row>
    <row r="518" ht="19.5" hidden="1" customHeight="1">
      <c r="A518" s="14">
        <v>3.0</v>
      </c>
      <c r="B518" s="15">
        <v>45983.0</v>
      </c>
      <c r="C518" s="16" t="s">
        <v>243</v>
      </c>
      <c r="D518" s="17">
        <v>1.0</v>
      </c>
      <c r="E518" s="18">
        <v>0.24305555555555555</v>
      </c>
      <c r="F518" s="34">
        <v>0.3159722222222222</v>
      </c>
      <c r="G518" s="33">
        <v>253.0</v>
      </c>
      <c r="H518" s="14" t="s">
        <v>244</v>
      </c>
      <c r="I518" s="14" t="s">
        <v>48</v>
      </c>
      <c r="J518" s="21" t="s">
        <v>49</v>
      </c>
      <c r="K518" s="22" t="s">
        <v>29</v>
      </c>
      <c r="L518" s="23" t="s">
        <v>54</v>
      </c>
      <c r="M518" s="24" t="s">
        <v>64</v>
      </c>
      <c r="N518" s="25" t="s">
        <v>715</v>
      </c>
      <c r="O518" s="26"/>
      <c r="P518" s="14">
        <v>1.0</v>
      </c>
      <c r="Q518" s="14">
        <v>0.0</v>
      </c>
      <c r="R518" s="27">
        <v>0.0</v>
      </c>
      <c r="S518" s="33">
        <v>0.0</v>
      </c>
      <c r="T518" s="28">
        <v>1.0</v>
      </c>
      <c r="U518" s="33">
        <v>0.0</v>
      </c>
      <c r="V518" s="14">
        <v>0.0</v>
      </c>
      <c r="W518" s="14">
        <v>0.0</v>
      </c>
      <c r="X518" s="56" t="s">
        <v>717</v>
      </c>
      <c r="Y518" s="30" t="s">
        <v>32</v>
      </c>
      <c r="Z518" s="29">
        <v>2.643795190101E12</v>
      </c>
      <c r="AA518" s="32" t="s">
        <v>33</v>
      </c>
      <c r="AB518" s="25">
        <v>61.0</v>
      </c>
    </row>
    <row r="519" ht="19.5" hidden="1" customHeight="1">
      <c r="A519" s="14">
        <v>4.0</v>
      </c>
      <c r="B519" s="15">
        <v>45983.0</v>
      </c>
      <c r="C519" s="16" t="s">
        <v>46</v>
      </c>
      <c r="D519" s="17">
        <v>1.0</v>
      </c>
      <c r="E519" s="18">
        <v>0.2791666666666667</v>
      </c>
      <c r="F519" s="34">
        <v>0.2972222222222222</v>
      </c>
      <c r="G519" s="33">
        <v>58.0</v>
      </c>
      <c r="H519" s="14" t="s">
        <v>58</v>
      </c>
      <c r="I519" s="14" t="s">
        <v>52</v>
      </c>
      <c r="J519" s="21" t="s">
        <v>37</v>
      </c>
      <c r="K519" s="22" t="s">
        <v>63</v>
      </c>
      <c r="L519" s="23" t="s">
        <v>54</v>
      </c>
      <c r="M519" s="24" t="s">
        <v>67</v>
      </c>
      <c r="N519" s="25" t="s">
        <v>715</v>
      </c>
      <c r="O519" s="26"/>
      <c r="P519" s="14">
        <v>3.0</v>
      </c>
      <c r="Q519" s="14">
        <v>0.0</v>
      </c>
      <c r="R519" s="27">
        <v>0.0</v>
      </c>
      <c r="S519" s="33">
        <v>0.0</v>
      </c>
      <c r="T519" s="28">
        <v>3.0</v>
      </c>
      <c r="U519" s="33">
        <v>0.0</v>
      </c>
      <c r="V519" s="14">
        <v>0.0</v>
      </c>
      <c r="W519" s="14">
        <v>0.0</v>
      </c>
      <c r="X519" s="61" t="s">
        <v>718</v>
      </c>
      <c r="Y519" s="30" t="s">
        <v>61</v>
      </c>
      <c r="Z519" s="61">
        <v>2.484399601212E12</v>
      </c>
      <c r="AA519" s="32" t="s">
        <v>33</v>
      </c>
      <c r="AB519" s="25">
        <v>50.0</v>
      </c>
    </row>
    <row r="520" ht="19.5" hidden="1" customHeight="1">
      <c r="A520" s="14">
        <v>5.0</v>
      </c>
      <c r="B520" s="15">
        <v>45983.0</v>
      </c>
      <c r="C520" s="16" t="s">
        <v>46</v>
      </c>
      <c r="D520" s="17">
        <v>1.0</v>
      </c>
      <c r="E520" s="18">
        <v>0.28402777777777777</v>
      </c>
      <c r="F520" s="34">
        <v>0.3125</v>
      </c>
      <c r="G520" s="33">
        <v>0.0</v>
      </c>
      <c r="H520" s="14">
        <v>1104.0</v>
      </c>
      <c r="I520" s="14" t="s">
        <v>143</v>
      </c>
      <c r="J520" s="21" t="s">
        <v>144</v>
      </c>
      <c r="K520" s="22" t="s">
        <v>100</v>
      </c>
      <c r="L520" s="23" t="s">
        <v>54</v>
      </c>
      <c r="M520" s="24" t="s">
        <v>131</v>
      </c>
      <c r="N520" s="25" t="s">
        <v>234</v>
      </c>
      <c r="O520" s="26"/>
      <c r="P520" s="14">
        <v>4.0</v>
      </c>
      <c r="Q520" s="14">
        <v>0.0</v>
      </c>
      <c r="R520" s="27">
        <v>0.0</v>
      </c>
      <c r="S520" s="33">
        <v>0.0</v>
      </c>
      <c r="T520" s="28">
        <v>4.0</v>
      </c>
      <c r="U520" s="33">
        <v>0.0</v>
      </c>
      <c r="V520" s="14">
        <v>0.0</v>
      </c>
      <c r="W520" s="14">
        <v>0.0</v>
      </c>
      <c r="X520" s="56" t="s">
        <v>719</v>
      </c>
      <c r="Y520" s="30" t="s">
        <v>61</v>
      </c>
      <c r="Z520" s="29">
        <v>2.194612010901E12</v>
      </c>
      <c r="AA520" s="32" t="s">
        <v>33</v>
      </c>
      <c r="AB520" s="25">
        <v>32.0</v>
      </c>
    </row>
    <row r="521" ht="19.5" hidden="1" customHeight="1">
      <c r="A521" s="14">
        <v>6.0</v>
      </c>
      <c r="B521" s="15">
        <v>45983.0</v>
      </c>
      <c r="C521" s="16" t="s">
        <v>46</v>
      </c>
      <c r="D521" s="17">
        <v>1.0</v>
      </c>
      <c r="E521" s="18">
        <v>0.28402777777777777</v>
      </c>
      <c r="F521" s="34">
        <v>0.38819444444444445</v>
      </c>
      <c r="G521" s="33">
        <v>42.5</v>
      </c>
      <c r="H521" s="14">
        <v>1134.0</v>
      </c>
      <c r="I521" s="14" t="s">
        <v>59</v>
      </c>
      <c r="J521" s="21" t="s">
        <v>53</v>
      </c>
      <c r="K521" s="22" t="s">
        <v>29</v>
      </c>
      <c r="L521" s="23" t="s">
        <v>54</v>
      </c>
      <c r="M521" s="24" t="s">
        <v>64</v>
      </c>
      <c r="N521" s="25" t="s">
        <v>715</v>
      </c>
      <c r="O521" s="26"/>
      <c r="P521" s="14">
        <v>2.0</v>
      </c>
      <c r="Q521" s="14">
        <v>0.0</v>
      </c>
      <c r="R521" s="27">
        <v>0.0</v>
      </c>
      <c r="S521" s="33">
        <v>0.0</v>
      </c>
      <c r="T521" s="28">
        <v>2.0</v>
      </c>
      <c r="U521" s="33">
        <v>0.0</v>
      </c>
      <c r="V521" s="14">
        <v>0.0</v>
      </c>
      <c r="W521" s="14">
        <v>0.0</v>
      </c>
      <c r="X521" s="61" t="s">
        <v>720</v>
      </c>
      <c r="Y521" s="30" t="s">
        <v>32</v>
      </c>
      <c r="Z521" s="61">
        <v>1.990942760301E12</v>
      </c>
      <c r="AA521" s="32" t="s">
        <v>33</v>
      </c>
      <c r="AB521" s="25">
        <v>49.0</v>
      </c>
    </row>
    <row r="522" ht="19.5" hidden="1" customHeight="1">
      <c r="A522" s="14"/>
      <c r="B522" s="15">
        <v>45983.0</v>
      </c>
      <c r="C522" s="16"/>
      <c r="D522" s="17"/>
      <c r="E522" s="18"/>
      <c r="F522" s="34"/>
      <c r="G522" s="33"/>
      <c r="H522" s="14"/>
      <c r="I522" s="14"/>
      <c r="J522" s="21"/>
      <c r="K522" s="22" t="s">
        <v>29</v>
      </c>
      <c r="L522" s="23"/>
      <c r="M522" s="24"/>
      <c r="N522" s="25"/>
      <c r="O522" s="26"/>
      <c r="P522" s="14">
        <v>1.0</v>
      </c>
      <c r="Q522" s="14">
        <v>0.0</v>
      </c>
      <c r="R522" s="27">
        <v>0.0</v>
      </c>
      <c r="S522" s="33">
        <v>0.0</v>
      </c>
      <c r="T522" s="28">
        <v>1.0</v>
      </c>
      <c r="U522" s="33">
        <v>0.0</v>
      </c>
      <c r="V522" s="14">
        <v>0.0</v>
      </c>
      <c r="W522" s="14">
        <v>0.0</v>
      </c>
      <c r="X522" s="63" t="s">
        <v>721</v>
      </c>
      <c r="Y522" s="30" t="s">
        <v>32</v>
      </c>
      <c r="Z522" s="63">
        <v>2.372936330506E12</v>
      </c>
      <c r="AA522" s="32" t="s">
        <v>33</v>
      </c>
      <c r="AB522" s="25" t="s">
        <v>722</v>
      </c>
    </row>
    <row r="523" ht="19.5" hidden="1" customHeight="1">
      <c r="A523" s="14">
        <v>7.0</v>
      </c>
      <c r="B523" s="15">
        <v>45983.0</v>
      </c>
      <c r="C523" s="16" t="s">
        <v>128</v>
      </c>
      <c r="D523" s="17">
        <v>2.0</v>
      </c>
      <c r="E523" s="18">
        <v>0.24930555555555556</v>
      </c>
      <c r="F523" s="34">
        <v>0.6104166666666667</v>
      </c>
      <c r="G523" s="33">
        <v>69.0</v>
      </c>
      <c r="H523" s="14" t="s">
        <v>129</v>
      </c>
      <c r="I523" s="14" t="s">
        <v>48</v>
      </c>
      <c r="J523" s="21" t="s">
        <v>87</v>
      </c>
      <c r="K523" s="22" t="s">
        <v>29</v>
      </c>
      <c r="L523" s="23" t="s">
        <v>38</v>
      </c>
      <c r="M523" s="24" t="s">
        <v>39</v>
      </c>
      <c r="N523" s="25" t="s">
        <v>40</v>
      </c>
      <c r="O523" s="26"/>
      <c r="P523" s="14">
        <v>1.0</v>
      </c>
      <c r="Q523" s="14">
        <v>0.0</v>
      </c>
      <c r="R523" s="27">
        <v>0.0</v>
      </c>
      <c r="S523" s="33">
        <v>0.0</v>
      </c>
      <c r="T523" s="28">
        <v>1.0</v>
      </c>
      <c r="U523" s="33">
        <v>0.0</v>
      </c>
      <c r="V523" s="14">
        <v>0.0</v>
      </c>
      <c r="W523" s="14">
        <v>0.0</v>
      </c>
      <c r="X523" s="35" t="s">
        <v>723</v>
      </c>
      <c r="Y523" s="30" t="s">
        <v>32</v>
      </c>
      <c r="Z523" s="35">
        <v>1.914485590501E12</v>
      </c>
      <c r="AA523" s="32" t="s">
        <v>33</v>
      </c>
      <c r="AB523" s="25">
        <v>43.0</v>
      </c>
    </row>
    <row r="524" ht="19.5" hidden="1" customHeight="1">
      <c r="A524" s="14">
        <v>8.0</v>
      </c>
      <c r="B524" s="15">
        <v>45983.0</v>
      </c>
      <c r="C524" s="16" t="s">
        <v>46</v>
      </c>
      <c r="D524" s="17">
        <v>1.0</v>
      </c>
      <c r="E524" s="18">
        <v>0.30694444444444446</v>
      </c>
      <c r="F524" s="33" t="s">
        <v>724</v>
      </c>
      <c r="G524" s="33">
        <v>25.0</v>
      </c>
      <c r="H524" s="14" t="s">
        <v>147</v>
      </c>
      <c r="I524" s="14" t="s">
        <v>52</v>
      </c>
      <c r="J524" s="21" t="s">
        <v>37</v>
      </c>
      <c r="K524" s="22" t="s">
        <v>29</v>
      </c>
      <c r="L524" s="23" t="s">
        <v>54</v>
      </c>
      <c r="M524" s="24" t="s">
        <v>64</v>
      </c>
      <c r="N524" s="25" t="s">
        <v>725</v>
      </c>
      <c r="O524" s="26"/>
      <c r="P524" s="14">
        <v>1.0</v>
      </c>
      <c r="Q524" s="14">
        <v>0.0</v>
      </c>
      <c r="R524" s="27">
        <v>0.0</v>
      </c>
      <c r="S524" s="33">
        <v>0.0</v>
      </c>
      <c r="T524" s="28">
        <v>1.0</v>
      </c>
      <c r="U524" s="33">
        <v>0.0</v>
      </c>
      <c r="V524" s="14">
        <v>0.0</v>
      </c>
      <c r="W524" s="14">
        <v>0.0</v>
      </c>
      <c r="X524" s="56" t="s">
        <v>44</v>
      </c>
      <c r="Y524" s="30" t="s">
        <v>44</v>
      </c>
      <c r="Z524" s="56" t="s">
        <v>44</v>
      </c>
      <c r="AA524" s="32" t="s">
        <v>45</v>
      </c>
      <c r="AB524" s="56" t="s">
        <v>44</v>
      </c>
    </row>
    <row r="525" ht="19.5" hidden="1" customHeight="1">
      <c r="A525" s="14">
        <v>9.0</v>
      </c>
      <c r="B525" s="15">
        <v>45983.0</v>
      </c>
      <c r="C525" s="16" t="s">
        <v>46</v>
      </c>
      <c r="D525" s="17" t="s">
        <v>50</v>
      </c>
      <c r="E525" s="18">
        <v>0.3284722222222222</v>
      </c>
      <c r="F525" s="34">
        <v>0.5875</v>
      </c>
      <c r="G525" s="33">
        <v>22.0</v>
      </c>
      <c r="H525" s="14" t="s">
        <v>173</v>
      </c>
      <c r="I525" s="14" t="s">
        <v>52</v>
      </c>
      <c r="J525" s="21" t="s">
        <v>37</v>
      </c>
      <c r="K525" s="22" t="s">
        <v>75</v>
      </c>
      <c r="L525" s="23" t="s">
        <v>54</v>
      </c>
      <c r="M525" s="24" t="s">
        <v>76</v>
      </c>
      <c r="N525" s="25" t="s">
        <v>489</v>
      </c>
      <c r="O525" s="26"/>
      <c r="P525" s="14">
        <v>250.0</v>
      </c>
      <c r="Q525" s="14">
        <v>0.0</v>
      </c>
      <c r="R525" s="27">
        <v>0.0</v>
      </c>
      <c r="S525" s="33">
        <v>0.0</v>
      </c>
      <c r="T525" s="28">
        <v>250.0</v>
      </c>
      <c r="U525" s="33">
        <v>0.0</v>
      </c>
      <c r="V525" s="14">
        <v>0.0</v>
      </c>
      <c r="W525" s="14">
        <v>0.0</v>
      </c>
      <c r="X525" s="56" t="s">
        <v>44</v>
      </c>
      <c r="Y525" s="30" t="s">
        <v>44</v>
      </c>
      <c r="Z525" s="29" t="s">
        <v>44</v>
      </c>
      <c r="AA525" s="32" t="s">
        <v>33</v>
      </c>
      <c r="AB525" s="25" t="s">
        <v>44</v>
      </c>
    </row>
    <row r="526" ht="19.5" hidden="1" customHeight="1">
      <c r="A526" s="14">
        <v>10.0</v>
      </c>
      <c r="B526" s="15">
        <v>45983.0</v>
      </c>
      <c r="C526" s="16" t="s">
        <v>243</v>
      </c>
      <c r="D526" s="17">
        <v>1.0</v>
      </c>
      <c r="E526" s="18">
        <v>0.38680555555555557</v>
      </c>
      <c r="F526" s="34">
        <v>0.4125</v>
      </c>
      <c r="G526" s="33">
        <v>261.0</v>
      </c>
      <c r="H526" s="14" t="s">
        <v>244</v>
      </c>
      <c r="I526" s="14" t="s">
        <v>48</v>
      </c>
      <c r="J526" s="21" t="s">
        <v>49</v>
      </c>
      <c r="K526" s="22" t="s">
        <v>29</v>
      </c>
      <c r="L526" s="23" t="s">
        <v>54</v>
      </c>
      <c r="M526" s="24" t="s">
        <v>64</v>
      </c>
      <c r="N526" s="25" t="s">
        <v>726</v>
      </c>
      <c r="O526" s="26"/>
      <c r="P526" s="14">
        <v>2.0</v>
      </c>
      <c r="Q526" s="14">
        <v>0.0</v>
      </c>
      <c r="R526" s="27">
        <v>0.0</v>
      </c>
      <c r="S526" s="33">
        <v>0.0</v>
      </c>
      <c r="T526" s="28">
        <v>2.0</v>
      </c>
      <c r="U526" s="33">
        <v>0.0</v>
      </c>
      <c r="V526" s="14">
        <v>0.0</v>
      </c>
      <c r="W526" s="14">
        <v>0.0</v>
      </c>
      <c r="X526" s="61" t="s">
        <v>727</v>
      </c>
      <c r="Y526" s="30" t="s">
        <v>32</v>
      </c>
      <c r="Z526" s="61">
        <v>3.440014820191E12</v>
      </c>
      <c r="AA526" s="32" t="s">
        <v>33</v>
      </c>
      <c r="AB526" s="25">
        <v>44.0</v>
      </c>
    </row>
    <row r="527" ht="19.5" hidden="1" customHeight="1">
      <c r="A527" s="14">
        <v>11.0</v>
      </c>
      <c r="B527" s="15">
        <v>45983.0</v>
      </c>
      <c r="C527" s="16" t="s">
        <v>46</v>
      </c>
      <c r="D527" s="17">
        <v>1.0</v>
      </c>
      <c r="E527" s="18">
        <v>0.4201388888888889</v>
      </c>
      <c r="F527" s="34">
        <v>0.4375</v>
      </c>
      <c r="G527" s="33">
        <v>29.9</v>
      </c>
      <c r="H527" s="14" t="s">
        <v>147</v>
      </c>
      <c r="I527" s="14" t="s">
        <v>52</v>
      </c>
      <c r="J527" s="21" t="s">
        <v>37</v>
      </c>
      <c r="K527" s="22" t="s">
        <v>63</v>
      </c>
      <c r="L527" s="23" t="s">
        <v>54</v>
      </c>
      <c r="M527" s="24" t="s">
        <v>64</v>
      </c>
      <c r="N527" s="25" t="s">
        <v>728</v>
      </c>
      <c r="O527" s="26"/>
      <c r="P527" s="14">
        <v>3.0</v>
      </c>
      <c r="Q527" s="14">
        <v>0.0</v>
      </c>
      <c r="R527" s="27">
        <v>0.0</v>
      </c>
      <c r="S527" s="33">
        <v>0.0</v>
      </c>
      <c r="T527" s="28">
        <v>3.0</v>
      </c>
      <c r="U527" s="33">
        <v>0.0</v>
      </c>
      <c r="V527" s="14">
        <v>0.0</v>
      </c>
      <c r="W527" s="14">
        <v>0.0</v>
      </c>
      <c r="X527" s="35" t="s">
        <v>729</v>
      </c>
      <c r="Y527" s="30" t="s">
        <v>85</v>
      </c>
      <c r="Z527" s="35">
        <v>2.583099970101E12</v>
      </c>
      <c r="AA527" s="32" t="s">
        <v>33</v>
      </c>
      <c r="AB527" s="25">
        <v>45.0</v>
      </c>
    </row>
    <row r="528" ht="19.5" hidden="1" customHeight="1">
      <c r="A528" s="14">
        <v>12.0</v>
      </c>
      <c r="B528" s="15">
        <v>45983.0</v>
      </c>
      <c r="C528" s="16" t="s">
        <v>46</v>
      </c>
      <c r="D528" s="17">
        <v>1.0</v>
      </c>
      <c r="E528" s="18">
        <v>0.45694444444444443</v>
      </c>
      <c r="F528" s="33" t="s">
        <v>730</v>
      </c>
      <c r="G528" s="33">
        <v>59.0</v>
      </c>
      <c r="H528" s="14" t="s">
        <v>58</v>
      </c>
      <c r="I528" s="14" t="s">
        <v>52</v>
      </c>
      <c r="J528" s="21" t="s">
        <v>37</v>
      </c>
      <c r="K528" s="22" t="s">
        <v>63</v>
      </c>
      <c r="L528" s="23" t="s">
        <v>54</v>
      </c>
      <c r="M528" s="24" t="s">
        <v>67</v>
      </c>
      <c r="N528" s="25" t="s">
        <v>442</v>
      </c>
      <c r="O528" s="26"/>
      <c r="P528" s="14">
        <v>1.0</v>
      </c>
      <c r="Q528" s="14">
        <v>0.0</v>
      </c>
      <c r="R528" s="27">
        <v>0.0</v>
      </c>
      <c r="S528" s="33">
        <v>0.0</v>
      </c>
      <c r="T528" s="28">
        <v>1.0</v>
      </c>
      <c r="U528" s="33">
        <v>0.0</v>
      </c>
      <c r="V528" s="14">
        <v>0.0</v>
      </c>
      <c r="W528" s="14">
        <v>0.0</v>
      </c>
      <c r="X528" s="35" t="s">
        <v>731</v>
      </c>
      <c r="Y528" s="30" t="s">
        <v>61</v>
      </c>
      <c r="Z528" s="35">
        <v>1.595872712203E12</v>
      </c>
      <c r="AA528" s="32" t="s">
        <v>33</v>
      </c>
      <c r="AB528" s="25">
        <v>35.0</v>
      </c>
    </row>
    <row r="529" ht="19.5" hidden="1" customHeight="1">
      <c r="A529" s="14">
        <v>13.0</v>
      </c>
      <c r="B529" s="15">
        <v>45983.0</v>
      </c>
      <c r="C529" s="16" t="s">
        <v>407</v>
      </c>
      <c r="D529" s="17">
        <v>1.0</v>
      </c>
      <c r="E529" s="18">
        <v>0.4756944444444444</v>
      </c>
      <c r="F529" s="34">
        <v>0.5402777777777777</v>
      </c>
      <c r="G529" s="33">
        <v>272.0</v>
      </c>
      <c r="H529" s="14">
        <v>1132.0</v>
      </c>
      <c r="I529" s="14" t="s">
        <v>80</v>
      </c>
      <c r="J529" s="21" t="s">
        <v>49</v>
      </c>
      <c r="K529" s="22" t="s">
        <v>29</v>
      </c>
      <c r="L529" s="23" t="s">
        <v>54</v>
      </c>
      <c r="M529" s="24" t="s">
        <v>131</v>
      </c>
      <c r="N529" s="25" t="s">
        <v>442</v>
      </c>
      <c r="O529" s="26"/>
      <c r="P529" s="14">
        <v>1.0</v>
      </c>
      <c r="Q529" s="14">
        <v>0.0</v>
      </c>
      <c r="R529" s="27">
        <v>0.0</v>
      </c>
      <c r="S529" s="33">
        <v>0.0</v>
      </c>
      <c r="T529" s="28">
        <v>1.0</v>
      </c>
      <c r="U529" s="33">
        <v>0.0</v>
      </c>
      <c r="V529" s="14">
        <v>0.0</v>
      </c>
      <c r="W529" s="14">
        <v>0.0</v>
      </c>
      <c r="X529" s="56" t="s">
        <v>732</v>
      </c>
      <c r="Y529" s="30" t="s">
        <v>115</v>
      </c>
      <c r="Z529" s="29">
        <v>2.205378010101E12</v>
      </c>
      <c r="AA529" s="32" t="s">
        <v>33</v>
      </c>
      <c r="AB529" s="25">
        <v>32.0</v>
      </c>
    </row>
    <row r="530" ht="19.5" hidden="1" customHeight="1">
      <c r="A530" s="14">
        <v>14.0</v>
      </c>
      <c r="B530" s="15">
        <v>45983.0</v>
      </c>
      <c r="C530" s="16" t="s">
        <v>46</v>
      </c>
      <c r="D530" s="17">
        <v>1.0</v>
      </c>
      <c r="E530" s="39">
        <v>1133.0</v>
      </c>
      <c r="F530" s="34">
        <v>0.5194444444444445</v>
      </c>
      <c r="G530" s="33" t="s">
        <v>733</v>
      </c>
      <c r="H530" s="14" t="s">
        <v>47</v>
      </c>
      <c r="I530" s="14" t="s">
        <v>88</v>
      </c>
      <c r="J530" s="21" t="s">
        <v>49</v>
      </c>
      <c r="K530" s="22" t="s">
        <v>42</v>
      </c>
      <c r="L530" s="23" t="s">
        <v>54</v>
      </c>
      <c r="M530" s="24" t="s">
        <v>67</v>
      </c>
      <c r="N530" s="25" t="s">
        <v>734</v>
      </c>
      <c r="O530" s="26"/>
      <c r="P530" s="14">
        <v>0.0</v>
      </c>
      <c r="Q530" s="14">
        <v>0.0</v>
      </c>
      <c r="R530" s="27">
        <v>0.0</v>
      </c>
      <c r="S530" s="33">
        <v>0.0</v>
      </c>
      <c r="T530" s="28">
        <v>6.0</v>
      </c>
      <c r="U530" s="33">
        <v>0.0</v>
      </c>
      <c r="V530" s="14">
        <v>0.0</v>
      </c>
      <c r="W530" s="14">
        <v>0.0</v>
      </c>
      <c r="X530" s="56" t="s">
        <v>735</v>
      </c>
      <c r="Y530" s="30" t="s">
        <v>85</v>
      </c>
      <c r="Z530" s="29">
        <v>1.650297142001E12</v>
      </c>
      <c r="AA530" s="32" t="s">
        <v>33</v>
      </c>
      <c r="AB530" s="25">
        <v>55.0</v>
      </c>
    </row>
    <row r="531" ht="19.5" hidden="1" customHeight="1">
      <c r="A531" s="14">
        <v>15.0</v>
      </c>
      <c r="B531" s="15">
        <v>45983.0</v>
      </c>
      <c r="C531" s="16" t="s">
        <v>46</v>
      </c>
      <c r="D531" s="17">
        <v>1.0</v>
      </c>
      <c r="E531" s="18">
        <v>0.5416666666666666</v>
      </c>
      <c r="F531" s="34">
        <v>0.5611111111111111</v>
      </c>
      <c r="G531" s="33">
        <v>42.0</v>
      </c>
      <c r="H531" s="14" t="s">
        <v>147</v>
      </c>
      <c r="I531" s="14" t="s">
        <v>224</v>
      </c>
      <c r="J531" s="21" t="s">
        <v>37</v>
      </c>
      <c r="K531" s="22" t="s">
        <v>63</v>
      </c>
      <c r="L531" s="23" t="s">
        <v>54</v>
      </c>
      <c r="M531" s="24" t="s">
        <v>64</v>
      </c>
      <c r="N531" s="25" t="s">
        <v>728</v>
      </c>
      <c r="O531" s="26"/>
      <c r="P531" s="14">
        <v>1.0</v>
      </c>
      <c r="Q531" s="14">
        <v>0.0</v>
      </c>
      <c r="R531" s="27">
        <v>0.0</v>
      </c>
      <c r="S531" s="33">
        <v>0.0</v>
      </c>
      <c r="T531" s="28">
        <v>1.0</v>
      </c>
      <c r="U531" s="33">
        <v>0.0</v>
      </c>
      <c r="V531" s="14">
        <v>0.0</v>
      </c>
      <c r="W531" s="14">
        <v>0.0</v>
      </c>
      <c r="X531" s="56" t="s">
        <v>44</v>
      </c>
      <c r="Y531" s="30" t="s">
        <v>44</v>
      </c>
      <c r="Z531" s="29" t="s">
        <v>44</v>
      </c>
      <c r="AA531" s="32" t="s">
        <v>45</v>
      </c>
      <c r="AB531" s="25" t="s">
        <v>44</v>
      </c>
    </row>
    <row r="532" ht="19.5" hidden="1" customHeight="1">
      <c r="A532" s="14">
        <v>16.0</v>
      </c>
      <c r="B532" s="15">
        <v>45983.0</v>
      </c>
      <c r="C532" s="16" t="s">
        <v>34</v>
      </c>
      <c r="D532" s="17">
        <v>1.0</v>
      </c>
      <c r="E532" s="18">
        <v>0.5472222222222223</v>
      </c>
      <c r="F532" s="34">
        <v>0.6576388888888889</v>
      </c>
      <c r="G532" s="33">
        <v>51.8</v>
      </c>
      <c r="H532" s="14" t="s">
        <v>35</v>
      </c>
      <c r="I532" s="14" t="s">
        <v>88</v>
      </c>
      <c r="J532" s="21" t="s">
        <v>49</v>
      </c>
      <c r="K532" s="22" t="s">
        <v>81</v>
      </c>
      <c r="L532" s="23" t="s">
        <v>54</v>
      </c>
      <c r="M532" s="24" t="s">
        <v>131</v>
      </c>
      <c r="N532" s="25" t="s">
        <v>40</v>
      </c>
      <c r="O532" s="26"/>
      <c r="P532" s="14">
        <v>1.0</v>
      </c>
      <c r="Q532" s="14">
        <v>0.0</v>
      </c>
      <c r="R532" s="27">
        <v>0.0</v>
      </c>
      <c r="S532" s="33">
        <v>0.0</v>
      </c>
      <c r="T532" s="28">
        <v>1.0</v>
      </c>
      <c r="U532" s="33">
        <v>0.0</v>
      </c>
      <c r="V532" s="14">
        <v>0.0</v>
      </c>
      <c r="W532" s="14">
        <v>0.0</v>
      </c>
      <c r="X532" s="56" t="s">
        <v>736</v>
      </c>
      <c r="Y532" s="30" t="s">
        <v>85</v>
      </c>
      <c r="Z532" s="29">
        <v>2.01901201013E11</v>
      </c>
      <c r="AA532" s="32" t="s">
        <v>33</v>
      </c>
      <c r="AB532" s="25">
        <v>24.0</v>
      </c>
    </row>
    <row r="533" ht="19.5" hidden="1" customHeight="1">
      <c r="A533" s="14">
        <v>17.0</v>
      </c>
      <c r="B533" s="15">
        <v>45983.0</v>
      </c>
      <c r="C533" s="16" t="s">
        <v>46</v>
      </c>
      <c r="D533" s="17">
        <v>1.0</v>
      </c>
      <c r="E533" s="18">
        <v>0.5736111111111111</v>
      </c>
      <c r="F533" s="34">
        <v>0.6847222222222222</v>
      </c>
      <c r="G533" s="33">
        <v>27.5</v>
      </c>
      <c r="H533" s="14" t="s">
        <v>47</v>
      </c>
      <c r="I533" s="14" t="s">
        <v>88</v>
      </c>
      <c r="J533" s="21" t="s">
        <v>49</v>
      </c>
      <c r="K533" s="22" t="s">
        <v>29</v>
      </c>
      <c r="L533" s="23" t="s">
        <v>54</v>
      </c>
      <c r="M533" s="24" t="s">
        <v>467</v>
      </c>
      <c r="N533" s="25" t="s">
        <v>737</v>
      </c>
      <c r="O533" s="26"/>
      <c r="P533" s="14">
        <v>1.0</v>
      </c>
      <c r="Q533" s="14">
        <v>0.0</v>
      </c>
      <c r="R533" s="27">
        <v>0.0</v>
      </c>
      <c r="S533" s="33">
        <v>0.0</v>
      </c>
      <c r="T533" s="28">
        <v>1.0</v>
      </c>
      <c r="U533" s="33">
        <v>0.0</v>
      </c>
      <c r="V533" s="14">
        <v>0.0</v>
      </c>
      <c r="W533" s="14">
        <v>0.0</v>
      </c>
      <c r="X533" s="56" t="s">
        <v>738</v>
      </c>
      <c r="Y533" s="30" t="s">
        <v>32</v>
      </c>
      <c r="Z533" s="29">
        <v>1.9070501106E10</v>
      </c>
      <c r="AA533" s="32" t="s">
        <v>33</v>
      </c>
      <c r="AB533" s="25">
        <v>36.0</v>
      </c>
    </row>
    <row r="534" ht="19.5" hidden="1" customHeight="1">
      <c r="A534" s="14">
        <v>18.0</v>
      </c>
      <c r="B534" s="15">
        <v>45983.0</v>
      </c>
      <c r="C534" s="16" t="s">
        <v>46</v>
      </c>
      <c r="D534" s="17">
        <v>1.0</v>
      </c>
      <c r="E534" s="18">
        <v>0.5972222222222222</v>
      </c>
      <c r="F534" s="34">
        <v>0.6930555555555555</v>
      </c>
      <c r="G534" s="33">
        <v>42.0</v>
      </c>
      <c r="H534" s="14">
        <v>1134.0</v>
      </c>
      <c r="I534" s="14" t="s">
        <v>59</v>
      </c>
      <c r="J534" s="21" t="s">
        <v>53</v>
      </c>
      <c r="K534" s="22" t="s">
        <v>81</v>
      </c>
      <c r="L534" s="23" t="s">
        <v>54</v>
      </c>
      <c r="M534" s="24" t="s">
        <v>131</v>
      </c>
      <c r="N534" s="25" t="s">
        <v>40</v>
      </c>
      <c r="O534" s="26"/>
      <c r="P534" s="14">
        <v>1.0</v>
      </c>
      <c r="Q534" s="14">
        <v>0.0</v>
      </c>
      <c r="R534" s="27">
        <v>0.0</v>
      </c>
      <c r="S534" s="33">
        <v>0.0</v>
      </c>
      <c r="T534" s="28">
        <v>1.0</v>
      </c>
      <c r="U534" s="33">
        <v>0.0</v>
      </c>
      <c r="V534" s="14">
        <v>0.0</v>
      </c>
      <c r="W534" s="14">
        <v>0.0</v>
      </c>
      <c r="X534" s="56" t="s">
        <v>739</v>
      </c>
      <c r="Y534" s="30" t="s">
        <v>85</v>
      </c>
      <c r="Z534" s="29">
        <v>2.419795360114E12</v>
      </c>
      <c r="AA534" s="32" t="s">
        <v>33</v>
      </c>
      <c r="AB534" s="25">
        <v>35.0</v>
      </c>
    </row>
    <row r="535" ht="19.5" hidden="1" customHeight="1">
      <c r="A535" s="14"/>
      <c r="B535" s="15">
        <v>45983.0</v>
      </c>
      <c r="C535" s="16"/>
      <c r="D535" s="17"/>
      <c r="E535" s="18"/>
      <c r="F535" s="34"/>
      <c r="G535" s="33"/>
      <c r="H535" s="14"/>
      <c r="I535" s="14"/>
      <c r="J535" s="21"/>
      <c r="K535" s="22" t="s">
        <v>81</v>
      </c>
      <c r="L535" s="23"/>
      <c r="M535" s="24"/>
      <c r="N535" s="25"/>
      <c r="O535" s="26"/>
      <c r="P535" s="14">
        <v>2.0</v>
      </c>
      <c r="Q535" s="14">
        <v>0.0</v>
      </c>
      <c r="R535" s="27">
        <v>0.0</v>
      </c>
      <c r="S535" s="33">
        <v>0.0</v>
      </c>
      <c r="T535" s="28">
        <v>2.0</v>
      </c>
      <c r="U535" s="33">
        <v>0.0</v>
      </c>
      <c r="V535" s="14">
        <v>0.0</v>
      </c>
      <c r="W535" s="14">
        <v>0.0</v>
      </c>
      <c r="X535" s="56" t="s">
        <v>740</v>
      </c>
      <c r="Y535" s="30" t="s">
        <v>32</v>
      </c>
      <c r="Z535" s="29">
        <v>2.599025190101E12</v>
      </c>
      <c r="AA535" s="32" t="s">
        <v>33</v>
      </c>
      <c r="AB535" s="25">
        <v>47.0</v>
      </c>
    </row>
    <row r="536" ht="19.5" hidden="1" customHeight="1">
      <c r="A536" s="14"/>
      <c r="B536" s="15">
        <v>45983.0</v>
      </c>
      <c r="C536" s="16"/>
      <c r="D536" s="17"/>
      <c r="E536" s="18"/>
      <c r="F536" s="34"/>
      <c r="G536" s="33"/>
      <c r="H536" s="14"/>
      <c r="I536" s="14"/>
      <c r="J536" s="21"/>
      <c r="K536" s="22" t="s">
        <v>63</v>
      </c>
      <c r="L536" s="23"/>
      <c r="M536" s="24"/>
      <c r="N536" s="25"/>
      <c r="O536" s="26"/>
      <c r="P536" s="14">
        <v>0.0</v>
      </c>
      <c r="Q536" s="14">
        <v>0.0</v>
      </c>
      <c r="R536" s="27">
        <v>0.0</v>
      </c>
      <c r="S536" s="33">
        <v>1.0</v>
      </c>
      <c r="T536" s="28">
        <v>1.0</v>
      </c>
      <c r="U536" s="33">
        <v>0.0</v>
      </c>
      <c r="V536" s="14">
        <v>0.0</v>
      </c>
      <c r="W536" s="14">
        <v>0.0</v>
      </c>
      <c r="X536" s="56" t="s">
        <v>741</v>
      </c>
      <c r="Y536" s="30" t="s">
        <v>44</v>
      </c>
      <c r="Z536" s="29" t="s">
        <v>44</v>
      </c>
      <c r="AA536" s="32" t="s">
        <v>33</v>
      </c>
      <c r="AB536" s="25">
        <v>34.0</v>
      </c>
    </row>
    <row r="537" ht="19.5" hidden="1" customHeight="1">
      <c r="A537" s="14">
        <v>19.0</v>
      </c>
      <c r="B537" s="15">
        <v>45983.0</v>
      </c>
      <c r="C537" s="16" t="s">
        <v>46</v>
      </c>
      <c r="D537" s="17">
        <v>3.0</v>
      </c>
      <c r="E537" s="18">
        <v>0.5902777777777778</v>
      </c>
      <c r="F537" s="34">
        <v>0.9465277777777777</v>
      </c>
      <c r="G537" s="33">
        <v>30.0</v>
      </c>
      <c r="H537" s="14" t="s">
        <v>66</v>
      </c>
      <c r="I537" s="14" t="s">
        <v>48</v>
      </c>
      <c r="J537" s="21" t="s">
        <v>87</v>
      </c>
      <c r="K537" s="22" t="s">
        <v>29</v>
      </c>
      <c r="L537" s="23" t="s">
        <v>38</v>
      </c>
      <c r="M537" s="24" t="s">
        <v>288</v>
      </c>
      <c r="N537" s="25" t="s">
        <v>742</v>
      </c>
      <c r="O537" s="26"/>
      <c r="P537" s="14">
        <v>2.0</v>
      </c>
      <c r="Q537" s="14">
        <v>0.0</v>
      </c>
      <c r="R537" s="27">
        <v>0.0</v>
      </c>
      <c r="S537" s="33">
        <v>0.0</v>
      </c>
      <c r="T537" s="28">
        <v>2.0</v>
      </c>
      <c r="U537" s="33">
        <v>0.0</v>
      </c>
      <c r="V537" s="14">
        <v>0.0</v>
      </c>
      <c r="W537" s="14">
        <v>0.0</v>
      </c>
      <c r="X537" s="56" t="s">
        <v>743</v>
      </c>
      <c r="Y537" s="30" t="s">
        <v>32</v>
      </c>
      <c r="Z537" s="29">
        <v>2.195324940415E12</v>
      </c>
      <c r="AA537" s="32" t="s">
        <v>33</v>
      </c>
      <c r="AB537" s="25">
        <v>47.0</v>
      </c>
    </row>
    <row r="538" ht="19.5" hidden="1" customHeight="1">
      <c r="A538" s="14"/>
      <c r="B538" s="15">
        <v>45983.0</v>
      </c>
      <c r="C538" s="16"/>
      <c r="D538" s="17"/>
      <c r="E538" s="18"/>
      <c r="F538" s="34"/>
      <c r="G538" s="33"/>
      <c r="H538" s="14"/>
      <c r="I538" s="14"/>
      <c r="J538" s="21"/>
      <c r="K538" s="22" t="s">
        <v>91</v>
      </c>
      <c r="L538" s="23"/>
      <c r="M538" s="24"/>
      <c r="N538" s="25"/>
      <c r="O538" s="26"/>
      <c r="P538" s="14">
        <v>2.0</v>
      </c>
      <c r="Q538" s="14">
        <v>0.0</v>
      </c>
      <c r="R538" s="27">
        <v>0.0</v>
      </c>
      <c r="S538" s="33">
        <v>0.0</v>
      </c>
      <c r="T538" s="28">
        <v>2.0</v>
      </c>
      <c r="U538" s="33">
        <v>0.0</v>
      </c>
      <c r="V538" s="14">
        <v>0.0</v>
      </c>
      <c r="W538" s="14">
        <v>0.0</v>
      </c>
      <c r="X538" s="61" t="s">
        <v>744</v>
      </c>
      <c r="Y538" s="30" t="s">
        <v>32</v>
      </c>
      <c r="Z538" s="61">
        <v>2.622290721008E12</v>
      </c>
      <c r="AA538" s="32" t="s">
        <v>33</v>
      </c>
      <c r="AB538" s="25">
        <v>40.0</v>
      </c>
    </row>
    <row r="539" ht="19.5" hidden="1" customHeight="1">
      <c r="A539" s="14">
        <v>20.0</v>
      </c>
      <c r="B539" s="15">
        <v>45983.0</v>
      </c>
      <c r="C539" s="16" t="s">
        <v>34</v>
      </c>
      <c r="D539" s="17">
        <v>2.0</v>
      </c>
      <c r="E539" s="18">
        <v>0.6659722222222222</v>
      </c>
      <c r="F539" s="34">
        <v>0.7138888888888889</v>
      </c>
      <c r="G539" s="33">
        <v>53.0</v>
      </c>
      <c r="H539" s="14" t="s">
        <v>181</v>
      </c>
      <c r="I539" s="14" t="s">
        <v>216</v>
      </c>
      <c r="J539" s="21" t="s">
        <v>87</v>
      </c>
      <c r="K539" s="22" t="s">
        <v>63</v>
      </c>
      <c r="L539" s="23" t="s">
        <v>38</v>
      </c>
      <c r="M539" s="24" t="s">
        <v>39</v>
      </c>
      <c r="N539" s="25" t="s">
        <v>745</v>
      </c>
      <c r="O539" s="26"/>
      <c r="P539" s="14">
        <v>1.0</v>
      </c>
      <c r="Q539" s="14">
        <v>0.0</v>
      </c>
      <c r="R539" s="27">
        <v>0.0</v>
      </c>
      <c r="S539" s="33">
        <v>0.0</v>
      </c>
      <c r="T539" s="28">
        <v>1.0</v>
      </c>
      <c r="U539" s="33">
        <v>0.0</v>
      </c>
      <c r="V539" s="14">
        <v>0.0</v>
      </c>
      <c r="W539" s="14">
        <v>0.0</v>
      </c>
      <c r="X539" s="61" t="s">
        <v>746</v>
      </c>
      <c r="Y539" s="30" t="s">
        <v>32</v>
      </c>
      <c r="Z539" s="61">
        <v>1.721035331001E12</v>
      </c>
      <c r="AA539" s="32" t="s">
        <v>33</v>
      </c>
      <c r="AB539" s="25">
        <v>39.0</v>
      </c>
    </row>
    <row r="540" ht="19.5" hidden="1" customHeight="1">
      <c r="A540" s="14">
        <v>21.0</v>
      </c>
      <c r="B540" s="15">
        <v>45983.0</v>
      </c>
      <c r="C540" s="16" t="s">
        <v>46</v>
      </c>
      <c r="D540" s="17">
        <v>1.0</v>
      </c>
      <c r="E540" s="18">
        <v>0.6888888888888889</v>
      </c>
      <c r="F540" s="34">
        <v>0.7131944444444445</v>
      </c>
      <c r="G540" s="33">
        <v>26.0</v>
      </c>
      <c r="H540" s="14" t="s">
        <v>147</v>
      </c>
      <c r="I540" s="14" t="s">
        <v>52</v>
      </c>
      <c r="J540" s="21" t="s">
        <v>53</v>
      </c>
      <c r="K540" s="22" t="s">
        <v>91</v>
      </c>
      <c r="L540" s="23" t="s">
        <v>54</v>
      </c>
      <c r="M540" s="24" t="s">
        <v>102</v>
      </c>
      <c r="N540" s="25" t="s">
        <v>747</v>
      </c>
      <c r="O540" s="26"/>
      <c r="P540" s="14">
        <v>1.0</v>
      </c>
      <c r="Q540" s="14">
        <v>0.0</v>
      </c>
      <c r="R540" s="27">
        <v>0.0</v>
      </c>
      <c r="S540" s="33">
        <v>0.0</v>
      </c>
      <c r="T540" s="28">
        <v>1.0</v>
      </c>
      <c r="U540" s="33">
        <v>0.0</v>
      </c>
      <c r="V540" s="14">
        <v>0.0</v>
      </c>
      <c r="W540" s="14">
        <v>0.0</v>
      </c>
      <c r="X540" s="56" t="s">
        <v>748</v>
      </c>
      <c r="Y540" s="30" t="s">
        <v>32</v>
      </c>
      <c r="Z540" s="29">
        <v>2.9776428470413E13</v>
      </c>
      <c r="AA540" s="32" t="s">
        <v>33</v>
      </c>
      <c r="AB540" s="25">
        <v>29.0</v>
      </c>
    </row>
    <row r="541" ht="19.5" hidden="1" customHeight="1">
      <c r="A541" s="14">
        <v>22.0</v>
      </c>
      <c r="B541" s="15">
        <v>45983.0</v>
      </c>
      <c r="C541" s="16"/>
      <c r="D541" s="17">
        <v>1.0</v>
      </c>
      <c r="E541" s="18">
        <v>0.70625</v>
      </c>
      <c r="F541" s="34">
        <v>0.7194444444444444</v>
      </c>
      <c r="G541" s="33">
        <v>80.6</v>
      </c>
      <c r="H541" s="14">
        <v>1125.0</v>
      </c>
      <c r="I541" s="14" t="s">
        <v>36</v>
      </c>
      <c r="J541" s="21" t="s">
        <v>37</v>
      </c>
      <c r="K541" s="22" t="s">
        <v>81</v>
      </c>
      <c r="L541" s="23" t="s">
        <v>54</v>
      </c>
      <c r="M541" s="24" t="s">
        <v>102</v>
      </c>
      <c r="N541" s="25" t="s">
        <v>749</v>
      </c>
      <c r="O541" s="26"/>
      <c r="P541" s="14">
        <v>3.0</v>
      </c>
      <c r="Q541" s="14">
        <v>0.0</v>
      </c>
      <c r="R541" s="27">
        <v>0.0</v>
      </c>
      <c r="S541" s="33">
        <v>0.0</v>
      </c>
      <c r="T541" s="28">
        <v>3.0</v>
      </c>
      <c r="U541" s="33">
        <v>0.0</v>
      </c>
      <c r="V541" s="14">
        <v>0.0</v>
      </c>
      <c r="W541" s="14">
        <v>0.0</v>
      </c>
      <c r="X541" s="35" t="s">
        <v>750</v>
      </c>
      <c r="Y541" s="30" t="s">
        <v>61</v>
      </c>
      <c r="Z541" s="35">
        <v>3.222797470507E12</v>
      </c>
      <c r="AA541" s="32" t="s">
        <v>33</v>
      </c>
      <c r="AB541" s="25">
        <v>25.0</v>
      </c>
    </row>
    <row r="542" ht="19.5" hidden="1" customHeight="1">
      <c r="A542" s="14">
        <v>22.0</v>
      </c>
      <c r="B542" s="15">
        <v>45983.0</v>
      </c>
      <c r="C542" s="16" t="s">
        <v>46</v>
      </c>
      <c r="D542" s="17">
        <v>1.0</v>
      </c>
      <c r="E542" s="18">
        <v>0.7173611111111111</v>
      </c>
      <c r="F542" s="34">
        <v>0.7333333333333333</v>
      </c>
      <c r="G542" s="33">
        <v>19.0</v>
      </c>
      <c r="H542" s="14" t="s">
        <v>147</v>
      </c>
      <c r="I542" s="14" t="s">
        <v>52</v>
      </c>
      <c r="J542" s="21" t="s">
        <v>37</v>
      </c>
      <c r="K542" s="22" t="s">
        <v>100</v>
      </c>
      <c r="L542" s="23" t="s">
        <v>54</v>
      </c>
      <c r="M542" s="24" t="s">
        <v>64</v>
      </c>
      <c r="N542" s="25" t="s">
        <v>209</v>
      </c>
      <c r="O542" s="26"/>
      <c r="P542" s="14">
        <v>3.0</v>
      </c>
      <c r="Q542" s="14">
        <v>0.0</v>
      </c>
      <c r="R542" s="27">
        <v>0.0</v>
      </c>
      <c r="S542" s="33">
        <v>0.0</v>
      </c>
      <c r="T542" s="28">
        <v>3.0</v>
      </c>
      <c r="U542" s="33">
        <v>0.0</v>
      </c>
      <c r="V542" s="14">
        <v>0.0</v>
      </c>
      <c r="W542" s="14">
        <v>0.0</v>
      </c>
      <c r="X542" s="35" t="s">
        <v>751</v>
      </c>
      <c r="Y542" s="30" t="s">
        <v>115</v>
      </c>
      <c r="Z542" s="29" t="s">
        <v>752</v>
      </c>
      <c r="AA542" s="32" t="s">
        <v>33</v>
      </c>
      <c r="AB542" s="25">
        <v>43.0</v>
      </c>
    </row>
    <row r="543" ht="19.5" hidden="1" customHeight="1">
      <c r="A543" s="14">
        <v>23.0</v>
      </c>
      <c r="B543" s="15">
        <v>45983.0</v>
      </c>
      <c r="C543" s="16" t="s">
        <v>46</v>
      </c>
      <c r="D543" s="17">
        <v>1.0</v>
      </c>
      <c r="E543" s="18">
        <v>0.7548611111111111</v>
      </c>
      <c r="F543" s="34">
        <v>0.7888888888888889</v>
      </c>
      <c r="G543" s="33">
        <v>24.0</v>
      </c>
      <c r="H543" s="14" t="s">
        <v>147</v>
      </c>
      <c r="I543" s="14" t="s">
        <v>52</v>
      </c>
      <c r="J543" s="21" t="s">
        <v>37</v>
      </c>
      <c r="K543" s="22" t="s">
        <v>100</v>
      </c>
      <c r="L543" s="23" t="s">
        <v>54</v>
      </c>
      <c r="M543" s="24" t="s">
        <v>67</v>
      </c>
      <c r="N543" s="25" t="s">
        <v>753</v>
      </c>
      <c r="O543" s="26"/>
      <c r="P543" s="14">
        <v>1.0</v>
      </c>
      <c r="Q543" s="14">
        <v>0.0</v>
      </c>
      <c r="R543" s="27">
        <v>0.0</v>
      </c>
      <c r="S543" s="33">
        <v>0.0</v>
      </c>
      <c r="T543" s="28">
        <v>1.0</v>
      </c>
      <c r="U543" s="33">
        <v>0.0</v>
      </c>
      <c r="V543" s="14">
        <v>0.0</v>
      </c>
      <c r="W543" s="14">
        <v>0.0</v>
      </c>
      <c r="X543" s="56" t="s">
        <v>754</v>
      </c>
      <c r="Y543" s="30" t="s">
        <v>85</v>
      </c>
      <c r="Z543" s="29">
        <v>1.960524590101E12</v>
      </c>
      <c r="AA543" s="32" t="s">
        <v>33</v>
      </c>
      <c r="AB543" s="25">
        <v>57.0</v>
      </c>
    </row>
    <row r="544" ht="19.5" hidden="1" customHeight="1">
      <c r="A544" s="14">
        <v>24.0</v>
      </c>
      <c r="B544" s="15">
        <v>45983.0</v>
      </c>
      <c r="C544" s="16" t="s">
        <v>46</v>
      </c>
      <c r="D544" s="17">
        <v>1.0</v>
      </c>
      <c r="E544" s="18">
        <v>0.7986111111111112</v>
      </c>
      <c r="F544" s="34">
        <v>0.8256944444444444</v>
      </c>
      <c r="G544" s="33">
        <v>25.0</v>
      </c>
      <c r="H544" s="14" t="s">
        <v>147</v>
      </c>
      <c r="I544" s="14" t="s">
        <v>52</v>
      </c>
      <c r="J544" s="21" t="s">
        <v>37</v>
      </c>
      <c r="K544" s="22" t="s">
        <v>63</v>
      </c>
      <c r="L544" s="23" t="s">
        <v>54</v>
      </c>
      <c r="M544" s="24" t="s">
        <v>67</v>
      </c>
      <c r="N544" s="25" t="s">
        <v>169</v>
      </c>
      <c r="O544" s="26"/>
      <c r="P544" s="14">
        <v>1.0</v>
      </c>
      <c r="Q544" s="14">
        <v>0.0</v>
      </c>
      <c r="R544" s="27">
        <v>0.0</v>
      </c>
      <c r="S544" s="33">
        <v>0.0</v>
      </c>
      <c r="T544" s="28">
        <v>1.0</v>
      </c>
      <c r="U544" s="33">
        <v>0.0</v>
      </c>
      <c r="V544" s="14">
        <v>0.0</v>
      </c>
      <c r="W544" s="14">
        <v>0.0</v>
      </c>
      <c r="X544" s="35" t="s">
        <v>755</v>
      </c>
      <c r="Y544" s="30" t="s">
        <v>61</v>
      </c>
      <c r="Z544" s="35" t="s">
        <v>756</v>
      </c>
      <c r="AA544" s="32" t="s">
        <v>33</v>
      </c>
      <c r="AB544" s="25">
        <v>39.0</v>
      </c>
    </row>
    <row r="545" ht="19.5" hidden="1" customHeight="1">
      <c r="A545" s="14">
        <v>25.0</v>
      </c>
      <c r="B545" s="15">
        <v>45983.0</v>
      </c>
      <c r="C545" s="16" t="s">
        <v>407</v>
      </c>
      <c r="D545" s="17">
        <v>1.0</v>
      </c>
      <c r="E545" s="18">
        <v>0.8465277777777778</v>
      </c>
      <c r="F545" s="34">
        <v>0.875</v>
      </c>
      <c r="G545" s="33" t="s">
        <v>757</v>
      </c>
      <c r="H545" s="14">
        <v>1132.0</v>
      </c>
      <c r="I545" s="14" t="s">
        <v>80</v>
      </c>
      <c r="J545" s="21" t="s">
        <v>49</v>
      </c>
      <c r="K545" s="22" t="s">
        <v>29</v>
      </c>
      <c r="L545" s="23" t="s">
        <v>54</v>
      </c>
      <c r="M545" s="24" t="s">
        <v>64</v>
      </c>
      <c r="N545" s="25" t="s">
        <v>758</v>
      </c>
      <c r="O545" s="26"/>
      <c r="P545" s="14">
        <v>1.0</v>
      </c>
      <c r="Q545" s="14">
        <v>0.0</v>
      </c>
      <c r="R545" s="27">
        <v>0.0</v>
      </c>
      <c r="S545" s="33">
        <v>0.0</v>
      </c>
      <c r="T545" s="28">
        <v>0.0</v>
      </c>
      <c r="U545" s="33">
        <v>0.0</v>
      </c>
      <c r="V545" s="14">
        <v>0.0</v>
      </c>
      <c r="W545" s="14">
        <v>0.0</v>
      </c>
      <c r="X545" s="56" t="s">
        <v>759</v>
      </c>
      <c r="Y545" s="30" t="s">
        <v>32</v>
      </c>
      <c r="Z545" s="29" t="s">
        <v>760</v>
      </c>
      <c r="AA545" s="32" t="s">
        <v>33</v>
      </c>
      <c r="AB545" s="25">
        <v>34.0</v>
      </c>
    </row>
    <row r="546" ht="19.5" hidden="1" customHeight="1">
      <c r="A546" s="14">
        <v>26.0</v>
      </c>
      <c r="B546" s="15">
        <v>45983.0</v>
      </c>
      <c r="C546" s="16" t="s">
        <v>46</v>
      </c>
      <c r="D546" s="17">
        <v>1.0</v>
      </c>
      <c r="E546" s="18">
        <v>0.8645833333333334</v>
      </c>
      <c r="F546" s="34">
        <v>0.8694444444444445</v>
      </c>
      <c r="G546" s="33">
        <v>26.0</v>
      </c>
      <c r="H546" s="14">
        <v>1134.0</v>
      </c>
      <c r="I546" s="14" t="s">
        <v>59</v>
      </c>
      <c r="J546" s="21" t="s">
        <v>37</v>
      </c>
      <c r="K546" s="22" t="s">
        <v>100</v>
      </c>
      <c r="L546" s="23" t="s">
        <v>54</v>
      </c>
      <c r="M546" s="24" t="s">
        <v>64</v>
      </c>
      <c r="N546" s="25" t="s">
        <v>169</v>
      </c>
      <c r="O546" s="26"/>
      <c r="P546" s="14">
        <v>1.0</v>
      </c>
      <c r="Q546" s="14">
        <v>0.0</v>
      </c>
      <c r="R546" s="27">
        <v>0.0</v>
      </c>
      <c r="S546" s="33">
        <v>0.0</v>
      </c>
      <c r="T546" s="28">
        <v>1.0</v>
      </c>
      <c r="U546" s="33">
        <v>0.0</v>
      </c>
      <c r="V546" s="14">
        <v>0.0</v>
      </c>
      <c r="W546" s="14">
        <v>0.0</v>
      </c>
      <c r="X546" s="56" t="s">
        <v>761</v>
      </c>
      <c r="Y546" s="30" t="s">
        <v>61</v>
      </c>
      <c r="Z546" s="29" t="s">
        <v>762</v>
      </c>
      <c r="AA546" s="32" t="s">
        <v>33</v>
      </c>
      <c r="AB546" s="25">
        <v>33.0</v>
      </c>
    </row>
    <row r="547" ht="19.5" hidden="1" customHeight="1">
      <c r="A547" s="14"/>
      <c r="B547" s="15">
        <v>45984.0</v>
      </c>
      <c r="C547" s="16"/>
      <c r="D547" s="17"/>
      <c r="E547" s="18"/>
      <c r="F547" s="34"/>
      <c r="G547" s="33"/>
      <c r="H547" s="14"/>
      <c r="I547" s="14"/>
      <c r="J547" s="21"/>
      <c r="K547" s="22" t="s">
        <v>250</v>
      </c>
      <c r="L547" s="23"/>
      <c r="M547" s="24"/>
      <c r="N547" s="25"/>
      <c r="O547" s="26"/>
      <c r="P547" s="14">
        <v>0.0</v>
      </c>
      <c r="Q547" s="14">
        <v>0.0</v>
      </c>
      <c r="R547" s="27">
        <v>0.0</v>
      </c>
      <c r="S547" s="33">
        <v>0.0</v>
      </c>
      <c r="T547" s="28">
        <v>0.0</v>
      </c>
      <c r="U547" s="33">
        <v>0.0</v>
      </c>
      <c r="V547" s="14">
        <v>0.0</v>
      </c>
      <c r="W547" s="14">
        <v>0.0</v>
      </c>
      <c r="X547" s="29" t="s">
        <v>44</v>
      </c>
      <c r="Y547" s="30" t="s">
        <v>44</v>
      </c>
      <c r="Z547" s="29" t="s">
        <v>44</v>
      </c>
      <c r="AA547" s="32" t="s">
        <v>45</v>
      </c>
      <c r="AB547" s="25" t="s">
        <v>44</v>
      </c>
    </row>
    <row r="548" ht="19.5" hidden="1" customHeight="1">
      <c r="A548" s="14">
        <v>26.0</v>
      </c>
      <c r="B548" s="15">
        <v>45984.0</v>
      </c>
      <c r="C548" s="16" t="s">
        <v>46</v>
      </c>
      <c r="D548" s="17">
        <v>2.0</v>
      </c>
      <c r="E548" s="18">
        <v>0.020833333333333332</v>
      </c>
      <c r="F548" s="34">
        <v>0.075</v>
      </c>
      <c r="G548" s="33">
        <v>35.0</v>
      </c>
      <c r="H548" s="14" t="s">
        <v>58</v>
      </c>
      <c r="I548" s="14" t="s">
        <v>52</v>
      </c>
      <c r="J548" s="21" t="s">
        <v>53</v>
      </c>
      <c r="K548" s="22" t="s">
        <v>89</v>
      </c>
      <c r="L548" s="23" t="s">
        <v>38</v>
      </c>
      <c r="M548" s="24" t="s">
        <v>39</v>
      </c>
      <c r="N548" s="25" t="s">
        <v>283</v>
      </c>
      <c r="O548" s="26"/>
      <c r="P548" s="14">
        <v>0.0</v>
      </c>
      <c r="Q548" s="14">
        <v>0.0</v>
      </c>
      <c r="R548" s="27">
        <v>1.0</v>
      </c>
      <c r="S548" s="33">
        <v>0.0</v>
      </c>
      <c r="T548" s="28">
        <v>0.0</v>
      </c>
      <c r="U548" s="33">
        <v>0.0</v>
      </c>
      <c r="V548" s="14">
        <v>0.0</v>
      </c>
      <c r="W548" s="14">
        <v>0.0</v>
      </c>
      <c r="X548" s="26" t="s">
        <v>763</v>
      </c>
      <c r="Y548" s="30" t="s">
        <v>259</v>
      </c>
      <c r="Z548" s="26">
        <v>6.77958480713E11</v>
      </c>
      <c r="AA548" s="32" t="s">
        <v>33</v>
      </c>
      <c r="AB548" s="25">
        <v>40.0</v>
      </c>
    </row>
    <row r="549" ht="19.5" hidden="1" customHeight="1">
      <c r="A549" s="14">
        <v>27.0</v>
      </c>
      <c r="B549" s="15">
        <v>45984.0</v>
      </c>
      <c r="C549" s="16" t="s">
        <v>46</v>
      </c>
      <c r="D549" s="17">
        <v>1.0</v>
      </c>
      <c r="E549" s="18">
        <v>0.20833333333333334</v>
      </c>
      <c r="F549" s="34">
        <v>0.21180555555555555</v>
      </c>
      <c r="G549" s="33">
        <v>8.0</v>
      </c>
      <c r="H549" s="14" t="s">
        <v>47</v>
      </c>
      <c r="I549" s="14" t="s">
        <v>52</v>
      </c>
      <c r="J549" s="21" t="s">
        <v>53</v>
      </c>
      <c r="K549" s="22" t="s">
        <v>81</v>
      </c>
      <c r="L549" s="23" t="s">
        <v>54</v>
      </c>
      <c r="M549" s="24" t="s">
        <v>64</v>
      </c>
      <c r="N549" s="25" t="s">
        <v>40</v>
      </c>
      <c r="O549" s="26"/>
      <c r="P549" s="14">
        <v>1.0</v>
      </c>
      <c r="Q549" s="14">
        <v>0.0</v>
      </c>
      <c r="R549" s="27">
        <v>0.0</v>
      </c>
      <c r="S549" s="33">
        <v>0.0</v>
      </c>
      <c r="T549" s="28">
        <v>1.0</v>
      </c>
      <c r="U549" s="33">
        <v>0.0</v>
      </c>
      <c r="V549" s="14">
        <v>0.0</v>
      </c>
      <c r="W549" s="14">
        <v>0.0</v>
      </c>
      <c r="X549" s="56" t="s">
        <v>764</v>
      </c>
      <c r="Y549" s="30" t="s">
        <v>32</v>
      </c>
      <c r="Z549" s="29">
        <v>2.415698420114E12</v>
      </c>
      <c r="AA549" s="32" t="s">
        <v>33</v>
      </c>
      <c r="AB549" s="25">
        <v>36.0</v>
      </c>
    </row>
    <row r="550" ht="19.5" hidden="1" customHeight="1">
      <c r="A550" s="14"/>
      <c r="B550" s="15">
        <v>45984.0</v>
      </c>
      <c r="C550" s="16"/>
      <c r="D550" s="17"/>
      <c r="E550" s="18"/>
      <c r="F550" s="34"/>
      <c r="G550" s="33"/>
      <c r="H550" s="14"/>
      <c r="I550" s="14"/>
      <c r="J550" s="21"/>
      <c r="K550" s="22" t="s">
        <v>63</v>
      </c>
      <c r="L550" s="23"/>
      <c r="M550" s="24"/>
      <c r="N550" s="25"/>
      <c r="O550" s="26"/>
      <c r="P550" s="14">
        <v>1.0</v>
      </c>
      <c r="Q550" s="14">
        <v>0.0</v>
      </c>
      <c r="R550" s="27">
        <v>0.0</v>
      </c>
      <c r="S550" s="33">
        <v>0.0</v>
      </c>
      <c r="T550" s="28">
        <v>1.0</v>
      </c>
      <c r="U550" s="33">
        <v>0.0</v>
      </c>
      <c r="V550" s="14">
        <v>0.0</v>
      </c>
      <c r="W550" s="14">
        <v>0.0</v>
      </c>
      <c r="X550" s="35" t="s">
        <v>765</v>
      </c>
      <c r="Y550" s="30" t="s">
        <v>415</v>
      </c>
      <c r="Z550" s="35">
        <v>1.01199300487E11</v>
      </c>
      <c r="AA550" s="32" t="s">
        <v>33</v>
      </c>
      <c r="AB550" s="35">
        <v>33.0</v>
      </c>
    </row>
    <row r="551" ht="19.5" hidden="1" customHeight="1">
      <c r="A551" s="14">
        <v>3.0</v>
      </c>
      <c r="B551" s="15">
        <v>45984.0</v>
      </c>
      <c r="C551" s="16" t="s">
        <v>34</v>
      </c>
      <c r="D551" s="17">
        <v>2.0</v>
      </c>
      <c r="E551" s="18">
        <v>0.22708333333333333</v>
      </c>
      <c r="F551" s="34">
        <v>0.6194444444444445</v>
      </c>
      <c r="G551" s="33">
        <v>52.0</v>
      </c>
      <c r="H551" s="14" t="s">
        <v>181</v>
      </c>
      <c r="I551" s="14" t="s">
        <v>88</v>
      </c>
      <c r="J551" s="21" t="s">
        <v>49</v>
      </c>
      <c r="K551" s="22" t="s">
        <v>29</v>
      </c>
      <c r="L551" s="23" t="s">
        <v>38</v>
      </c>
      <c r="M551" s="24" t="s">
        <v>39</v>
      </c>
      <c r="N551" s="25" t="s">
        <v>412</v>
      </c>
      <c r="O551" s="26" t="s">
        <v>766</v>
      </c>
      <c r="P551" s="14">
        <v>1.0</v>
      </c>
      <c r="Q551" s="14">
        <v>0.0</v>
      </c>
      <c r="R551" s="27">
        <v>0.0</v>
      </c>
      <c r="S551" s="33">
        <v>1.0</v>
      </c>
      <c r="T551" s="28">
        <v>0.0</v>
      </c>
      <c r="U551" s="33">
        <v>0.0</v>
      </c>
      <c r="V551" s="14">
        <v>0.0</v>
      </c>
      <c r="W551" s="14">
        <v>0.0</v>
      </c>
      <c r="X551" s="35" t="s">
        <v>767</v>
      </c>
      <c r="Y551" s="30" t="s">
        <v>44</v>
      </c>
      <c r="Z551" s="35" t="s">
        <v>44</v>
      </c>
      <c r="AA551" s="32" t="s">
        <v>45</v>
      </c>
      <c r="AB551" s="25">
        <v>38.0</v>
      </c>
    </row>
    <row r="552" ht="19.5" hidden="1" customHeight="1">
      <c r="A552" s="14">
        <v>4.0</v>
      </c>
      <c r="B552" s="15">
        <v>45984.0</v>
      </c>
      <c r="C552" s="16" t="s">
        <v>34</v>
      </c>
      <c r="D552" s="17">
        <v>1.0</v>
      </c>
      <c r="E552" s="18">
        <v>0.22916666666666666</v>
      </c>
      <c r="F552" s="34">
        <v>0.33541666666666664</v>
      </c>
      <c r="G552" s="33">
        <v>47.0</v>
      </c>
      <c r="H552" s="14" t="s">
        <v>35</v>
      </c>
      <c r="I552" s="14" t="s">
        <v>88</v>
      </c>
      <c r="J552" s="21" t="s">
        <v>49</v>
      </c>
      <c r="K552" s="22" t="s">
        <v>29</v>
      </c>
      <c r="L552" s="23" t="s">
        <v>54</v>
      </c>
      <c r="M552" s="24" t="s">
        <v>64</v>
      </c>
      <c r="N552" s="25" t="s">
        <v>283</v>
      </c>
      <c r="O552" s="26"/>
      <c r="P552" s="14">
        <v>1.0</v>
      </c>
      <c r="Q552" s="14">
        <v>0.0</v>
      </c>
      <c r="R552" s="27">
        <v>0.0</v>
      </c>
      <c r="S552" s="33">
        <v>0.0</v>
      </c>
      <c r="T552" s="28">
        <v>1.0</v>
      </c>
      <c r="U552" s="33">
        <v>0.0</v>
      </c>
      <c r="V552" s="14">
        <v>0.0</v>
      </c>
      <c r="W552" s="14">
        <v>0.0</v>
      </c>
      <c r="X552" s="35" t="s">
        <v>768</v>
      </c>
      <c r="Y552" s="30" t="s">
        <v>32</v>
      </c>
      <c r="Z552" s="35">
        <v>1.623611732215E12</v>
      </c>
      <c r="AA552" s="32" t="s">
        <v>33</v>
      </c>
      <c r="AB552" s="25">
        <v>58.0</v>
      </c>
    </row>
    <row r="553" ht="19.5" hidden="1" customHeight="1">
      <c r="A553" s="14">
        <v>5.0</v>
      </c>
      <c r="B553" s="15">
        <v>45984.0</v>
      </c>
      <c r="C553" s="16" t="s">
        <v>46</v>
      </c>
      <c r="D553" s="17">
        <v>1.0</v>
      </c>
      <c r="E553" s="18">
        <v>0.2465277777777778</v>
      </c>
      <c r="F553" s="34">
        <v>0.34097222222222223</v>
      </c>
      <c r="G553" s="33">
        <v>49.0</v>
      </c>
      <c r="H553" s="14" t="s">
        <v>47</v>
      </c>
      <c r="I553" s="14" t="s">
        <v>59</v>
      </c>
      <c r="J553" s="21" t="s">
        <v>53</v>
      </c>
      <c r="K553" s="22" t="s">
        <v>100</v>
      </c>
      <c r="L553" s="23" t="s">
        <v>38</v>
      </c>
      <c r="M553" s="24" t="s">
        <v>82</v>
      </c>
      <c r="N553" s="25" t="s">
        <v>148</v>
      </c>
      <c r="O553" s="26"/>
      <c r="P553" s="14">
        <v>1.0</v>
      </c>
      <c r="Q553" s="14">
        <v>0.0</v>
      </c>
      <c r="R553" s="27">
        <v>0.0</v>
      </c>
      <c r="S553" s="33">
        <v>0.0</v>
      </c>
      <c r="T553" s="28">
        <v>1.0</v>
      </c>
      <c r="U553" s="33">
        <v>0.0</v>
      </c>
      <c r="V553" s="14">
        <v>0.0</v>
      </c>
      <c r="W553" s="14">
        <v>0.0</v>
      </c>
      <c r="X553" s="56" t="s">
        <v>769</v>
      </c>
      <c r="Y553" s="30" t="s">
        <v>61</v>
      </c>
      <c r="Z553" s="29">
        <v>1.847479882212E12</v>
      </c>
      <c r="AA553" s="32" t="s">
        <v>127</v>
      </c>
      <c r="AB553" s="25">
        <v>37.0</v>
      </c>
    </row>
    <row r="554" ht="19.5" hidden="1" customHeight="1">
      <c r="A554" s="14">
        <v>6.0</v>
      </c>
      <c r="B554" s="15">
        <v>45984.0</v>
      </c>
      <c r="C554" s="16" t="s">
        <v>128</v>
      </c>
      <c r="D554" s="17">
        <v>1.0</v>
      </c>
      <c r="E554" s="18">
        <v>0.2791666666666667</v>
      </c>
      <c r="F554" s="34">
        <v>0.3</v>
      </c>
      <c r="G554" s="33">
        <v>159.0</v>
      </c>
      <c r="H554" s="14" t="s">
        <v>252</v>
      </c>
      <c r="I554" s="14" t="s">
        <v>48</v>
      </c>
      <c r="J554" s="21" t="s">
        <v>87</v>
      </c>
      <c r="K554" s="22" t="s">
        <v>100</v>
      </c>
      <c r="L554" s="23" t="s">
        <v>38</v>
      </c>
      <c r="M554" s="24" t="s">
        <v>108</v>
      </c>
      <c r="N554" s="25" t="s">
        <v>40</v>
      </c>
      <c r="O554" s="26"/>
      <c r="P554" s="14">
        <v>1.0</v>
      </c>
      <c r="Q554" s="14">
        <v>0.0</v>
      </c>
      <c r="R554" s="27">
        <v>0.0</v>
      </c>
      <c r="S554" s="33">
        <v>1.0</v>
      </c>
      <c r="T554" s="28">
        <v>0.0</v>
      </c>
      <c r="U554" s="33">
        <v>0.0</v>
      </c>
      <c r="V554" s="14">
        <v>0.0</v>
      </c>
      <c r="W554" s="14">
        <v>0.0</v>
      </c>
      <c r="X554" s="29" t="s">
        <v>44</v>
      </c>
      <c r="Y554" s="29" t="s">
        <v>44</v>
      </c>
      <c r="Z554" s="29" t="s">
        <v>44</v>
      </c>
      <c r="AA554" s="29" t="s">
        <v>44</v>
      </c>
      <c r="AB554" s="29" t="s">
        <v>44</v>
      </c>
    </row>
    <row r="555" ht="19.5" hidden="1" customHeight="1">
      <c r="A555" s="14">
        <v>7.0</v>
      </c>
      <c r="B555" s="15">
        <v>45984.0</v>
      </c>
      <c r="C555" s="16" t="s">
        <v>46</v>
      </c>
      <c r="D555" s="17">
        <v>1.0</v>
      </c>
      <c r="E555" s="18">
        <v>0.33194444444444443</v>
      </c>
      <c r="F555" s="34">
        <v>0.41805555555555557</v>
      </c>
      <c r="G555" s="33">
        <v>22.0</v>
      </c>
      <c r="H555" s="14" t="s">
        <v>51</v>
      </c>
      <c r="I555" s="14" t="s">
        <v>691</v>
      </c>
      <c r="J555" s="21" t="s">
        <v>37</v>
      </c>
      <c r="K555" s="22" t="s">
        <v>75</v>
      </c>
      <c r="L555" s="23" t="s">
        <v>54</v>
      </c>
      <c r="M555" s="24" t="s">
        <v>76</v>
      </c>
      <c r="N555" s="25"/>
      <c r="O555" s="26"/>
      <c r="P555" s="14">
        <v>0.0</v>
      </c>
      <c r="Q555" s="14">
        <v>0.0</v>
      </c>
      <c r="R555" s="27">
        <v>0.0</v>
      </c>
      <c r="S555" s="33">
        <v>0.0</v>
      </c>
      <c r="T555" s="28">
        <v>0.0</v>
      </c>
      <c r="U555" s="33">
        <v>0.0</v>
      </c>
      <c r="V555" s="14">
        <v>0.0</v>
      </c>
      <c r="W555" s="14">
        <v>0.0</v>
      </c>
      <c r="X555" s="29" t="s">
        <v>44</v>
      </c>
      <c r="Y555" s="30" t="s">
        <v>44</v>
      </c>
      <c r="Z555" s="29" t="s">
        <v>44</v>
      </c>
      <c r="AA555" s="29" t="s">
        <v>44</v>
      </c>
      <c r="AB555" s="29" t="s">
        <v>44</v>
      </c>
    </row>
    <row r="556" ht="19.5" hidden="1" customHeight="1">
      <c r="A556" s="14">
        <v>8.0</v>
      </c>
      <c r="B556" s="15">
        <v>45984.0</v>
      </c>
      <c r="C556" s="16" t="s">
        <v>46</v>
      </c>
      <c r="D556" s="17" t="s">
        <v>50</v>
      </c>
      <c r="E556" s="18">
        <v>0.33402777777777776</v>
      </c>
      <c r="F556" s="34">
        <v>0.46041666666666664</v>
      </c>
      <c r="G556" s="33">
        <v>72.0</v>
      </c>
      <c r="H556" s="14" t="s">
        <v>173</v>
      </c>
      <c r="I556" s="14" t="s">
        <v>52</v>
      </c>
      <c r="J556" s="21" t="s">
        <v>37</v>
      </c>
      <c r="K556" s="22" t="s">
        <v>22</v>
      </c>
      <c r="L556" s="23" t="s">
        <v>54</v>
      </c>
      <c r="M556" s="24" t="s">
        <v>387</v>
      </c>
      <c r="N556" s="25" t="s">
        <v>770</v>
      </c>
      <c r="O556" s="26"/>
      <c r="P556" s="14">
        <v>25.0</v>
      </c>
      <c r="Q556" s="14">
        <v>0.0</v>
      </c>
      <c r="R556" s="27">
        <v>0.0</v>
      </c>
      <c r="S556" s="33">
        <v>0.0</v>
      </c>
      <c r="T556" s="28">
        <v>25.0</v>
      </c>
      <c r="U556" s="33">
        <v>0.0</v>
      </c>
      <c r="V556" s="14">
        <v>0.0</v>
      </c>
      <c r="W556" s="14">
        <v>0.0</v>
      </c>
      <c r="X556" s="29" t="s">
        <v>44</v>
      </c>
      <c r="Y556" s="29" t="s">
        <v>44</v>
      </c>
      <c r="Z556" s="29" t="s">
        <v>44</v>
      </c>
      <c r="AA556" s="29" t="s">
        <v>44</v>
      </c>
      <c r="AB556" s="29" t="s">
        <v>44</v>
      </c>
    </row>
    <row r="557" ht="19.5" hidden="1" customHeight="1">
      <c r="A557" s="14">
        <v>9.0</v>
      </c>
      <c r="B557" s="15">
        <v>45984.0</v>
      </c>
      <c r="C557" s="16" t="s">
        <v>46</v>
      </c>
      <c r="D557" s="17">
        <v>1.0</v>
      </c>
      <c r="E557" s="18">
        <v>0.3958333333333333</v>
      </c>
      <c r="F557" s="34">
        <v>0.5125</v>
      </c>
      <c r="G557" s="33">
        <v>31.0</v>
      </c>
      <c r="H557" s="14" t="s">
        <v>62</v>
      </c>
      <c r="I557" s="14" t="s">
        <v>48</v>
      </c>
      <c r="J557" s="21" t="s">
        <v>87</v>
      </c>
      <c r="K557" s="22" t="s">
        <v>89</v>
      </c>
      <c r="L557" s="23" t="s">
        <v>38</v>
      </c>
      <c r="M557" s="24" t="s">
        <v>113</v>
      </c>
      <c r="N557" s="25" t="s">
        <v>283</v>
      </c>
      <c r="O557" s="26"/>
      <c r="P557" s="14">
        <v>0.0</v>
      </c>
      <c r="Q557" s="14">
        <v>1.0</v>
      </c>
      <c r="R557" s="27">
        <v>1.0</v>
      </c>
      <c r="S557" s="33">
        <v>0.0</v>
      </c>
      <c r="T557" s="28">
        <v>0.0</v>
      </c>
      <c r="U557" s="33">
        <v>0.0</v>
      </c>
      <c r="V557" s="14">
        <v>0.0</v>
      </c>
      <c r="W557" s="14">
        <v>0.0</v>
      </c>
      <c r="X557" s="29" t="s">
        <v>44</v>
      </c>
      <c r="Y557" s="30" t="s">
        <v>44</v>
      </c>
      <c r="Z557" s="29" t="s">
        <v>44</v>
      </c>
      <c r="AA557" s="32" t="s">
        <v>45</v>
      </c>
      <c r="AB557" s="29" t="s">
        <v>44</v>
      </c>
    </row>
    <row r="558" ht="19.5" hidden="1" customHeight="1">
      <c r="A558" s="14">
        <v>10.0</v>
      </c>
      <c r="B558" s="15">
        <v>45984.0</v>
      </c>
      <c r="C558" s="16" t="s">
        <v>46</v>
      </c>
      <c r="D558" s="17">
        <v>1.0</v>
      </c>
      <c r="E558" s="18">
        <v>0.5090277777777777</v>
      </c>
      <c r="F558" s="34">
        <v>0.5138888888888888</v>
      </c>
      <c r="G558" s="33">
        <v>0.0</v>
      </c>
      <c r="H558" s="14">
        <v>1121.0</v>
      </c>
      <c r="I558" s="14" t="s">
        <v>143</v>
      </c>
      <c r="J558" s="21" t="s">
        <v>74</v>
      </c>
      <c r="K558" s="22" t="s">
        <v>63</v>
      </c>
      <c r="L558" s="23" t="s">
        <v>54</v>
      </c>
      <c r="M558" s="24" t="s">
        <v>235</v>
      </c>
      <c r="N558" s="25" t="s">
        <v>771</v>
      </c>
      <c r="O558" s="26"/>
      <c r="P558" s="14">
        <v>0.0</v>
      </c>
      <c r="Q558" s="14">
        <v>0.0</v>
      </c>
      <c r="R558" s="27">
        <v>0.0</v>
      </c>
      <c r="S558" s="33">
        <v>0.0</v>
      </c>
      <c r="T558" s="28">
        <v>0.0</v>
      </c>
      <c r="U558" s="33">
        <v>0.0</v>
      </c>
      <c r="V558" s="14">
        <v>0.0</v>
      </c>
      <c r="W558" s="14">
        <v>0.0</v>
      </c>
      <c r="X558" s="56" t="s">
        <v>44</v>
      </c>
      <c r="Y558" s="30" t="s">
        <v>44</v>
      </c>
      <c r="Z558" s="29" t="s">
        <v>44</v>
      </c>
      <c r="AA558" s="32" t="s">
        <v>45</v>
      </c>
      <c r="AB558" s="25" t="s">
        <v>44</v>
      </c>
    </row>
    <row r="559" ht="19.5" hidden="1" customHeight="1">
      <c r="A559" s="14">
        <v>11.0</v>
      </c>
      <c r="B559" s="15">
        <v>45984.0</v>
      </c>
      <c r="C559" s="16" t="s">
        <v>46</v>
      </c>
      <c r="D559" s="17">
        <v>1.0</v>
      </c>
      <c r="E559" s="18">
        <v>0.5090277777777777</v>
      </c>
      <c r="F559" s="34">
        <v>0.5138888888888888</v>
      </c>
      <c r="G559" s="33">
        <v>0.0</v>
      </c>
      <c r="H559" s="14">
        <v>1121.0</v>
      </c>
      <c r="I559" s="14" t="s">
        <v>143</v>
      </c>
      <c r="J559" s="21" t="s">
        <v>74</v>
      </c>
      <c r="K559" s="22" t="s">
        <v>42</v>
      </c>
      <c r="L559" s="23" t="s">
        <v>54</v>
      </c>
      <c r="M559" s="24" t="s">
        <v>235</v>
      </c>
      <c r="N559" s="25" t="s">
        <v>771</v>
      </c>
      <c r="O559" s="26"/>
      <c r="P559" s="14">
        <v>0.0</v>
      </c>
      <c r="Q559" s="14">
        <v>0.0</v>
      </c>
      <c r="R559" s="27">
        <v>0.0</v>
      </c>
      <c r="S559" s="33">
        <v>0.0</v>
      </c>
      <c r="T559" s="28">
        <v>0.0</v>
      </c>
      <c r="U559" s="33">
        <v>0.0</v>
      </c>
      <c r="V559" s="14">
        <v>0.0</v>
      </c>
      <c r="W559" s="14">
        <v>0.0</v>
      </c>
      <c r="X559" s="56" t="s">
        <v>44</v>
      </c>
      <c r="Y559" s="30" t="s">
        <v>44</v>
      </c>
      <c r="Z559" s="29" t="s">
        <v>44</v>
      </c>
      <c r="AA559" s="32" t="s">
        <v>45</v>
      </c>
      <c r="AB559" s="25" t="s">
        <v>44</v>
      </c>
    </row>
    <row r="560" ht="19.5" hidden="1" customHeight="1">
      <c r="A560" s="14">
        <v>12.0</v>
      </c>
      <c r="B560" s="15">
        <v>45984.0</v>
      </c>
      <c r="C560" s="16" t="s">
        <v>46</v>
      </c>
      <c r="D560" s="17">
        <v>1.0</v>
      </c>
      <c r="E560" s="18">
        <v>0.5090277777777777</v>
      </c>
      <c r="F560" s="34">
        <v>0.5138888888888888</v>
      </c>
      <c r="G560" s="33">
        <v>0.0</v>
      </c>
      <c r="H560" s="14">
        <v>1121.0</v>
      </c>
      <c r="I560" s="14" t="s">
        <v>143</v>
      </c>
      <c r="J560" s="21" t="s">
        <v>74</v>
      </c>
      <c r="K560" s="22" t="s">
        <v>63</v>
      </c>
      <c r="L560" s="23" t="s">
        <v>54</v>
      </c>
      <c r="M560" s="24" t="s">
        <v>235</v>
      </c>
      <c r="N560" s="25" t="s">
        <v>771</v>
      </c>
      <c r="O560" s="26"/>
      <c r="P560" s="14">
        <v>0.0</v>
      </c>
      <c r="Q560" s="14">
        <v>0.0</v>
      </c>
      <c r="R560" s="27">
        <v>0.0</v>
      </c>
      <c r="S560" s="33">
        <v>0.0</v>
      </c>
      <c r="T560" s="28">
        <v>0.0</v>
      </c>
      <c r="U560" s="33">
        <v>0.0</v>
      </c>
      <c r="V560" s="14">
        <v>0.0</v>
      </c>
      <c r="W560" s="14">
        <v>0.0</v>
      </c>
      <c r="X560" s="56" t="s">
        <v>44</v>
      </c>
      <c r="Y560" s="30" t="s">
        <v>44</v>
      </c>
      <c r="Z560" s="29" t="s">
        <v>44</v>
      </c>
      <c r="AA560" s="32" t="s">
        <v>45</v>
      </c>
      <c r="AB560" s="25" t="s">
        <v>44</v>
      </c>
    </row>
    <row r="561" ht="19.5" hidden="1" customHeight="1">
      <c r="A561" s="14">
        <v>13.0</v>
      </c>
      <c r="B561" s="15">
        <v>45984.0</v>
      </c>
      <c r="C561" s="16" t="s">
        <v>46</v>
      </c>
      <c r="D561" s="17">
        <v>1.0</v>
      </c>
      <c r="E561" s="18">
        <v>0.5090277777777777</v>
      </c>
      <c r="F561" s="34">
        <v>0.5138888888888888</v>
      </c>
      <c r="G561" s="33">
        <v>0.0</v>
      </c>
      <c r="H561" s="14">
        <v>1121.0</v>
      </c>
      <c r="I561" s="14" t="s">
        <v>143</v>
      </c>
      <c r="J561" s="21" t="s">
        <v>74</v>
      </c>
      <c r="K561" s="22" t="s">
        <v>100</v>
      </c>
      <c r="L561" s="23" t="s">
        <v>54</v>
      </c>
      <c r="M561" s="24" t="s">
        <v>235</v>
      </c>
      <c r="N561" s="25" t="s">
        <v>771</v>
      </c>
      <c r="O561" s="26"/>
      <c r="P561" s="14">
        <v>0.0</v>
      </c>
      <c r="Q561" s="14">
        <v>0.0</v>
      </c>
      <c r="R561" s="27">
        <v>0.0</v>
      </c>
      <c r="S561" s="33">
        <v>0.0</v>
      </c>
      <c r="T561" s="28">
        <v>0.0</v>
      </c>
      <c r="U561" s="33">
        <v>0.0</v>
      </c>
      <c r="V561" s="14">
        <v>0.0</v>
      </c>
      <c r="W561" s="14">
        <v>0.0</v>
      </c>
      <c r="X561" s="56" t="s">
        <v>44</v>
      </c>
      <c r="Y561" s="30" t="s">
        <v>44</v>
      </c>
      <c r="Z561" s="29" t="s">
        <v>44</v>
      </c>
      <c r="AA561" s="32" t="s">
        <v>45</v>
      </c>
      <c r="AB561" s="25" t="s">
        <v>45</v>
      </c>
    </row>
    <row r="562" ht="19.5" hidden="1" customHeight="1">
      <c r="A562" s="14">
        <v>14.0</v>
      </c>
      <c r="B562" s="15">
        <v>45984.0</v>
      </c>
      <c r="C562" s="16" t="s">
        <v>46</v>
      </c>
      <c r="D562" s="17">
        <v>1.0</v>
      </c>
      <c r="E562" s="18">
        <v>0.5333333333333333</v>
      </c>
      <c r="F562" s="34">
        <v>0.5340277777777778</v>
      </c>
      <c r="G562" s="33">
        <v>0.0</v>
      </c>
      <c r="H562" s="14">
        <v>1121.0</v>
      </c>
      <c r="I562" s="14" t="s">
        <v>143</v>
      </c>
      <c r="J562" s="21" t="s">
        <v>74</v>
      </c>
      <c r="K562" s="22" t="s">
        <v>100</v>
      </c>
      <c r="L562" s="23" t="s">
        <v>54</v>
      </c>
      <c r="M562" s="24" t="s">
        <v>102</v>
      </c>
      <c r="N562" s="25" t="s">
        <v>159</v>
      </c>
      <c r="O562" s="26"/>
      <c r="P562" s="14">
        <v>1.0</v>
      </c>
      <c r="Q562" s="14">
        <v>0.0</v>
      </c>
      <c r="R562" s="27">
        <v>0.0</v>
      </c>
      <c r="S562" s="33">
        <v>0.0</v>
      </c>
      <c r="T562" s="28">
        <v>1.0</v>
      </c>
      <c r="U562" s="33">
        <v>0.0</v>
      </c>
      <c r="V562" s="14">
        <v>0.0</v>
      </c>
      <c r="W562" s="14">
        <v>0.0</v>
      </c>
      <c r="X562" s="56" t="s">
        <v>44</v>
      </c>
      <c r="Y562" s="30" t="s">
        <v>44</v>
      </c>
      <c r="Z562" s="29" t="s">
        <v>44</v>
      </c>
      <c r="AA562" s="32" t="s">
        <v>45</v>
      </c>
      <c r="AB562" s="25" t="s">
        <v>44</v>
      </c>
    </row>
    <row r="563" ht="19.5" hidden="1" customHeight="1">
      <c r="A563" s="14">
        <v>15.0</v>
      </c>
      <c r="B563" s="15">
        <v>45984.0</v>
      </c>
      <c r="C563" s="16" t="s">
        <v>46</v>
      </c>
      <c r="D563" s="17">
        <v>1.0</v>
      </c>
      <c r="E563" s="18">
        <v>0.56875</v>
      </c>
      <c r="F563" s="34">
        <v>0.5708333333333333</v>
      </c>
      <c r="G563" s="33">
        <v>0.0</v>
      </c>
      <c r="H563" s="14">
        <v>1104.0</v>
      </c>
      <c r="I563" s="14" t="s">
        <v>143</v>
      </c>
      <c r="J563" s="21" t="s">
        <v>144</v>
      </c>
      <c r="K563" s="22" t="s">
        <v>100</v>
      </c>
      <c r="L563" s="23" t="s">
        <v>54</v>
      </c>
      <c r="M563" s="24" t="s">
        <v>235</v>
      </c>
      <c r="N563" s="25" t="s">
        <v>283</v>
      </c>
      <c r="O563" s="26"/>
      <c r="P563" s="14">
        <v>1.0</v>
      </c>
      <c r="Q563" s="14">
        <v>0.0</v>
      </c>
      <c r="R563" s="27">
        <v>0.0</v>
      </c>
      <c r="S563" s="33">
        <v>0.0</v>
      </c>
      <c r="T563" s="28">
        <v>1.0</v>
      </c>
      <c r="U563" s="33">
        <v>0.0</v>
      </c>
      <c r="V563" s="14">
        <v>0.0</v>
      </c>
      <c r="W563" s="14">
        <v>0.0</v>
      </c>
      <c r="X563" s="56" t="s">
        <v>772</v>
      </c>
      <c r="Y563" s="30" t="s">
        <v>61</v>
      </c>
      <c r="Z563" s="29">
        <v>1.792370390114E12</v>
      </c>
      <c r="AA563" s="32" t="s">
        <v>33</v>
      </c>
      <c r="AB563" s="25">
        <v>35.0</v>
      </c>
    </row>
    <row r="564" ht="19.5" hidden="1" customHeight="1">
      <c r="A564" s="14">
        <v>16.0</v>
      </c>
      <c r="B564" s="15">
        <v>45984.0</v>
      </c>
      <c r="C564" s="16" t="s">
        <v>46</v>
      </c>
      <c r="D564" s="17" t="s">
        <v>50</v>
      </c>
      <c r="E564" s="18">
        <v>0.5777777777777777</v>
      </c>
      <c r="F564" s="34">
        <v>0.6444444444444445</v>
      </c>
      <c r="G564" s="33">
        <v>45.0</v>
      </c>
      <c r="H564" s="14">
        <v>1137.0</v>
      </c>
      <c r="I564" s="14" t="s">
        <v>216</v>
      </c>
      <c r="J564" s="21" t="s">
        <v>87</v>
      </c>
      <c r="K564" s="22" t="s">
        <v>75</v>
      </c>
      <c r="L564" s="23" t="s">
        <v>54</v>
      </c>
      <c r="M564" s="24" t="s">
        <v>76</v>
      </c>
      <c r="N564" s="25" t="s">
        <v>440</v>
      </c>
      <c r="O564" s="26"/>
      <c r="P564" s="14">
        <v>0.0</v>
      </c>
      <c r="Q564" s="14">
        <v>0.0</v>
      </c>
      <c r="R564" s="27">
        <v>0.0</v>
      </c>
      <c r="S564" s="33">
        <v>0.0</v>
      </c>
      <c r="T564" s="28">
        <v>0.0</v>
      </c>
      <c r="U564" s="33">
        <v>0.0</v>
      </c>
      <c r="V564" s="14">
        <v>0.0</v>
      </c>
      <c r="W564" s="14">
        <v>0.0</v>
      </c>
      <c r="X564" s="56" t="s">
        <v>44</v>
      </c>
      <c r="Y564" s="30" t="s">
        <v>44</v>
      </c>
      <c r="Z564" s="56" t="s">
        <v>44</v>
      </c>
      <c r="AA564" s="32" t="s">
        <v>45</v>
      </c>
      <c r="AB564" s="56" t="s">
        <v>44</v>
      </c>
    </row>
    <row r="565" ht="19.5" hidden="1" customHeight="1">
      <c r="A565" s="14">
        <v>17.0</v>
      </c>
      <c r="B565" s="15">
        <v>45984.0</v>
      </c>
      <c r="C565" s="16" t="s">
        <v>46</v>
      </c>
      <c r="D565" s="17">
        <v>1.0</v>
      </c>
      <c r="E565" s="18">
        <v>0.6298611111111111</v>
      </c>
      <c r="F565" s="34">
        <v>0.6506944444444445</v>
      </c>
      <c r="G565" s="33">
        <v>36.5</v>
      </c>
      <c r="H565" s="14" t="s">
        <v>97</v>
      </c>
      <c r="I565" s="14" t="s">
        <v>224</v>
      </c>
      <c r="J565" s="21" t="s">
        <v>49</v>
      </c>
      <c r="K565" s="22" t="s">
        <v>109</v>
      </c>
      <c r="L565" s="23" t="s">
        <v>54</v>
      </c>
      <c r="M565" s="24" t="s">
        <v>64</v>
      </c>
      <c r="N565" s="25" t="s">
        <v>773</v>
      </c>
      <c r="O565" s="26"/>
      <c r="P565" s="14">
        <v>1.0</v>
      </c>
      <c r="Q565" s="14">
        <v>0.0</v>
      </c>
      <c r="R565" s="27">
        <v>0.0</v>
      </c>
      <c r="S565" s="33">
        <v>0.0</v>
      </c>
      <c r="T565" s="28">
        <v>1.0</v>
      </c>
      <c r="U565" s="33">
        <v>0.0</v>
      </c>
      <c r="V565" s="14">
        <v>0.0</v>
      </c>
      <c r="W565" s="14">
        <v>0.0</v>
      </c>
      <c r="X565" s="35" t="s">
        <v>774</v>
      </c>
      <c r="Y565" s="30" t="s">
        <v>61</v>
      </c>
      <c r="Z565" s="35">
        <v>1.889170630315E12</v>
      </c>
      <c r="AA565" s="32" t="s">
        <v>33</v>
      </c>
      <c r="AB565" s="25">
        <v>46.0</v>
      </c>
    </row>
    <row r="566" ht="19.5" hidden="1" customHeight="1">
      <c r="A566" s="14">
        <v>18.0</v>
      </c>
      <c r="B566" s="15">
        <v>45984.0</v>
      </c>
      <c r="C566" s="16" t="s">
        <v>46</v>
      </c>
      <c r="D566" s="17">
        <v>1.0</v>
      </c>
      <c r="E566" s="18">
        <v>0.6527777777777778</v>
      </c>
      <c r="F566" s="34">
        <v>0.7520833333333333</v>
      </c>
      <c r="G566" s="33">
        <v>56.0</v>
      </c>
      <c r="H566" s="14" t="s">
        <v>173</v>
      </c>
      <c r="I566" s="14" t="s">
        <v>52</v>
      </c>
      <c r="J566" s="21" t="s">
        <v>53</v>
      </c>
      <c r="K566" s="22" t="s">
        <v>81</v>
      </c>
      <c r="L566" s="23" t="s">
        <v>54</v>
      </c>
      <c r="M566" s="24" t="s">
        <v>64</v>
      </c>
      <c r="N566" s="25" t="s">
        <v>40</v>
      </c>
      <c r="O566" s="26"/>
      <c r="P566" s="14">
        <v>1.0</v>
      </c>
      <c r="Q566" s="14">
        <v>0.0</v>
      </c>
      <c r="R566" s="27">
        <v>0.0</v>
      </c>
      <c r="S566" s="33">
        <v>0.0</v>
      </c>
      <c r="T566" s="28">
        <v>1.0</v>
      </c>
      <c r="U566" s="33">
        <v>0.0</v>
      </c>
      <c r="V566" s="14">
        <v>0.0</v>
      </c>
      <c r="W566" s="14">
        <v>0.0</v>
      </c>
      <c r="X566" s="35" t="s">
        <v>775</v>
      </c>
      <c r="Y566" s="30" t="s">
        <v>32</v>
      </c>
      <c r="Z566" s="35">
        <v>1.755922250705E12</v>
      </c>
      <c r="AA566" s="32" t="s">
        <v>33</v>
      </c>
      <c r="AB566" s="25">
        <v>55.0</v>
      </c>
    </row>
    <row r="567" ht="19.5" hidden="1" customHeight="1">
      <c r="A567" s="14">
        <v>19.0</v>
      </c>
      <c r="B567" s="15">
        <v>45984.0</v>
      </c>
      <c r="C567" s="16" t="s">
        <v>46</v>
      </c>
      <c r="D567" s="17">
        <v>1.0</v>
      </c>
      <c r="E567" s="18">
        <v>0.6972222222222222</v>
      </c>
      <c r="F567" s="34">
        <v>0.6979166666666666</v>
      </c>
      <c r="G567" s="33">
        <v>0.0</v>
      </c>
      <c r="H567" s="14">
        <v>1104.0</v>
      </c>
      <c r="I567" s="14" t="s">
        <v>143</v>
      </c>
      <c r="J567" s="21" t="s">
        <v>74</v>
      </c>
      <c r="K567" s="22" t="s">
        <v>63</v>
      </c>
      <c r="L567" s="23" t="s">
        <v>54</v>
      </c>
      <c r="M567" s="24" t="s">
        <v>235</v>
      </c>
      <c r="N567" s="25" t="s">
        <v>776</v>
      </c>
      <c r="O567" s="26"/>
      <c r="P567" s="14">
        <v>1.0</v>
      </c>
      <c r="Q567" s="14">
        <v>0.0</v>
      </c>
      <c r="R567" s="27">
        <v>0.0</v>
      </c>
      <c r="S567" s="33">
        <v>0.0</v>
      </c>
      <c r="T567" s="28">
        <v>1.0</v>
      </c>
      <c r="U567" s="33">
        <v>0.0</v>
      </c>
      <c r="V567" s="14">
        <v>0.0</v>
      </c>
      <c r="W567" s="14">
        <v>0.0</v>
      </c>
      <c r="X567" s="56" t="s">
        <v>777</v>
      </c>
      <c r="Y567" s="30" t="s">
        <v>44</v>
      </c>
      <c r="Z567" s="29" t="s">
        <v>44</v>
      </c>
      <c r="AA567" s="32" t="s">
        <v>33</v>
      </c>
      <c r="AB567" s="25" t="s">
        <v>44</v>
      </c>
    </row>
    <row r="568" ht="19.5" hidden="1" customHeight="1">
      <c r="A568" s="14"/>
      <c r="B568" s="15">
        <v>45984.0</v>
      </c>
      <c r="C568" s="16"/>
      <c r="D568" s="17"/>
      <c r="E568" s="18"/>
      <c r="F568" s="34"/>
      <c r="G568" s="33"/>
      <c r="H568" s="14"/>
      <c r="I568" s="14"/>
      <c r="J568" s="21"/>
      <c r="K568" s="22" t="s">
        <v>63</v>
      </c>
      <c r="L568" s="23"/>
      <c r="M568" s="24"/>
      <c r="N568" s="25"/>
      <c r="O568" s="26"/>
      <c r="P568" s="14">
        <v>1.0</v>
      </c>
      <c r="Q568" s="14">
        <v>0.0</v>
      </c>
      <c r="R568" s="27">
        <v>0.0</v>
      </c>
      <c r="S568" s="33">
        <v>0.0</v>
      </c>
      <c r="T568" s="28">
        <v>1.0</v>
      </c>
      <c r="U568" s="33">
        <v>0.0</v>
      </c>
      <c r="V568" s="14">
        <v>0.0</v>
      </c>
      <c r="W568" s="14">
        <v>0.0</v>
      </c>
      <c r="X568" s="56" t="s">
        <v>778</v>
      </c>
      <c r="Y568" s="30" t="s">
        <v>61</v>
      </c>
      <c r="Z568" s="29">
        <v>3.047568490116E12</v>
      </c>
      <c r="AA568" s="32" t="s">
        <v>33</v>
      </c>
      <c r="AB568" s="25">
        <v>25.0</v>
      </c>
    </row>
    <row r="569" ht="19.5" hidden="1" customHeight="1">
      <c r="A569" s="14">
        <v>20.0</v>
      </c>
      <c r="B569" s="15">
        <v>45984.0</v>
      </c>
      <c r="C569" s="16" t="s">
        <v>46</v>
      </c>
      <c r="D569" s="17">
        <v>2.0</v>
      </c>
      <c r="E569" s="18">
        <v>0.7361111111111112</v>
      </c>
      <c r="F569" s="34">
        <v>0.79375</v>
      </c>
      <c r="G569" s="33">
        <v>25.0</v>
      </c>
      <c r="H569" s="14" t="s">
        <v>150</v>
      </c>
      <c r="I569" s="14" t="s">
        <v>59</v>
      </c>
      <c r="J569" s="21" t="s">
        <v>37</v>
      </c>
      <c r="K569" s="22" t="s">
        <v>42</v>
      </c>
      <c r="L569" s="23" t="s">
        <v>38</v>
      </c>
      <c r="M569" s="24" t="s">
        <v>39</v>
      </c>
      <c r="N569" s="25" t="s">
        <v>169</v>
      </c>
      <c r="O569" s="26"/>
      <c r="P569" s="14">
        <v>1.0</v>
      </c>
      <c r="Q569" s="14">
        <v>0.0</v>
      </c>
      <c r="R569" s="27">
        <v>0.0</v>
      </c>
      <c r="S569" s="33">
        <v>0.0</v>
      </c>
      <c r="T569" s="28">
        <v>9.0</v>
      </c>
      <c r="U569" s="33">
        <v>0.0</v>
      </c>
      <c r="V569" s="14">
        <v>0.0</v>
      </c>
      <c r="W569" s="14">
        <v>0.0</v>
      </c>
      <c r="X569" s="56" t="s">
        <v>779</v>
      </c>
      <c r="Y569" s="30" t="s">
        <v>85</v>
      </c>
      <c r="Z569" s="29">
        <v>2.531895510401E12</v>
      </c>
      <c r="AA569" s="32" t="s">
        <v>33</v>
      </c>
      <c r="AB569" s="25">
        <v>35.0</v>
      </c>
    </row>
    <row r="570" ht="19.5" hidden="1" customHeight="1">
      <c r="A570" s="14">
        <v>21.0</v>
      </c>
      <c r="B570" s="15">
        <v>45984.0</v>
      </c>
      <c r="C570" s="16" t="s">
        <v>128</v>
      </c>
      <c r="D570" s="17">
        <v>1.0</v>
      </c>
      <c r="E570" s="18">
        <v>0.8041666666666667</v>
      </c>
      <c r="F570" s="34">
        <v>0.8159722222222222</v>
      </c>
      <c r="G570" s="33">
        <v>87.0</v>
      </c>
      <c r="H570" s="14">
        <v>1133.0</v>
      </c>
      <c r="I570" s="14" t="s">
        <v>48</v>
      </c>
      <c r="J570" s="21" t="s">
        <v>49</v>
      </c>
      <c r="K570" s="22" t="s">
        <v>29</v>
      </c>
      <c r="L570" s="23" t="s">
        <v>54</v>
      </c>
      <c r="M570" s="24" t="s">
        <v>156</v>
      </c>
      <c r="N570" s="25" t="s">
        <v>780</v>
      </c>
      <c r="O570" s="26"/>
      <c r="P570" s="14">
        <v>3.0</v>
      </c>
      <c r="Q570" s="14">
        <v>0.0</v>
      </c>
      <c r="R570" s="27">
        <v>0.0</v>
      </c>
      <c r="S570" s="33">
        <v>0.0</v>
      </c>
      <c r="T570" s="28">
        <v>3.0</v>
      </c>
      <c r="U570" s="33">
        <v>0.0</v>
      </c>
      <c r="V570" s="14">
        <v>0.0</v>
      </c>
      <c r="W570" s="14">
        <v>0.0</v>
      </c>
      <c r="X570" s="56" t="s">
        <v>781</v>
      </c>
      <c r="Y570" s="30" t="s">
        <v>115</v>
      </c>
      <c r="Z570" s="29">
        <v>3.054871830207E12</v>
      </c>
      <c r="AA570" s="32" t="s">
        <v>33</v>
      </c>
      <c r="AB570" s="25"/>
    </row>
    <row r="571" ht="19.5" hidden="1" customHeight="1">
      <c r="A571" s="14">
        <v>22.0</v>
      </c>
      <c r="B571" s="15">
        <v>45984.0</v>
      </c>
      <c r="C571" s="16" t="s">
        <v>46</v>
      </c>
      <c r="D571" s="17">
        <v>1.0</v>
      </c>
      <c r="E571" s="18">
        <v>0.8319444444444445</v>
      </c>
      <c r="F571" s="34">
        <v>0.8333333333333334</v>
      </c>
      <c r="G571" s="33">
        <v>0.0</v>
      </c>
      <c r="H571" s="14">
        <v>1104.0</v>
      </c>
      <c r="I571" s="14" t="s">
        <v>143</v>
      </c>
      <c r="J571" s="21" t="s">
        <v>144</v>
      </c>
      <c r="K571" s="22" t="s">
        <v>109</v>
      </c>
      <c r="L571" s="23" t="s">
        <v>54</v>
      </c>
      <c r="M571" s="24" t="s">
        <v>235</v>
      </c>
      <c r="N571" s="25" t="s">
        <v>782</v>
      </c>
      <c r="O571" s="26"/>
      <c r="P571" s="14">
        <v>0.0</v>
      </c>
      <c r="Q571" s="14">
        <v>0.0</v>
      </c>
      <c r="R571" s="27">
        <v>0.0</v>
      </c>
      <c r="S571" s="33">
        <v>0.0</v>
      </c>
      <c r="T571" s="28">
        <v>0.0</v>
      </c>
      <c r="U571" s="33">
        <v>0.0</v>
      </c>
      <c r="V571" s="14">
        <v>0.0</v>
      </c>
      <c r="W571" s="14">
        <v>0.0</v>
      </c>
      <c r="X571" s="56" t="s">
        <v>44</v>
      </c>
      <c r="Y571" s="30" t="s">
        <v>44</v>
      </c>
      <c r="Z571" s="29" t="s">
        <v>44</v>
      </c>
      <c r="AA571" s="32" t="s">
        <v>45</v>
      </c>
      <c r="AB571" s="25" t="s">
        <v>44</v>
      </c>
    </row>
    <row r="572" ht="19.5" hidden="1" customHeight="1">
      <c r="A572" s="14">
        <v>23.0</v>
      </c>
      <c r="B572" s="15">
        <v>45984.0</v>
      </c>
      <c r="C572" s="16" t="s">
        <v>46</v>
      </c>
      <c r="D572" s="17">
        <v>1.0</v>
      </c>
      <c r="E572" s="18">
        <v>0.8319444444444445</v>
      </c>
      <c r="F572" s="34">
        <v>0.8333333333333334</v>
      </c>
      <c r="G572" s="33">
        <v>0.0</v>
      </c>
      <c r="H572" s="14">
        <v>1104.0</v>
      </c>
      <c r="I572" s="14" t="s">
        <v>143</v>
      </c>
      <c r="J572" s="21" t="s">
        <v>144</v>
      </c>
      <c r="K572" s="22" t="s">
        <v>100</v>
      </c>
      <c r="L572" s="23" t="s">
        <v>54</v>
      </c>
      <c r="M572" s="24" t="s">
        <v>235</v>
      </c>
      <c r="N572" s="25" t="s">
        <v>782</v>
      </c>
      <c r="O572" s="26"/>
      <c r="P572" s="14">
        <v>0.0</v>
      </c>
      <c r="Q572" s="14">
        <v>0.0</v>
      </c>
      <c r="R572" s="27">
        <v>0.0</v>
      </c>
      <c r="S572" s="33">
        <v>0.0</v>
      </c>
      <c r="T572" s="28">
        <v>0.0</v>
      </c>
      <c r="U572" s="33">
        <v>0.0</v>
      </c>
      <c r="V572" s="14">
        <v>0.0</v>
      </c>
      <c r="W572" s="14">
        <v>0.0</v>
      </c>
      <c r="X572" s="56" t="s">
        <v>44</v>
      </c>
      <c r="Y572" s="56" t="s">
        <v>44</v>
      </c>
      <c r="Z572" s="56" t="s">
        <v>44</v>
      </c>
      <c r="AA572" s="56" t="s">
        <v>44</v>
      </c>
      <c r="AB572" s="56" t="s">
        <v>44</v>
      </c>
    </row>
    <row r="573" ht="19.5" hidden="1" customHeight="1">
      <c r="A573" s="14">
        <v>1.0</v>
      </c>
      <c r="B573" s="15">
        <v>45985.0</v>
      </c>
      <c r="C573" s="16" t="s">
        <v>46</v>
      </c>
      <c r="D573" s="17">
        <v>1.0</v>
      </c>
      <c r="E573" s="18">
        <v>0.21458333333333332</v>
      </c>
      <c r="F573" s="34">
        <v>0.21666666666666667</v>
      </c>
      <c r="G573" s="33">
        <v>0.0</v>
      </c>
      <c r="H573" s="14">
        <v>1121.0</v>
      </c>
      <c r="I573" s="14" t="s">
        <v>143</v>
      </c>
      <c r="J573" s="21" t="s">
        <v>144</v>
      </c>
      <c r="K573" s="22" t="s">
        <v>109</v>
      </c>
      <c r="L573" s="23" t="s">
        <v>54</v>
      </c>
      <c r="M573" s="24" t="s">
        <v>64</v>
      </c>
      <c r="N573" s="25" t="s">
        <v>442</v>
      </c>
      <c r="O573" s="26"/>
      <c r="P573" s="14">
        <v>4.0</v>
      </c>
      <c r="Q573" s="14">
        <v>0.0</v>
      </c>
      <c r="R573" s="27">
        <v>0.0</v>
      </c>
      <c r="S573" s="33">
        <v>0.0</v>
      </c>
      <c r="T573" s="28">
        <v>4.0</v>
      </c>
      <c r="U573" s="33">
        <v>0.0</v>
      </c>
      <c r="V573" s="14">
        <v>0.0</v>
      </c>
      <c r="W573" s="14">
        <v>0.0</v>
      </c>
      <c r="X573" s="35" t="s">
        <v>783</v>
      </c>
      <c r="Y573" s="30" t="s">
        <v>61</v>
      </c>
      <c r="Z573" s="35">
        <v>2.015783290501E12</v>
      </c>
      <c r="AA573" s="32" t="s">
        <v>127</v>
      </c>
      <c r="AB573" s="25">
        <v>40.0</v>
      </c>
    </row>
    <row r="574" ht="19.5" hidden="1" customHeight="1">
      <c r="A574" s="14">
        <v>2.0</v>
      </c>
      <c r="B574" s="15">
        <v>45985.0</v>
      </c>
      <c r="C574" s="16" t="s">
        <v>46</v>
      </c>
      <c r="D574" s="17">
        <v>1.0</v>
      </c>
      <c r="E574" s="18">
        <v>0.22291666666666668</v>
      </c>
      <c r="F574" s="34">
        <v>0.3076388888888889</v>
      </c>
      <c r="G574" s="33">
        <v>22.0</v>
      </c>
      <c r="H574" s="14" t="s">
        <v>58</v>
      </c>
      <c r="I574" s="14" t="s">
        <v>52</v>
      </c>
      <c r="J574" s="21" t="s">
        <v>37</v>
      </c>
      <c r="K574" s="22" t="s">
        <v>29</v>
      </c>
      <c r="L574" s="23" t="s">
        <v>54</v>
      </c>
      <c r="M574" s="24" t="s">
        <v>64</v>
      </c>
      <c r="N574" s="25" t="s">
        <v>40</v>
      </c>
      <c r="O574" s="26"/>
      <c r="P574" s="14">
        <v>1.0</v>
      </c>
      <c r="Q574" s="14">
        <v>0.0</v>
      </c>
      <c r="R574" s="27">
        <v>0.0</v>
      </c>
      <c r="S574" s="33">
        <v>0.0</v>
      </c>
      <c r="T574" s="28">
        <v>1.0</v>
      </c>
      <c r="U574" s="33">
        <v>0.0</v>
      </c>
      <c r="V574" s="14">
        <v>0.0</v>
      </c>
      <c r="W574" s="14">
        <v>0.0</v>
      </c>
      <c r="X574" s="35" t="s">
        <v>784</v>
      </c>
      <c r="Y574" s="30" t="s">
        <v>85</v>
      </c>
      <c r="Z574" s="29">
        <v>1.801500220304E12</v>
      </c>
      <c r="AA574" s="32" t="s">
        <v>33</v>
      </c>
      <c r="AB574" s="25">
        <v>63.0</v>
      </c>
    </row>
    <row r="575" ht="19.5" hidden="1" customHeight="1">
      <c r="A575" s="14">
        <v>3.0</v>
      </c>
      <c r="B575" s="15">
        <v>45985.0</v>
      </c>
      <c r="C575" s="16" t="s">
        <v>46</v>
      </c>
      <c r="D575" s="17" t="s">
        <v>50</v>
      </c>
      <c r="E575" s="18">
        <v>0.24513888888888888</v>
      </c>
      <c r="F575" s="34">
        <v>0.32430555555555557</v>
      </c>
      <c r="G575" s="33">
        <v>31.0</v>
      </c>
      <c r="H575" s="14" t="s">
        <v>150</v>
      </c>
      <c r="I575" s="14" t="s">
        <v>59</v>
      </c>
      <c r="J575" s="21" t="s">
        <v>37</v>
      </c>
      <c r="K575" s="22" t="s">
        <v>75</v>
      </c>
      <c r="L575" s="23" t="s">
        <v>54</v>
      </c>
      <c r="M575" s="24" t="s">
        <v>55</v>
      </c>
      <c r="N575" s="25" t="s">
        <v>635</v>
      </c>
      <c r="O575" s="26"/>
      <c r="P575" s="14">
        <v>0.0</v>
      </c>
      <c r="Q575" s="14">
        <v>0.0</v>
      </c>
      <c r="R575" s="27">
        <v>0.0</v>
      </c>
      <c r="S575" s="33">
        <v>0.0</v>
      </c>
      <c r="T575" s="28">
        <v>0.0</v>
      </c>
      <c r="U575" s="33">
        <v>0.0</v>
      </c>
      <c r="V575" s="14">
        <v>0.0</v>
      </c>
      <c r="W575" s="14">
        <v>0.0</v>
      </c>
      <c r="X575" s="56" t="s">
        <v>44</v>
      </c>
      <c r="Y575" s="30" t="s">
        <v>44</v>
      </c>
      <c r="Z575" s="29" t="s">
        <v>45</v>
      </c>
      <c r="AA575" s="32" t="s">
        <v>45</v>
      </c>
      <c r="AB575" s="25" t="s">
        <v>44</v>
      </c>
    </row>
    <row r="576" ht="19.5" hidden="1" customHeight="1">
      <c r="A576" s="14">
        <v>4.0</v>
      </c>
      <c r="B576" s="15">
        <v>45985.0</v>
      </c>
      <c r="C576" s="16" t="s">
        <v>128</v>
      </c>
      <c r="D576" s="17">
        <v>1.0</v>
      </c>
      <c r="E576" s="18">
        <v>0.25833333333333336</v>
      </c>
      <c r="F576" s="34">
        <v>0.3819444444444444</v>
      </c>
      <c r="G576" s="33">
        <v>110.0</v>
      </c>
      <c r="H576" s="14" t="s">
        <v>252</v>
      </c>
      <c r="I576" s="14" t="s">
        <v>48</v>
      </c>
      <c r="J576" s="21" t="s">
        <v>87</v>
      </c>
      <c r="K576" s="22" t="s">
        <v>91</v>
      </c>
      <c r="L576" s="23" t="s">
        <v>54</v>
      </c>
      <c r="M576" s="24" t="s">
        <v>64</v>
      </c>
      <c r="N576" s="25" t="s">
        <v>40</v>
      </c>
      <c r="O576" s="26"/>
      <c r="P576" s="14">
        <v>0.0</v>
      </c>
      <c r="Q576" s="14">
        <v>0.0</v>
      </c>
      <c r="R576" s="27">
        <v>0.0</v>
      </c>
      <c r="S576" s="33">
        <v>0.0</v>
      </c>
      <c r="T576" s="28">
        <v>0.0</v>
      </c>
      <c r="U576" s="33">
        <v>0.0</v>
      </c>
      <c r="V576" s="14">
        <v>0.0</v>
      </c>
      <c r="W576" s="14">
        <v>0.0</v>
      </c>
      <c r="X576" s="56" t="s">
        <v>44</v>
      </c>
      <c r="Y576" s="30" t="s">
        <v>44</v>
      </c>
      <c r="Z576" s="29" t="s">
        <v>45</v>
      </c>
      <c r="AA576" s="32" t="s">
        <v>45</v>
      </c>
      <c r="AB576" s="25" t="s">
        <v>44</v>
      </c>
    </row>
    <row r="577" ht="19.5" hidden="1" customHeight="1">
      <c r="A577" s="14">
        <v>5.0</v>
      </c>
      <c r="B577" s="15">
        <v>45985.0</v>
      </c>
      <c r="C577" s="16" t="s">
        <v>46</v>
      </c>
      <c r="D577" s="17">
        <v>1.0</v>
      </c>
      <c r="E577" s="18">
        <v>0.2847222222222222</v>
      </c>
      <c r="F577" s="34">
        <v>0.3076388888888889</v>
      </c>
      <c r="G577" s="33">
        <v>59.0</v>
      </c>
      <c r="H577" s="14" t="s">
        <v>58</v>
      </c>
      <c r="I577" s="14" t="s">
        <v>52</v>
      </c>
      <c r="J577" s="21" t="s">
        <v>37</v>
      </c>
      <c r="K577" s="22" t="s">
        <v>42</v>
      </c>
      <c r="L577" s="23" t="s">
        <v>54</v>
      </c>
      <c r="M577" s="24" t="s">
        <v>64</v>
      </c>
      <c r="N577" s="25" t="s">
        <v>159</v>
      </c>
      <c r="O577" s="26"/>
      <c r="P577" s="14">
        <v>2.0</v>
      </c>
      <c r="Q577" s="14">
        <v>0.0</v>
      </c>
      <c r="R577" s="27">
        <v>0.0</v>
      </c>
      <c r="S577" s="33">
        <v>0.0</v>
      </c>
      <c r="T577" s="28">
        <v>2.0</v>
      </c>
      <c r="U577" s="33">
        <v>0.0</v>
      </c>
      <c r="V577" s="14">
        <v>0.0</v>
      </c>
      <c r="W577" s="14">
        <v>0.0</v>
      </c>
      <c r="X577" s="35" t="s">
        <v>784</v>
      </c>
      <c r="Y577" s="30" t="s">
        <v>85</v>
      </c>
      <c r="Z577" s="35">
        <v>1.801500220304E12</v>
      </c>
      <c r="AA577" s="32" t="s">
        <v>33</v>
      </c>
      <c r="AB577" s="25">
        <v>63.0</v>
      </c>
    </row>
    <row r="578" ht="19.5" hidden="1" customHeight="1">
      <c r="A578" s="14">
        <v>6.0</v>
      </c>
      <c r="B578" s="15">
        <v>45985.0</v>
      </c>
      <c r="C578" s="16" t="s">
        <v>46</v>
      </c>
      <c r="D578" s="17" t="s">
        <v>50</v>
      </c>
      <c r="E578" s="18">
        <v>0.34305555555555556</v>
      </c>
      <c r="F578" s="34">
        <v>0.6041666666666666</v>
      </c>
      <c r="G578" s="33">
        <v>22.0</v>
      </c>
      <c r="H578" s="14" t="s">
        <v>98</v>
      </c>
      <c r="I578" s="14" t="s">
        <v>691</v>
      </c>
      <c r="J578" s="21" t="s">
        <v>74</v>
      </c>
      <c r="K578" s="22" t="s">
        <v>75</v>
      </c>
      <c r="L578" s="23" t="s">
        <v>54</v>
      </c>
      <c r="M578" s="24" t="s">
        <v>76</v>
      </c>
      <c r="N578" s="25" t="s">
        <v>785</v>
      </c>
      <c r="O578" s="26"/>
      <c r="P578" s="14">
        <v>0.0</v>
      </c>
      <c r="Q578" s="14">
        <v>0.0</v>
      </c>
      <c r="R578" s="27">
        <v>0.0</v>
      </c>
      <c r="S578" s="33">
        <v>0.0</v>
      </c>
      <c r="T578" s="28">
        <v>0.0</v>
      </c>
      <c r="U578" s="33">
        <v>0.0</v>
      </c>
      <c r="V578" s="14">
        <v>0.0</v>
      </c>
      <c r="W578" s="14">
        <v>0.0</v>
      </c>
      <c r="X578" s="56" t="s">
        <v>44</v>
      </c>
      <c r="Y578" s="30" t="s">
        <v>44</v>
      </c>
      <c r="Z578" s="29" t="s">
        <v>44</v>
      </c>
      <c r="AA578" s="32" t="s">
        <v>45</v>
      </c>
      <c r="AB578" s="25" t="s">
        <v>44</v>
      </c>
    </row>
    <row r="579" ht="19.5" hidden="1" customHeight="1">
      <c r="A579" s="14"/>
      <c r="B579" s="15">
        <v>45985.0</v>
      </c>
      <c r="C579" s="16"/>
      <c r="D579" s="17"/>
      <c r="E579" s="18"/>
      <c r="F579" s="34"/>
      <c r="G579" s="33"/>
      <c r="H579" s="14"/>
      <c r="I579" s="14"/>
      <c r="J579" s="21"/>
      <c r="K579" s="22" t="s">
        <v>89</v>
      </c>
      <c r="L579" s="23"/>
      <c r="M579" s="24"/>
      <c r="N579" s="25"/>
      <c r="P579" s="14">
        <v>1.0</v>
      </c>
      <c r="Q579" s="14">
        <v>0.0</v>
      </c>
      <c r="R579" s="27">
        <v>0.0</v>
      </c>
      <c r="S579" s="33">
        <v>0.0</v>
      </c>
      <c r="T579" s="28">
        <v>1.0</v>
      </c>
      <c r="U579" s="33">
        <v>0.0</v>
      </c>
      <c r="V579" s="14">
        <v>0.0</v>
      </c>
      <c r="W579" s="14">
        <v>0.0</v>
      </c>
      <c r="X579" s="56" t="s">
        <v>44</v>
      </c>
      <c r="Y579" s="30" t="s">
        <v>44</v>
      </c>
      <c r="Z579" s="29" t="s">
        <v>44</v>
      </c>
      <c r="AA579" s="32" t="s">
        <v>45</v>
      </c>
      <c r="AB579" s="25" t="s">
        <v>44</v>
      </c>
    </row>
    <row r="580" ht="19.5" hidden="1" customHeight="1">
      <c r="A580" s="14">
        <v>7.0</v>
      </c>
      <c r="B580" s="15">
        <v>45985.0</v>
      </c>
      <c r="C580" s="16" t="s">
        <v>128</v>
      </c>
      <c r="D580" s="17">
        <v>2.0</v>
      </c>
      <c r="E580" s="18">
        <v>0.3590277777777778</v>
      </c>
      <c r="F580" s="34">
        <v>0.3819444444444444</v>
      </c>
      <c r="G580" s="33">
        <v>101.0</v>
      </c>
      <c r="H580" s="14" t="s">
        <v>129</v>
      </c>
      <c r="I580" s="14" t="s">
        <v>48</v>
      </c>
      <c r="J580" s="21" t="s">
        <v>87</v>
      </c>
      <c r="K580" s="22" t="s">
        <v>89</v>
      </c>
      <c r="L580" s="23" t="s">
        <v>38</v>
      </c>
      <c r="M580" s="24" t="s">
        <v>39</v>
      </c>
      <c r="N580" s="25" t="s">
        <v>159</v>
      </c>
      <c r="P580" s="14">
        <v>2.0</v>
      </c>
      <c r="Q580" s="14">
        <v>0.0</v>
      </c>
      <c r="R580" s="27">
        <v>0.0</v>
      </c>
      <c r="S580" s="33">
        <v>0.0</v>
      </c>
      <c r="T580" s="28">
        <v>2.0</v>
      </c>
      <c r="U580" s="33">
        <v>0.0</v>
      </c>
      <c r="V580" s="14">
        <v>0.0</v>
      </c>
      <c r="W580" s="14">
        <v>0.0</v>
      </c>
      <c r="X580" s="35" t="s">
        <v>786</v>
      </c>
      <c r="Y580" s="30" t="s">
        <v>259</v>
      </c>
      <c r="Z580" s="35">
        <v>3.053438510204E12</v>
      </c>
      <c r="AA580" s="32" t="s">
        <v>33</v>
      </c>
      <c r="AB580" s="25">
        <v>28.0</v>
      </c>
    </row>
    <row r="581" ht="19.5" hidden="1" customHeight="1">
      <c r="A581" s="14">
        <v>8.0</v>
      </c>
      <c r="B581" s="15">
        <v>45985.0</v>
      </c>
      <c r="C581" s="16" t="s">
        <v>34</v>
      </c>
      <c r="D581" s="17" t="s">
        <v>50</v>
      </c>
      <c r="E581" s="18">
        <v>0.32569444444444445</v>
      </c>
      <c r="F581" s="34">
        <v>0.5013888888888889</v>
      </c>
      <c r="G581" s="33">
        <v>66.3</v>
      </c>
      <c r="H581" s="14" t="s">
        <v>181</v>
      </c>
      <c r="I581" s="14" t="s">
        <v>36</v>
      </c>
      <c r="J581" s="21" t="s">
        <v>53</v>
      </c>
      <c r="K581" s="22" t="s">
        <v>75</v>
      </c>
      <c r="L581" s="23" t="s">
        <v>54</v>
      </c>
      <c r="M581" s="24" t="s">
        <v>76</v>
      </c>
      <c r="N581" s="25" t="s">
        <v>345</v>
      </c>
      <c r="P581" s="14">
        <v>0.0</v>
      </c>
      <c r="Q581" s="14">
        <v>0.0</v>
      </c>
      <c r="R581" s="27">
        <v>0.0</v>
      </c>
      <c r="S581" s="33">
        <v>0.0</v>
      </c>
      <c r="T581" s="28">
        <v>0.0</v>
      </c>
      <c r="U581" s="33">
        <v>0.0</v>
      </c>
      <c r="V581" s="14">
        <v>0.0</v>
      </c>
      <c r="W581" s="14">
        <v>0.0</v>
      </c>
      <c r="X581" s="56" t="s">
        <v>44</v>
      </c>
      <c r="Y581" s="30" t="s">
        <v>44</v>
      </c>
      <c r="Z581" s="29" t="s">
        <v>44</v>
      </c>
      <c r="AA581" s="32" t="s">
        <v>45</v>
      </c>
      <c r="AB581" s="25" t="s">
        <v>44</v>
      </c>
    </row>
    <row r="582" ht="19.5" hidden="1" customHeight="1">
      <c r="A582" s="14">
        <v>9.0</v>
      </c>
      <c r="B582" s="15">
        <v>45985.0</v>
      </c>
      <c r="C582" s="16" t="s">
        <v>46</v>
      </c>
      <c r="D582" s="17">
        <v>1.0</v>
      </c>
      <c r="E582" s="18">
        <v>0.3819444444444444</v>
      </c>
      <c r="F582" s="34">
        <v>0.41041666666666665</v>
      </c>
      <c r="G582" s="33">
        <v>38.0</v>
      </c>
      <c r="H582" s="14" t="s">
        <v>58</v>
      </c>
      <c r="I582" s="14" t="s">
        <v>52</v>
      </c>
      <c r="J582" s="21" t="s">
        <v>37</v>
      </c>
      <c r="K582" s="22" t="s">
        <v>42</v>
      </c>
      <c r="L582" s="23" t="s">
        <v>54</v>
      </c>
      <c r="M582" s="24" t="s">
        <v>64</v>
      </c>
      <c r="N582" s="25" t="s">
        <v>159</v>
      </c>
      <c r="P582" s="14">
        <v>1.0</v>
      </c>
      <c r="Q582" s="14">
        <v>0.0</v>
      </c>
      <c r="R582" s="27">
        <v>0.0</v>
      </c>
      <c r="S582" s="33">
        <v>0.0</v>
      </c>
      <c r="T582" s="28">
        <v>1.0</v>
      </c>
      <c r="U582" s="33">
        <v>0.0</v>
      </c>
      <c r="V582" s="14">
        <v>0.0</v>
      </c>
      <c r="W582" s="14">
        <v>0.0</v>
      </c>
      <c r="X582" s="35" t="s">
        <v>787</v>
      </c>
      <c r="Y582" s="30" t="s">
        <v>32</v>
      </c>
      <c r="Z582" s="35">
        <v>2.735591170701E12</v>
      </c>
      <c r="AA582" s="32" t="s">
        <v>33</v>
      </c>
      <c r="AB582" s="25">
        <v>31.0</v>
      </c>
    </row>
    <row r="583" ht="19.5" hidden="1" customHeight="1">
      <c r="A583" s="14">
        <v>10.0</v>
      </c>
      <c r="B583" s="15">
        <v>45985.0</v>
      </c>
      <c r="C583" s="16" t="s">
        <v>46</v>
      </c>
      <c r="D583" s="17">
        <v>1.0</v>
      </c>
      <c r="E583" s="18">
        <v>0.39791666666666664</v>
      </c>
      <c r="F583" s="34">
        <v>0.4375</v>
      </c>
      <c r="G583" s="33">
        <v>26.0</v>
      </c>
      <c r="H583" s="14" t="s">
        <v>51</v>
      </c>
      <c r="I583" s="14" t="s">
        <v>88</v>
      </c>
      <c r="J583" s="21" t="s">
        <v>49</v>
      </c>
      <c r="K583" s="22" t="s">
        <v>81</v>
      </c>
      <c r="L583" s="23" t="s">
        <v>54</v>
      </c>
      <c r="M583" s="24" t="s">
        <v>64</v>
      </c>
      <c r="N583" s="25" t="s">
        <v>40</v>
      </c>
      <c r="P583" s="14">
        <v>2.0</v>
      </c>
      <c r="Q583" s="14">
        <v>0.0</v>
      </c>
      <c r="R583" s="27">
        <v>0.0</v>
      </c>
      <c r="S583" s="33">
        <v>0.0</v>
      </c>
      <c r="T583" s="28">
        <v>2.0</v>
      </c>
      <c r="U583" s="33">
        <v>0.0</v>
      </c>
      <c r="V583" s="14">
        <v>0.0</v>
      </c>
      <c r="W583" s="14">
        <v>0.0</v>
      </c>
      <c r="X583" s="35" t="s">
        <v>788</v>
      </c>
      <c r="Y583" s="30" t="s">
        <v>61</v>
      </c>
      <c r="Z583" s="35">
        <v>2.65149130101E11</v>
      </c>
      <c r="AA583" s="32" t="s">
        <v>33</v>
      </c>
      <c r="AB583" s="25">
        <v>21.0</v>
      </c>
    </row>
    <row r="584" ht="19.5" hidden="1" customHeight="1">
      <c r="A584" s="14">
        <v>11.0</v>
      </c>
      <c r="B584" s="15">
        <v>45985.0</v>
      </c>
      <c r="C584" s="16" t="s">
        <v>46</v>
      </c>
      <c r="D584" s="17">
        <v>1.0</v>
      </c>
      <c r="E584" s="18">
        <v>0.4222222222222222</v>
      </c>
      <c r="F584" s="34">
        <v>0.44027777777777777</v>
      </c>
      <c r="G584" s="33">
        <v>22.7</v>
      </c>
      <c r="H584" s="14" t="s">
        <v>94</v>
      </c>
      <c r="I584" s="14" t="s">
        <v>88</v>
      </c>
      <c r="J584" s="21" t="s">
        <v>87</v>
      </c>
      <c r="K584" s="22" t="s">
        <v>29</v>
      </c>
      <c r="L584" s="23" t="s">
        <v>54</v>
      </c>
      <c r="M584" s="24" t="s">
        <v>64</v>
      </c>
      <c r="N584" s="25" t="s">
        <v>345</v>
      </c>
      <c r="P584" s="14">
        <v>1.0</v>
      </c>
      <c r="Q584" s="14">
        <v>0.0</v>
      </c>
      <c r="R584" s="27">
        <v>0.0</v>
      </c>
      <c r="S584" s="33">
        <v>0.0</v>
      </c>
      <c r="T584" s="28">
        <v>1.0</v>
      </c>
      <c r="U584" s="33">
        <v>0.0</v>
      </c>
      <c r="V584" s="14">
        <v>0.0</v>
      </c>
      <c r="W584" s="14">
        <v>0.0</v>
      </c>
      <c r="X584" s="35" t="s">
        <v>789</v>
      </c>
      <c r="Y584" s="30" t="s">
        <v>32</v>
      </c>
      <c r="Z584" s="35">
        <v>3.09381258061E12</v>
      </c>
      <c r="AA584" s="32" t="s">
        <v>33</v>
      </c>
      <c r="AB584" s="25">
        <v>27.0</v>
      </c>
    </row>
    <row r="585" ht="19.5" hidden="1" customHeight="1">
      <c r="A585" s="14">
        <v>12.0</v>
      </c>
      <c r="B585" s="15">
        <v>45985.0</v>
      </c>
      <c r="C585" s="16" t="s">
        <v>46</v>
      </c>
      <c r="D585" s="17">
        <v>1.0</v>
      </c>
      <c r="E585" s="18">
        <v>0.42291666666666666</v>
      </c>
      <c r="F585" s="34">
        <v>0.4375</v>
      </c>
      <c r="G585" s="33">
        <v>26.6</v>
      </c>
      <c r="H585" s="14" t="s">
        <v>51</v>
      </c>
      <c r="I585" s="14" t="s">
        <v>88</v>
      </c>
      <c r="J585" s="21" t="s">
        <v>49</v>
      </c>
      <c r="K585" s="22" t="s">
        <v>29</v>
      </c>
      <c r="L585" s="23" t="s">
        <v>54</v>
      </c>
      <c r="M585" s="24" t="s">
        <v>67</v>
      </c>
      <c r="N585" s="25" t="s">
        <v>40</v>
      </c>
      <c r="P585" s="14">
        <v>2.0</v>
      </c>
      <c r="Q585" s="14">
        <v>0.0</v>
      </c>
      <c r="R585" s="27">
        <v>0.0</v>
      </c>
      <c r="S585" s="33">
        <v>0.0</v>
      </c>
      <c r="T585" s="28">
        <v>2.0</v>
      </c>
      <c r="U585" s="33">
        <v>0.0</v>
      </c>
      <c r="V585" s="14">
        <v>0.0</v>
      </c>
      <c r="W585" s="14">
        <v>0.0</v>
      </c>
      <c r="X585" s="35" t="s">
        <v>44</v>
      </c>
      <c r="Y585" s="30" t="s">
        <v>44</v>
      </c>
      <c r="Z585" s="29" t="s">
        <v>45</v>
      </c>
      <c r="AA585" s="32" t="s">
        <v>45</v>
      </c>
      <c r="AB585" s="25" t="s">
        <v>45</v>
      </c>
    </row>
    <row r="586" ht="19.5" hidden="1" customHeight="1">
      <c r="A586" s="14">
        <v>13.0</v>
      </c>
      <c r="B586" s="15">
        <v>45985.0</v>
      </c>
      <c r="C586" s="16" t="s">
        <v>78</v>
      </c>
      <c r="D586" s="17">
        <v>1.0</v>
      </c>
      <c r="E586" s="18">
        <v>0.45208333333333334</v>
      </c>
      <c r="F586" s="34">
        <v>0.5277777777777778</v>
      </c>
      <c r="G586" s="33">
        <v>395.0</v>
      </c>
      <c r="H586" s="14" t="s">
        <v>79</v>
      </c>
      <c r="I586" s="14" t="s">
        <v>80</v>
      </c>
      <c r="J586" s="21" t="s">
        <v>49</v>
      </c>
      <c r="K586" s="22" t="s">
        <v>29</v>
      </c>
      <c r="L586" s="23" t="s">
        <v>54</v>
      </c>
      <c r="M586" s="24" t="s">
        <v>64</v>
      </c>
      <c r="N586" s="25" t="s">
        <v>40</v>
      </c>
      <c r="P586" s="14">
        <v>1.0</v>
      </c>
      <c r="Q586" s="14">
        <v>0.0</v>
      </c>
      <c r="R586" s="27">
        <v>0.0</v>
      </c>
      <c r="S586" s="33">
        <v>0.0</v>
      </c>
      <c r="T586" s="28">
        <v>1.0</v>
      </c>
      <c r="U586" s="33">
        <v>0.0</v>
      </c>
      <c r="V586" s="14">
        <v>0.0</v>
      </c>
      <c r="W586" s="14">
        <v>0.0</v>
      </c>
      <c r="X586" s="56" t="s">
        <v>790</v>
      </c>
      <c r="Y586" s="30" t="s">
        <v>32</v>
      </c>
      <c r="Z586" s="29">
        <v>2.607986061708E12</v>
      </c>
      <c r="AA586" s="32" t="s">
        <v>33</v>
      </c>
      <c r="AB586" s="25">
        <v>72.0</v>
      </c>
    </row>
    <row r="587" ht="19.5" hidden="1" customHeight="1">
      <c r="A587" s="14">
        <v>14.0</v>
      </c>
      <c r="B587" s="15">
        <v>45985.0</v>
      </c>
      <c r="C587" s="16" t="s">
        <v>46</v>
      </c>
      <c r="D587" s="17">
        <v>1.0</v>
      </c>
      <c r="E587" s="18">
        <v>0.4701388888888889</v>
      </c>
      <c r="F587" s="34">
        <v>0.5583333333333333</v>
      </c>
      <c r="G587" s="33">
        <v>56.0</v>
      </c>
      <c r="H587" s="14" t="s">
        <v>58</v>
      </c>
      <c r="I587" s="14" t="s">
        <v>52</v>
      </c>
      <c r="J587" s="21" t="s">
        <v>37</v>
      </c>
      <c r="K587" s="22" t="s">
        <v>91</v>
      </c>
      <c r="L587" s="23" t="s">
        <v>54</v>
      </c>
      <c r="M587" s="24" t="s">
        <v>64</v>
      </c>
      <c r="N587" s="25" t="s">
        <v>40</v>
      </c>
      <c r="P587" s="14">
        <v>1.0</v>
      </c>
      <c r="Q587" s="14">
        <v>0.0</v>
      </c>
      <c r="R587" s="27">
        <v>0.0</v>
      </c>
      <c r="S587" s="33">
        <v>0.0</v>
      </c>
      <c r="T587" s="28">
        <v>1.0</v>
      </c>
      <c r="U587" s="33">
        <v>0.0</v>
      </c>
      <c r="V587" s="14">
        <v>0.0</v>
      </c>
      <c r="W587" s="14">
        <v>0.0</v>
      </c>
      <c r="X587" s="35" t="s">
        <v>791</v>
      </c>
      <c r="Y587" s="30" t="s">
        <v>32</v>
      </c>
      <c r="Z587" s="35">
        <v>2.668117231413E12</v>
      </c>
      <c r="AA587" s="32" t="s">
        <v>33</v>
      </c>
      <c r="AB587" s="25">
        <v>21.0</v>
      </c>
    </row>
    <row r="588" ht="19.5" hidden="1" customHeight="1">
      <c r="A588" s="14">
        <v>15.0</v>
      </c>
      <c r="B588" s="53">
        <v>45985.0</v>
      </c>
      <c r="C588" s="16" t="s">
        <v>46</v>
      </c>
      <c r="D588" s="17">
        <v>1.0</v>
      </c>
      <c r="E588" s="39">
        <v>1230.0</v>
      </c>
      <c r="F588" s="34">
        <v>0.5333333333333333</v>
      </c>
      <c r="G588" s="33">
        <v>41.0</v>
      </c>
      <c r="H588" s="14" t="s">
        <v>94</v>
      </c>
      <c r="I588" s="14" t="s">
        <v>224</v>
      </c>
      <c r="J588" s="21" t="s">
        <v>49</v>
      </c>
      <c r="K588" s="22" t="s">
        <v>63</v>
      </c>
      <c r="L588" s="23" t="s">
        <v>54</v>
      </c>
      <c r="M588" s="24" t="s">
        <v>131</v>
      </c>
      <c r="N588" s="25" t="s">
        <v>159</v>
      </c>
      <c r="P588" s="14">
        <v>1.0</v>
      </c>
      <c r="Q588" s="14">
        <v>0.0</v>
      </c>
      <c r="R588" s="27">
        <v>0.0</v>
      </c>
      <c r="S588" s="33">
        <v>0.0</v>
      </c>
      <c r="T588" s="28">
        <v>1.0</v>
      </c>
      <c r="U588" s="33">
        <v>0.0</v>
      </c>
      <c r="V588" s="14">
        <v>0.0</v>
      </c>
      <c r="W588" s="14">
        <v>0.0</v>
      </c>
      <c r="X588" s="56" t="s">
        <v>792</v>
      </c>
      <c r="Y588" s="30" t="s">
        <v>85</v>
      </c>
      <c r="Z588" s="29">
        <v>2.30821944011E12</v>
      </c>
      <c r="AA588" s="32" t="s">
        <v>33</v>
      </c>
      <c r="AB588" s="25">
        <v>50.0</v>
      </c>
    </row>
    <row r="589" ht="19.5" hidden="1" customHeight="1">
      <c r="A589" s="14"/>
      <c r="B589" s="15">
        <v>45985.0</v>
      </c>
      <c r="C589" s="16"/>
      <c r="D589" s="17"/>
      <c r="E589" s="18"/>
      <c r="F589" s="34"/>
      <c r="G589" s="33"/>
      <c r="H589" s="14"/>
      <c r="I589" s="14"/>
      <c r="J589" s="21"/>
      <c r="K589" s="22" t="s">
        <v>29</v>
      </c>
      <c r="L589" s="23"/>
      <c r="M589" s="24"/>
      <c r="N589" s="25"/>
      <c r="P589" s="14">
        <v>1.0</v>
      </c>
      <c r="Q589" s="14">
        <v>0.0</v>
      </c>
      <c r="R589" s="27">
        <v>0.0</v>
      </c>
      <c r="S589" s="33">
        <v>0.0</v>
      </c>
      <c r="T589" s="28">
        <v>1.0</v>
      </c>
      <c r="U589" s="33">
        <v>0.0</v>
      </c>
      <c r="V589" s="14">
        <v>0.0</v>
      </c>
      <c r="W589" s="14">
        <v>0.0</v>
      </c>
      <c r="X589" s="56" t="s">
        <v>793</v>
      </c>
      <c r="Y589" s="30" t="s">
        <v>32</v>
      </c>
      <c r="Z589" s="29">
        <v>3.008157780101E12</v>
      </c>
      <c r="AA589" s="32" t="s">
        <v>33</v>
      </c>
      <c r="AB589" s="25">
        <v>25.0</v>
      </c>
    </row>
    <row r="590" ht="19.5" hidden="1" customHeight="1">
      <c r="A590" s="14">
        <v>16.0</v>
      </c>
      <c r="B590" s="15">
        <v>45985.0</v>
      </c>
      <c r="C590" s="16" t="s">
        <v>243</v>
      </c>
      <c r="D590" s="17">
        <v>2.0</v>
      </c>
      <c r="E590" s="18">
        <v>0.6388888888888888</v>
      </c>
      <c r="F590" s="34">
        <v>0.9576388888888889</v>
      </c>
      <c r="G590" s="33">
        <v>216.0</v>
      </c>
      <c r="H590" s="14" t="s">
        <v>249</v>
      </c>
      <c r="I590" s="14" t="s">
        <v>48</v>
      </c>
      <c r="J590" s="21" t="s">
        <v>74</v>
      </c>
      <c r="K590" s="22" t="s">
        <v>81</v>
      </c>
      <c r="L590" s="23" t="s">
        <v>38</v>
      </c>
      <c r="M590" s="24" t="s">
        <v>39</v>
      </c>
      <c r="N590" s="25" t="s">
        <v>794</v>
      </c>
      <c r="O590" s="25" t="s">
        <v>795</v>
      </c>
      <c r="P590" s="14">
        <v>1.0</v>
      </c>
      <c r="Q590" s="14">
        <v>0.0</v>
      </c>
      <c r="R590" s="27">
        <v>0.0</v>
      </c>
      <c r="S590" s="33">
        <v>0.0</v>
      </c>
      <c r="T590" s="28">
        <v>1.0</v>
      </c>
      <c r="U590" s="33">
        <v>0.0</v>
      </c>
      <c r="V590" s="14">
        <v>0.0</v>
      </c>
      <c r="W590" s="14">
        <v>0.0</v>
      </c>
      <c r="X590" s="56" t="s">
        <v>796</v>
      </c>
      <c r="Y590" s="30" t="s">
        <v>85</v>
      </c>
      <c r="Z590" s="29">
        <v>2.066372761801E12</v>
      </c>
      <c r="AA590" s="32" t="s">
        <v>33</v>
      </c>
      <c r="AB590" s="25">
        <v>34.0</v>
      </c>
    </row>
    <row r="591" ht="19.5" hidden="1" customHeight="1">
      <c r="A591" s="14">
        <v>17.0</v>
      </c>
      <c r="B591" s="15">
        <v>45985.0</v>
      </c>
      <c r="C591" s="16" t="s">
        <v>46</v>
      </c>
      <c r="D591" s="17">
        <v>1.0</v>
      </c>
      <c r="E591" s="18">
        <v>0.6465277777777778</v>
      </c>
      <c r="F591" s="34">
        <v>0.7201388888888889</v>
      </c>
      <c r="G591" s="33">
        <v>45.0</v>
      </c>
      <c r="H591" s="14" t="s">
        <v>47</v>
      </c>
      <c r="I591" s="14" t="s">
        <v>48</v>
      </c>
      <c r="J591" s="21" t="s">
        <v>87</v>
      </c>
      <c r="K591" s="22" t="s">
        <v>42</v>
      </c>
      <c r="L591" s="23" t="s">
        <v>54</v>
      </c>
      <c r="M591" s="24" t="s">
        <v>131</v>
      </c>
      <c r="N591" s="25" t="s">
        <v>159</v>
      </c>
      <c r="P591" s="14">
        <v>0.0</v>
      </c>
      <c r="Q591" s="14">
        <v>0.0</v>
      </c>
      <c r="R591" s="27">
        <v>0.0</v>
      </c>
      <c r="S591" s="33">
        <v>0.0</v>
      </c>
      <c r="T591" s="28">
        <v>4.0</v>
      </c>
      <c r="U591" s="33">
        <v>0.0</v>
      </c>
      <c r="V591" s="14">
        <v>0.0</v>
      </c>
      <c r="W591" s="14">
        <v>0.0</v>
      </c>
      <c r="X591" s="56"/>
      <c r="Y591" s="30"/>
      <c r="Z591" s="29"/>
      <c r="AA591" s="32"/>
      <c r="AB591" s="25"/>
    </row>
    <row r="592" ht="16.5" hidden="1" customHeight="1">
      <c r="A592" s="14">
        <v>18.0</v>
      </c>
      <c r="B592" s="15">
        <v>45985.0</v>
      </c>
      <c r="C592" s="16" t="s">
        <v>46</v>
      </c>
      <c r="D592" s="17">
        <v>2.0</v>
      </c>
      <c r="E592" s="18">
        <v>0.6777777777777778</v>
      </c>
      <c r="F592" s="34">
        <v>0.7263888888888889</v>
      </c>
      <c r="G592" s="33">
        <v>21.9</v>
      </c>
      <c r="H592" s="14" t="s">
        <v>94</v>
      </c>
      <c r="I592" s="14" t="s">
        <v>52</v>
      </c>
      <c r="J592" s="21" t="s">
        <v>53</v>
      </c>
      <c r="K592" s="22" t="s">
        <v>91</v>
      </c>
      <c r="L592" s="23" t="s">
        <v>54</v>
      </c>
      <c r="M592" s="24" t="s">
        <v>64</v>
      </c>
      <c r="N592" s="25" t="s">
        <v>345</v>
      </c>
      <c r="P592" s="14">
        <v>2.0</v>
      </c>
      <c r="Q592" s="14">
        <v>0.0</v>
      </c>
      <c r="R592" s="27">
        <v>0.0</v>
      </c>
      <c r="S592" s="33">
        <v>0.0</v>
      </c>
      <c r="T592" s="28">
        <v>2.0</v>
      </c>
      <c r="U592" s="33">
        <v>0.0</v>
      </c>
      <c r="V592" s="14">
        <v>0.0</v>
      </c>
      <c r="W592" s="14">
        <v>0.0</v>
      </c>
      <c r="X592" s="56" t="s">
        <v>797</v>
      </c>
      <c r="Y592" s="30" t="s">
        <v>32</v>
      </c>
      <c r="Z592" s="29">
        <v>1.842298630411E12</v>
      </c>
      <c r="AA592" s="32" t="s">
        <v>33</v>
      </c>
      <c r="AB592" s="25">
        <v>49.0</v>
      </c>
    </row>
    <row r="593" ht="19.5" hidden="1" customHeight="1">
      <c r="A593" s="14"/>
      <c r="B593" s="15">
        <v>45985.0</v>
      </c>
      <c r="C593" s="16" t="s">
        <v>125</v>
      </c>
      <c r="D593" s="17"/>
      <c r="E593" s="18"/>
      <c r="F593" s="34"/>
      <c r="G593" s="33"/>
      <c r="H593" s="14"/>
      <c r="I593" s="14"/>
      <c r="J593" s="21"/>
      <c r="K593" s="22" t="s">
        <v>81</v>
      </c>
      <c r="L593" s="23"/>
      <c r="M593" s="24"/>
      <c r="N593" s="25"/>
      <c r="P593" s="14">
        <v>1.0</v>
      </c>
      <c r="Q593" s="14">
        <v>0.0</v>
      </c>
      <c r="R593" s="27">
        <v>0.0</v>
      </c>
      <c r="S593" s="33">
        <v>0.0</v>
      </c>
      <c r="T593" s="28">
        <v>1.0</v>
      </c>
      <c r="U593" s="33">
        <v>0.0</v>
      </c>
      <c r="V593" s="14">
        <v>0.0</v>
      </c>
      <c r="W593" s="14">
        <v>0.0</v>
      </c>
      <c r="X593" s="35" t="s">
        <v>798</v>
      </c>
      <c r="Y593" s="30" t="s">
        <v>32</v>
      </c>
      <c r="Z593" s="35">
        <v>1.82808815101E11</v>
      </c>
      <c r="AA593" s="32" t="s">
        <v>33</v>
      </c>
      <c r="AB593" s="25">
        <v>61.0</v>
      </c>
    </row>
    <row r="594" ht="19.5" hidden="1" customHeight="1">
      <c r="A594" s="14"/>
      <c r="B594" s="15">
        <v>45985.0</v>
      </c>
      <c r="C594" s="16" t="s">
        <v>125</v>
      </c>
      <c r="D594" s="17"/>
      <c r="E594" s="18"/>
      <c r="F594" s="64"/>
      <c r="G594" s="33"/>
      <c r="H594" s="14"/>
      <c r="I594" s="14"/>
      <c r="J594" s="21"/>
      <c r="K594" s="22" t="s">
        <v>81</v>
      </c>
      <c r="L594" s="23"/>
      <c r="M594" s="24"/>
      <c r="N594" s="25"/>
      <c r="P594" s="14">
        <v>1.0</v>
      </c>
      <c r="Q594" s="14">
        <v>0.0</v>
      </c>
      <c r="R594" s="27">
        <v>0.0</v>
      </c>
      <c r="S594" s="33">
        <v>0.0</v>
      </c>
      <c r="T594" s="28">
        <v>1.0</v>
      </c>
      <c r="U594" s="33">
        <v>0.0</v>
      </c>
      <c r="V594" s="14">
        <v>0.0</v>
      </c>
      <c r="W594" s="14">
        <v>0.0</v>
      </c>
      <c r="X594" s="35" t="s">
        <v>799</v>
      </c>
      <c r="Y594" s="30" t="s">
        <v>32</v>
      </c>
      <c r="Z594" s="35">
        <v>1.81730405101E11</v>
      </c>
      <c r="AA594" s="32" t="s">
        <v>33</v>
      </c>
      <c r="AB594" s="25">
        <v>54.0</v>
      </c>
    </row>
    <row r="595" ht="19.5" hidden="1" customHeight="1">
      <c r="A595" s="14">
        <v>19.0</v>
      </c>
      <c r="B595" s="15">
        <v>45985.0</v>
      </c>
      <c r="C595" s="16" t="s">
        <v>125</v>
      </c>
      <c r="D595" s="17">
        <v>3.0</v>
      </c>
      <c r="E595" s="18">
        <v>0.6979166666666666</v>
      </c>
      <c r="F595" s="65">
        <v>0.7645833333333333</v>
      </c>
      <c r="G595" s="33">
        <v>163.0</v>
      </c>
      <c r="H595" s="14" t="s">
        <v>126</v>
      </c>
      <c r="I595" s="14" t="s">
        <v>36</v>
      </c>
      <c r="J595" s="21" t="s">
        <v>37</v>
      </c>
      <c r="K595" s="22" t="s">
        <v>81</v>
      </c>
      <c r="L595" s="23" t="s">
        <v>38</v>
      </c>
      <c r="M595" s="24" t="s">
        <v>288</v>
      </c>
      <c r="N595" s="25" t="s">
        <v>40</v>
      </c>
      <c r="P595" s="14">
        <v>1.0</v>
      </c>
      <c r="Q595" s="14">
        <v>0.0</v>
      </c>
      <c r="R595" s="27">
        <v>0.0</v>
      </c>
      <c r="S595" s="33">
        <v>0.0</v>
      </c>
      <c r="T595" s="28">
        <v>1.0</v>
      </c>
      <c r="U595" s="33">
        <v>0.0</v>
      </c>
      <c r="V595" s="14">
        <v>0.0</v>
      </c>
      <c r="W595" s="14">
        <v>0.0</v>
      </c>
      <c r="X595" s="35" t="s">
        <v>800</v>
      </c>
      <c r="Y595" s="30" t="s">
        <v>32</v>
      </c>
      <c r="Z595" s="35">
        <v>1.90725052101E12</v>
      </c>
      <c r="AA595" s="32" t="s">
        <v>33</v>
      </c>
      <c r="AB595" s="25">
        <v>43.0</v>
      </c>
    </row>
    <row r="596" ht="19.5" hidden="1" customHeight="1">
      <c r="A596" s="14"/>
      <c r="B596" s="15">
        <v>45985.0</v>
      </c>
      <c r="C596" s="16"/>
      <c r="D596" s="17"/>
      <c r="E596" s="18"/>
      <c r="F596" s="34"/>
      <c r="G596" s="33"/>
      <c r="H596" s="14"/>
      <c r="I596" s="14"/>
      <c r="J596" s="21"/>
      <c r="K596" s="22" t="s">
        <v>801</v>
      </c>
      <c r="L596" s="23"/>
      <c r="M596" s="24"/>
      <c r="N596" s="25"/>
      <c r="P596" s="14">
        <v>1.0</v>
      </c>
      <c r="Q596" s="14">
        <v>0.0</v>
      </c>
      <c r="R596" s="27">
        <v>0.0</v>
      </c>
      <c r="S596" s="33">
        <v>0.0</v>
      </c>
      <c r="T596" s="28">
        <v>1.0</v>
      </c>
      <c r="U596" s="33">
        <v>0.0</v>
      </c>
      <c r="V596" s="14">
        <v>0.0</v>
      </c>
      <c r="W596" s="14">
        <v>0.0</v>
      </c>
      <c r="X596" s="56" t="s">
        <v>802</v>
      </c>
      <c r="Y596" s="30" t="s">
        <v>32</v>
      </c>
      <c r="Z596" s="29">
        <v>1.573888320803E12</v>
      </c>
      <c r="AA596" s="32" t="s">
        <v>33</v>
      </c>
      <c r="AB596" s="25">
        <v>39.0</v>
      </c>
    </row>
    <row r="597" ht="19.5" hidden="1" customHeight="1">
      <c r="A597" s="14">
        <v>20.0</v>
      </c>
      <c r="B597" s="15">
        <v>45985.0</v>
      </c>
      <c r="C597" s="16" t="s">
        <v>46</v>
      </c>
      <c r="D597" s="17">
        <v>1.0</v>
      </c>
      <c r="E597" s="18">
        <v>0.7236111111111111</v>
      </c>
      <c r="F597" s="34">
        <v>0.8430555555555556</v>
      </c>
      <c r="G597" s="33">
        <v>50.0</v>
      </c>
      <c r="H597" s="14" t="s">
        <v>58</v>
      </c>
      <c r="I597" s="14" t="s">
        <v>52</v>
      </c>
      <c r="J597" s="21" t="s">
        <v>37</v>
      </c>
      <c r="K597" s="22" t="s">
        <v>81</v>
      </c>
      <c r="L597" s="23" t="s">
        <v>38</v>
      </c>
      <c r="M597" s="24" t="s">
        <v>39</v>
      </c>
      <c r="N597" s="25" t="s">
        <v>40</v>
      </c>
      <c r="P597" s="14">
        <v>1.0</v>
      </c>
      <c r="Q597" s="14">
        <v>0.0</v>
      </c>
      <c r="R597" s="27">
        <v>0.0</v>
      </c>
      <c r="S597" s="33">
        <v>0.0</v>
      </c>
      <c r="T597" s="28">
        <v>1.0</v>
      </c>
      <c r="U597" s="33">
        <v>0.0</v>
      </c>
      <c r="V597" s="14">
        <v>0.0</v>
      </c>
      <c r="W597" s="14">
        <v>0.0</v>
      </c>
      <c r="X597" s="56" t="s">
        <v>803</v>
      </c>
      <c r="Y597" s="30" t="s">
        <v>61</v>
      </c>
      <c r="Z597" s="29">
        <v>3.5968444400101E13</v>
      </c>
      <c r="AA597" s="32" t="s">
        <v>33</v>
      </c>
      <c r="AB597" s="25">
        <v>22.0</v>
      </c>
    </row>
    <row r="598" ht="19.5" hidden="1" customHeight="1">
      <c r="A598" s="14">
        <v>21.0</v>
      </c>
      <c r="B598" s="15">
        <v>45985.0</v>
      </c>
      <c r="C598" s="16" t="s">
        <v>125</v>
      </c>
      <c r="D598" s="17">
        <v>1.0</v>
      </c>
      <c r="E598" s="18">
        <v>0.7222222222222222</v>
      </c>
      <c r="F598" s="34">
        <v>0.7409722222222223</v>
      </c>
      <c r="G598" s="33">
        <v>132.0</v>
      </c>
      <c r="H598" s="14" t="s">
        <v>256</v>
      </c>
      <c r="I598" s="14" t="s">
        <v>36</v>
      </c>
      <c r="J598" s="21" t="s">
        <v>53</v>
      </c>
      <c r="K598" s="22" t="s">
        <v>29</v>
      </c>
      <c r="L598" s="23" t="s">
        <v>54</v>
      </c>
      <c r="M598" s="24" t="s">
        <v>64</v>
      </c>
      <c r="N598" s="25" t="s">
        <v>83</v>
      </c>
      <c r="P598" s="14">
        <v>1.0</v>
      </c>
      <c r="Q598" s="14">
        <v>0.0</v>
      </c>
      <c r="R598" s="27">
        <v>0.0</v>
      </c>
      <c r="S598" s="33">
        <v>0.0</v>
      </c>
      <c r="T598" s="28">
        <v>1.0</v>
      </c>
      <c r="U598" s="33">
        <v>0.0</v>
      </c>
      <c r="V598" s="14">
        <v>0.0</v>
      </c>
      <c r="W598" s="14">
        <v>0.0</v>
      </c>
      <c r="X598" s="35" t="s">
        <v>804</v>
      </c>
      <c r="Y598" s="30" t="s">
        <v>32</v>
      </c>
      <c r="Z598" s="35">
        <v>2.378365130101E12</v>
      </c>
      <c r="AA598" s="32" t="s">
        <v>33</v>
      </c>
      <c r="AB598" s="25">
        <v>40.0</v>
      </c>
    </row>
    <row r="599" ht="19.5" hidden="1" customHeight="1">
      <c r="A599" s="14">
        <v>22.0</v>
      </c>
      <c r="B599" s="15">
        <v>45985.0</v>
      </c>
      <c r="C599" s="16" t="s">
        <v>46</v>
      </c>
      <c r="D599" s="17">
        <v>1.0</v>
      </c>
      <c r="E599" s="18">
        <v>0.7631944444444444</v>
      </c>
      <c r="F599" s="34">
        <v>0.7993055555555556</v>
      </c>
      <c r="G599" s="33">
        <v>50.0</v>
      </c>
      <c r="H599" s="14" t="s">
        <v>47</v>
      </c>
      <c r="I599" s="14" t="s">
        <v>48</v>
      </c>
      <c r="J599" s="21" t="s">
        <v>49</v>
      </c>
      <c r="K599" s="22" t="s">
        <v>29</v>
      </c>
      <c r="L599" s="23" t="s">
        <v>54</v>
      </c>
      <c r="M599" s="24" t="s">
        <v>64</v>
      </c>
      <c r="N599" s="25" t="s">
        <v>40</v>
      </c>
      <c r="P599" s="14">
        <v>2.0</v>
      </c>
      <c r="Q599" s="14">
        <v>0.0</v>
      </c>
      <c r="R599" s="27">
        <v>0.0</v>
      </c>
      <c r="S599" s="33">
        <v>0.0</v>
      </c>
      <c r="T599" s="28">
        <v>2.0</v>
      </c>
      <c r="U599" s="33">
        <v>0.0</v>
      </c>
      <c r="V599" s="14">
        <v>0.0</v>
      </c>
      <c r="W599" s="14">
        <v>0.0</v>
      </c>
      <c r="X599" s="56" t="s">
        <v>805</v>
      </c>
      <c r="Y599" s="30" t="s">
        <v>32</v>
      </c>
      <c r="Z599" s="29">
        <v>1.642412641108E12</v>
      </c>
      <c r="AA599" s="32" t="s">
        <v>33</v>
      </c>
      <c r="AB599" s="25">
        <v>38.0</v>
      </c>
    </row>
    <row r="600" ht="19.5" hidden="1" customHeight="1">
      <c r="A600" s="14">
        <v>23.0</v>
      </c>
      <c r="B600" s="15">
        <v>45985.0</v>
      </c>
      <c r="C600" s="16" t="s">
        <v>243</v>
      </c>
      <c r="D600" s="17">
        <v>1.0</v>
      </c>
      <c r="E600" s="18">
        <v>0.8472222222222222</v>
      </c>
      <c r="F600" s="34">
        <v>0.8631944444444445</v>
      </c>
      <c r="G600" s="33">
        <v>273.3</v>
      </c>
      <c r="H600" s="14" t="s">
        <v>408</v>
      </c>
      <c r="I600" s="14" t="s">
        <v>48</v>
      </c>
      <c r="J600" s="21" t="s">
        <v>49</v>
      </c>
      <c r="K600" s="22" t="s">
        <v>100</v>
      </c>
      <c r="L600" s="23" t="s">
        <v>54</v>
      </c>
      <c r="M600" s="24" t="s">
        <v>64</v>
      </c>
      <c r="N600" s="25" t="s">
        <v>83</v>
      </c>
      <c r="P600" s="14">
        <v>1.0</v>
      </c>
      <c r="Q600" s="14">
        <v>0.0</v>
      </c>
      <c r="R600" s="27">
        <v>0.0</v>
      </c>
      <c r="S600" s="33">
        <v>0.0</v>
      </c>
      <c r="T600" s="28">
        <v>1.0</v>
      </c>
      <c r="U600" s="33">
        <v>0.0</v>
      </c>
      <c r="V600" s="14">
        <v>0.0</v>
      </c>
      <c r="W600" s="14">
        <v>0.0</v>
      </c>
      <c r="X600" s="56" t="s">
        <v>806</v>
      </c>
      <c r="Y600" s="30" t="s">
        <v>115</v>
      </c>
      <c r="Z600" s="29">
        <v>2.296198941804E12</v>
      </c>
      <c r="AA600" s="32" t="s">
        <v>33</v>
      </c>
      <c r="AB600" s="25">
        <v>32.0</v>
      </c>
    </row>
    <row r="601" ht="19.5" hidden="1" customHeight="1">
      <c r="A601" s="14">
        <v>24.0</v>
      </c>
      <c r="B601" s="15">
        <v>45985.0</v>
      </c>
      <c r="C601" s="16" t="s">
        <v>46</v>
      </c>
      <c r="D601" s="17">
        <v>1.0</v>
      </c>
      <c r="E601" s="18">
        <v>0.5291666666666667</v>
      </c>
      <c r="F601" s="18">
        <v>0.5291666666666667</v>
      </c>
      <c r="G601" s="33">
        <v>0.0</v>
      </c>
      <c r="H601" s="14">
        <v>1104.0</v>
      </c>
      <c r="I601" s="14" t="s">
        <v>143</v>
      </c>
      <c r="J601" s="21" t="s">
        <v>144</v>
      </c>
      <c r="K601" s="22" t="s">
        <v>75</v>
      </c>
      <c r="L601" s="23" t="s">
        <v>54</v>
      </c>
      <c r="M601" s="24" t="s">
        <v>235</v>
      </c>
      <c r="N601" s="25" t="s">
        <v>83</v>
      </c>
      <c r="P601" s="14">
        <v>1.0</v>
      </c>
      <c r="Q601" s="14">
        <v>0.0</v>
      </c>
      <c r="R601" s="27">
        <v>0.0</v>
      </c>
      <c r="S601" s="33">
        <v>0.0</v>
      </c>
      <c r="T601" s="28">
        <v>1.0</v>
      </c>
      <c r="U601" s="33">
        <v>0.0</v>
      </c>
      <c r="V601" s="14">
        <v>0.0</v>
      </c>
      <c r="W601" s="14">
        <v>0.0</v>
      </c>
      <c r="X601" s="56" t="s">
        <v>44</v>
      </c>
      <c r="Y601" s="30" t="s">
        <v>44</v>
      </c>
      <c r="Z601" s="29" t="s">
        <v>44</v>
      </c>
      <c r="AA601" s="32" t="s">
        <v>45</v>
      </c>
      <c r="AB601" s="25" t="s">
        <v>44</v>
      </c>
    </row>
    <row r="602" ht="19.5" hidden="1" customHeight="1">
      <c r="A602" s="14">
        <v>25.0</v>
      </c>
      <c r="B602" s="15">
        <v>45985.0</v>
      </c>
      <c r="C602" s="16" t="s">
        <v>46</v>
      </c>
      <c r="D602" s="17">
        <v>1.0</v>
      </c>
      <c r="E602" s="18">
        <v>0.5354166666666667</v>
      </c>
      <c r="F602" s="18">
        <v>0.5354166666666667</v>
      </c>
      <c r="G602" s="33">
        <v>0.0</v>
      </c>
      <c r="H602" s="14">
        <v>1104.0</v>
      </c>
      <c r="I602" s="14" t="s">
        <v>143</v>
      </c>
      <c r="J602" s="21" t="s">
        <v>144</v>
      </c>
      <c r="K602" s="22" t="s">
        <v>75</v>
      </c>
      <c r="L602" s="23" t="s">
        <v>54</v>
      </c>
      <c r="M602" s="24" t="s">
        <v>235</v>
      </c>
      <c r="N602" s="25" t="s">
        <v>83</v>
      </c>
      <c r="P602" s="14">
        <v>1.0</v>
      </c>
      <c r="Q602" s="14">
        <v>0.0</v>
      </c>
      <c r="R602" s="27">
        <v>0.0</v>
      </c>
      <c r="S602" s="33">
        <v>0.0</v>
      </c>
      <c r="T602" s="28">
        <v>1.0</v>
      </c>
      <c r="U602" s="33">
        <v>0.0</v>
      </c>
      <c r="V602" s="14">
        <v>0.0</v>
      </c>
      <c r="W602" s="14">
        <v>0.0</v>
      </c>
      <c r="X602" s="56" t="s">
        <v>44</v>
      </c>
      <c r="Y602" s="30" t="s">
        <v>44</v>
      </c>
      <c r="Z602" s="29" t="s">
        <v>44</v>
      </c>
      <c r="AA602" s="32" t="s">
        <v>45</v>
      </c>
      <c r="AB602" s="25" t="s">
        <v>44</v>
      </c>
    </row>
    <row r="603" ht="19.5" hidden="1" customHeight="1">
      <c r="A603" s="14">
        <v>26.0</v>
      </c>
      <c r="B603" s="15">
        <v>45985.0</v>
      </c>
      <c r="C603" s="16" t="s">
        <v>46</v>
      </c>
      <c r="D603" s="17">
        <v>1.0</v>
      </c>
      <c r="E603" s="18">
        <v>0.5368055555555555</v>
      </c>
      <c r="F603" s="18">
        <v>0.5368055555555555</v>
      </c>
      <c r="G603" s="33">
        <v>0.0</v>
      </c>
      <c r="H603" s="14">
        <v>1104.0</v>
      </c>
      <c r="I603" s="14" t="s">
        <v>143</v>
      </c>
      <c r="J603" s="21" t="s">
        <v>144</v>
      </c>
      <c r="K603" s="22" t="s">
        <v>75</v>
      </c>
      <c r="L603" s="23" t="s">
        <v>54</v>
      </c>
      <c r="M603" s="24" t="s">
        <v>235</v>
      </c>
      <c r="N603" s="25" t="s">
        <v>83</v>
      </c>
      <c r="P603" s="14">
        <v>1.0</v>
      </c>
      <c r="Q603" s="14">
        <v>0.0</v>
      </c>
      <c r="R603" s="27">
        <v>0.0</v>
      </c>
      <c r="S603" s="33">
        <v>0.0</v>
      </c>
      <c r="T603" s="28">
        <v>1.0</v>
      </c>
      <c r="U603" s="33">
        <v>0.0</v>
      </c>
      <c r="V603" s="14">
        <v>0.0</v>
      </c>
      <c r="W603" s="14">
        <v>0.0</v>
      </c>
      <c r="X603" s="56" t="s">
        <v>44</v>
      </c>
      <c r="Y603" s="30" t="s">
        <v>44</v>
      </c>
      <c r="Z603" s="29" t="s">
        <v>44</v>
      </c>
      <c r="AA603" s="32" t="s">
        <v>45</v>
      </c>
      <c r="AB603" s="25" t="s">
        <v>44</v>
      </c>
    </row>
    <row r="604" ht="19.5" hidden="1" customHeight="1">
      <c r="A604" s="14">
        <v>27.0</v>
      </c>
      <c r="B604" s="15">
        <v>45985.0</v>
      </c>
      <c r="C604" s="16" t="s">
        <v>46</v>
      </c>
      <c r="D604" s="17">
        <v>1.0</v>
      </c>
      <c r="E604" s="18">
        <v>0.5333333333333333</v>
      </c>
      <c r="F604" s="18">
        <v>0.5333333333333333</v>
      </c>
      <c r="G604" s="33">
        <v>0.0</v>
      </c>
      <c r="H604" s="14">
        <v>1104.0</v>
      </c>
      <c r="I604" s="14" t="s">
        <v>143</v>
      </c>
      <c r="J604" s="21" t="s">
        <v>144</v>
      </c>
      <c r="K604" s="22" t="s">
        <v>75</v>
      </c>
      <c r="L604" s="23" t="s">
        <v>54</v>
      </c>
      <c r="M604" s="24" t="s">
        <v>235</v>
      </c>
      <c r="N604" s="25" t="s">
        <v>83</v>
      </c>
      <c r="P604" s="14">
        <v>1.0</v>
      </c>
      <c r="Q604" s="14">
        <v>0.0</v>
      </c>
      <c r="R604" s="27">
        <v>0.0</v>
      </c>
      <c r="S604" s="33">
        <v>0.0</v>
      </c>
      <c r="T604" s="28">
        <v>1.0</v>
      </c>
      <c r="U604" s="33">
        <v>0.0</v>
      </c>
      <c r="V604" s="14">
        <v>0.0</v>
      </c>
      <c r="W604" s="14">
        <v>0.0</v>
      </c>
      <c r="X604" s="56" t="s">
        <v>44</v>
      </c>
      <c r="Y604" s="30" t="s">
        <v>44</v>
      </c>
      <c r="Z604" s="29" t="s">
        <v>44</v>
      </c>
      <c r="AA604" s="32" t="s">
        <v>45</v>
      </c>
      <c r="AB604" s="25" t="s">
        <v>44</v>
      </c>
    </row>
    <row r="605" ht="19.5" hidden="1" customHeight="1">
      <c r="A605" s="14"/>
      <c r="B605" s="15">
        <v>45986.0</v>
      </c>
      <c r="C605" s="16"/>
      <c r="D605" s="17"/>
      <c r="E605" s="18"/>
      <c r="F605" s="34"/>
      <c r="G605" s="33"/>
      <c r="H605" s="14"/>
      <c r="I605" s="14"/>
      <c r="J605" s="21"/>
      <c r="K605" s="22" t="s">
        <v>29</v>
      </c>
      <c r="L605" s="23"/>
      <c r="M605" s="24"/>
      <c r="N605" s="25"/>
      <c r="P605" s="14">
        <v>1.0</v>
      </c>
      <c r="Q605" s="14">
        <v>0.0</v>
      </c>
      <c r="R605" s="27">
        <v>0.0</v>
      </c>
      <c r="S605" s="33">
        <v>0.0</v>
      </c>
      <c r="T605" s="28">
        <v>1.0</v>
      </c>
      <c r="U605" s="33">
        <v>0.0</v>
      </c>
      <c r="V605" s="14">
        <v>0.0</v>
      </c>
      <c r="W605" s="14">
        <v>0.0</v>
      </c>
      <c r="X605" s="56" t="s">
        <v>807</v>
      </c>
      <c r="Y605" s="30" t="s">
        <v>32</v>
      </c>
      <c r="Z605" s="29">
        <v>2.229415020503E12</v>
      </c>
      <c r="AA605" s="32" t="s">
        <v>33</v>
      </c>
      <c r="AB605" s="25">
        <v>44.0</v>
      </c>
    </row>
    <row r="606" ht="19.5" hidden="1" customHeight="1">
      <c r="A606" s="14"/>
      <c r="B606" s="15">
        <v>45986.0</v>
      </c>
      <c r="C606" s="16"/>
      <c r="D606" s="17"/>
      <c r="E606" s="18"/>
      <c r="F606" s="34"/>
      <c r="G606" s="33"/>
      <c r="H606" s="14"/>
      <c r="I606" s="14"/>
      <c r="J606" s="21"/>
      <c r="K606" s="22" t="s">
        <v>109</v>
      </c>
      <c r="L606" s="23"/>
      <c r="M606" s="24"/>
      <c r="N606" s="25"/>
      <c r="P606" s="14">
        <v>0.0</v>
      </c>
      <c r="Q606" s="14">
        <v>6.0</v>
      </c>
      <c r="R606" s="27">
        <v>0.0</v>
      </c>
      <c r="S606" s="33">
        <v>6.0</v>
      </c>
      <c r="T606" s="28">
        <v>0.0</v>
      </c>
      <c r="U606" s="33">
        <v>0.0</v>
      </c>
      <c r="V606" s="14">
        <v>0.0</v>
      </c>
      <c r="W606" s="14">
        <v>0.0</v>
      </c>
      <c r="X606" s="56" t="s">
        <v>44</v>
      </c>
      <c r="Y606" s="56" t="s">
        <v>44</v>
      </c>
      <c r="Z606" s="56" t="s">
        <v>44</v>
      </c>
      <c r="AA606" s="56" t="s">
        <v>44</v>
      </c>
      <c r="AB606" s="56" t="s">
        <v>44</v>
      </c>
    </row>
    <row r="607" ht="19.5" hidden="1" customHeight="1">
      <c r="A607" s="14"/>
      <c r="B607" s="15">
        <v>45986.0</v>
      </c>
      <c r="C607" s="16"/>
      <c r="D607" s="17"/>
      <c r="E607" s="18"/>
      <c r="F607" s="34"/>
      <c r="G607" s="33"/>
      <c r="H607" s="14"/>
      <c r="I607" s="14"/>
      <c r="J607" s="21"/>
      <c r="K607" s="22" t="s">
        <v>29</v>
      </c>
      <c r="L607" s="23"/>
      <c r="M607" s="24"/>
      <c r="N607" s="25"/>
      <c r="P607" s="14">
        <v>3.0</v>
      </c>
      <c r="Q607" s="14">
        <v>0.0</v>
      </c>
      <c r="R607" s="27">
        <v>0.0</v>
      </c>
      <c r="S607" s="33">
        <v>3.0</v>
      </c>
      <c r="T607" s="28">
        <v>3.0</v>
      </c>
      <c r="U607" s="33">
        <v>0.0</v>
      </c>
      <c r="V607" s="14">
        <v>0.0</v>
      </c>
      <c r="W607" s="14">
        <v>0.0</v>
      </c>
      <c r="X607" s="35" t="s">
        <v>808</v>
      </c>
      <c r="Y607" s="30" t="s">
        <v>32</v>
      </c>
      <c r="Z607" s="35">
        <v>2.229415020503E12</v>
      </c>
      <c r="AA607" s="32" t="s">
        <v>33</v>
      </c>
      <c r="AB607" s="25">
        <v>44.0</v>
      </c>
    </row>
    <row r="608" ht="19.5" hidden="1" customHeight="1">
      <c r="A608" s="14">
        <v>1.0</v>
      </c>
      <c r="B608" s="15">
        <v>45986.0</v>
      </c>
      <c r="C608" s="16" t="s">
        <v>34</v>
      </c>
      <c r="D608" s="17">
        <v>4.0</v>
      </c>
      <c r="E608" s="18">
        <v>0.10347222222222222</v>
      </c>
      <c r="F608" s="34">
        <v>0.35347222222222224</v>
      </c>
      <c r="G608" s="33">
        <v>57.6</v>
      </c>
      <c r="H608" s="14" t="s">
        <v>35</v>
      </c>
      <c r="I608" s="14" t="s">
        <v>216</v>
      </c>
      <c r="J608" s="21" t="s">
        <v>87</v>
      </c>
      <c r="K608" s="22" t="s">
        <v>29</v>
      </c>
      <c r="L608" s="23" t="s">
        <v>38</v>
      </c>
      <c r="M608" s="24" t="s">
        <v>288</v>
      </c>
      <c r="N608" s="25" t="s">
        <v>809</v>
      </c>
      <c r="P608" s="14">
        <v>1.0</v>
      </c>
      <c r="Q608" s="14">
        <v>0.0</v>
      </c>
      <c r="R608" s="27">
        <v>0.0</v>
      </c>
      <c r="S608" s="33">
        <v>0.0</v>
      </c>
      <c r="T608" s="28">
        <v>1.0</v>
      </c>
      <c r="U608" s="33">
        <v>0.0</v>
      </c>
      <c r="V608" s="14">
        <v>0.0</v>
      </c>
      <c r="W608" s="14">
        <v>0.0</v>
      </c>
      <c r="X608" s="56" t="s">
        <v>810</v>
      </c>
      <c r="Y608" s="30" t="s">
        <v>32</v>
      </c>
      <c r="Z608" s="29">
        <v>2.286220501504E12</v>
      </c>
      <c r="AA608" s="32" t="s">
        <v>33</v>
      </c>
      <c r="AB608" s="25">
        <v>32.0</v>
      </c>
    </row>
    <row r="609" ht="19.5" hidden="1" customHeight="1">
      <c r="A609" s="14">
        <v>2.0</v>
      </c>
      <c r="B609" s="15">
        <v>45986.0</v>
      </c>
      <c r="C609" s="16" t="s">
        <v>34</v>
      </c>
      <c r="D609" s="17" t="s">
        <v>50</v>
      </c>
      <c r="E609" s="18">
        <v>0.225</v>
      </c>
      <c r="F609" s="34">
        <v>0.3548611111111111</v>
      </c>
      <c r="G609" s="33">
        <v>80.6</v>
      </c>
      <c r="H609" s="14">
        <v>1125.0</v>
      </c>
      <c r="I609" s="14" t="s">
        <v>88</v>
      </c>
      <c r="J609" s="21" t="s">
        <v>87</v>
      </c>
      <c r="K609" s="22" t="s">
        <v>75</v>
      </c>
      <c r="L609" s="23" t="s">
        <v>54</v>
      </c>
      <c r="M609" s="24" t="s">
        <v>76</v>
      </c>
      <c r="N609" s="25" t="s">
        <v>40</v>
      </c>
      <c r="P609" s="14">
        <v>30.0</v>
      </c>
      <c r="Q609" s="14">
        <v>0.0</v>
      </c>
      <c r="R609" s="27">
        <v>0.0</v>
      </c>
      <c r="S609" s="33">
        <v>0.0</v>
      </c>
      <c r="T609" s="28">
        <v>30.0</v>
      </c>
      <c r="U609" s="33">
        <v>0.0</v>
      </c>
      <c r="V609" s="14">
        <v>0.0</v>
      </c>
      <c r="W609" s="14">
        <v>0.0</v>
      </c>
      <c r="X609" s="56" t="s">
        <v>811</v>
      </c>
      <c r="Y609" s="30" t="s">
        <v>44</v>
      </c>
      <c r="Z609" s="29" t="s">
        <v>44</v>
      </c>
      <c r="AA609" s="32" t="s">
        <v>45</v>
      </c>
      <c r="AB609" s="25" t="s">
        <v>44</v>
      </c>
    </row>
    <row r="610" ht="19.5" hidden="1" customHeight="1">
      <c r="A610" s="14">
        <v>3.0</v>
      </c>
      <c r="B610" s="15">
        <v>45986.0</v>
      </c>
      <c r="C610" s="16" t="s">
        <v>46</v>
      </c>
      <c r="D610" s="17">
        <v>1.0</v>
      </c>
      <c r="E610" s="18">
        <v>0.3229166666666667</v>
      </c>
      <c r="F610" s="34">
        <v>0.34097222222222223</v>
      </c>
      <c r="G610" s="33">
        <v>17.0</v>
      </c>
      <c r="H610" s="14" t="s">
        <v>173</v>
      </c>
      <c r="I610" s="14" t="s">
        <v>52</v>
      </c>
      <c r="J610" s="21" t="s">
        <v>53</v>
      </c>
      <c r="K610" s="22" t="s">
        <v>81</v>
      </c>
      <c r="L610" s="23" t="s">
        <v>38</v>
      </c>
      <c r="M610" s="24" t="s">
        <v>108</v>
      </c>
      <c r="N610" s="25" t="s">
        <v>40</v>
      </c>
      <c r="P610" s="14">
        <v>1.0</v>
      </c>
      <c r="Q610" s="14">
        <v>0.0</v>
      </c>
      <c r="R610" s="27">
        <v>0.0</v>
      </c>
      <c r="S610" s="33">
        <v>0.0</v>
      </c>
      <c r="T610" s="28">
        <v>1.0</v>
      </c>
      <c r="U610" s="33">
        <v>0.0</v>
      </c>
      <c r="V610" s="14">
        <v>0.0</v>
      </c>
      <c r="W610" s="14">
        <v>0.0</v>
      </c>
      <c r="X610" s="56" t="s">
        <v>812</v>
      </c>
      <c r="Y610" s="30" t="s">
        <v>32</v>
      </c>
      <c r="Z610" s="29" t="s">
        <v>812</v>
      </c>
      <c r="AA610" s="32" t="s">
        <v>33</v>
      </c>
      <c r="AB610" s="25">
        <v>34.0</v>
      </c>
    </row>
    <row r="611" ht="19.5" hidden="1" customHeight="1">
      <c r="A611" s="14">
        <v>4.0</v>
      </c>
      <c r="B611" s="15">
        <v>45986.0</v>
      </c>
      <c r="C611" s="16" t="s">
        <v>46</v>
      </c>
      <c r="D611" s="17" t="s">
        <v>50</v>
      </c>
      <c r="E611" s="18">
        <v>0.34791666666666665</v>
      </c>
      <c r="F611" s="34">
        <v>0.5423611111111111</v>
      </c>
      <c r="G611" s="33">
        <v>22.0</v>
      </c>
      <c r="H611" s="14" t="s">
        <v>813</v>
      </c>
      <c r="I611" s="14" t="s">
        <v>691</v>
      </c>
      <c r="J611" s="21" t="s">
        <v>37</v>
      </c>
      <c r="K611" s="22" t="s">
        <v>75</v>
      </c>
      <c r="L611" s="23" t="s">
        <v>54</v>
      </c>
      <c r="M611" s="24" t="s">
        <v>76</v>
      </c>
      <c r="N611" s="25" t="s">
        <v>40</v>
      </c>
      <c r="P611" s="14">
        <v>0.0</v>
      </c>
      <c r="Q611" s="14">
        <v>0.0</v>
      </c>
      <c r="R611" s="27">
        <v>0.0</v>
      </c>
      <c r="S611" s="33">
        <v>0.0</v>
      </c>
      <c r="T611" s="28">
        <v>0.0</v>
      </c>
      <c r="U611" s="33">
        <v>0.0</v>
      </c>
      <c r="V611" s="14">
        <v>0.0</v>
      </c>
      <c r="W611" s="14">
        <v>0.0</v>
      </c>
      <c r="X611" s="56" t="s">
        <v>44</v>
      </c>
      <c r="Y611" s="30" t="s">
        <v>44</v>
      </c>
      <c r="Z611" s="29" t="s">
        <v>44</v>
      </c>
      <c r="AA611" s="32" t="s">
        <v>45</v>
      </c>
      <c r="AB611" s="25" t="s">
        <v>44</v>
      </c>
    </row>
    <row r="612" ht="19.5" hidden="1" customHeight="1">
      <c r="A612" s="14"/>
      <c r="B612" s="15">
        <v>45986.0</v>
      </c>
      <c r="C612" s="16"/>
      <c r="D612" s="17"/>
      <c r="E612" s="18"/>
      <c r="F612" s="33" t="s">
        <v>814</v>
      </c>
      <c r="G612" s="33"/>
      <c r="H612" s="14"/>
      <c r="I612" s="14"/>
      <c r="J612" s="21"/>
      <c r="K612" s="22" t="s">
        <v>81</v>
      </c>
      <c r="L612" s="23"/>
      <c r="M612" s="24"/>
      <c r="N612" s="25"/>
      <c r="O612" s="25" t="s">
        <v>44</v>
      </c>
      <c r="P612" s="14">
        <v>1.0</v>
      </c>
      <c r="Q612" s="14">
        <v>0.0</v>
      </c>
      <c r="R612" s="27">
        <v>0.0</v>
      </c>
      <c r="S612" s="33">
        <v>0.0</v>
      </c>
      <c r="T612" s="28">
        <v>1.0</v>
      </c>
      <c r="U612" s="33">
        <v>0.0</v>
      </c>
      <c r="V612" s="14">
        <v>0.0</v>
      </c>
      <c r="W612" s="14">
        <v>0.0</v>
      </c>
      <c r="X612" s="56" t="s">
        <v>815</v>
      </c>
      <c r="Y612" s="30" t="s">
        <v>32</v>
      </c>
      <c r="Z612" s="29">
        <v>1.853145381018E12</v>
      </c>
      <c r="AA612" s="32" t="s">
        <v>33</v>
      </c>
      <c r="AB612" s="25">
        <v>45.0</v>
      </c>
    </row>
    <row r="613" ht="19.5" hidden="1" customHeight="1">
      <c r="A613" s="14">
        <v>5.0</v>
      </c>
      <c r="B613" s="15">
        <v>45986.0</v>
      </c>
      <c r="C613" s="16" t="s">
        <v>34</v>
      </c>
      <c r="D613" s="17">
        <v>2.0</v>
      </c>
      <c r="E613" s="18">
        <v>0.3458333333333333</v>
      </c>
      <c r="F613" s="34">
        <v>0.6763888888888889</v>
      </c>
      <c r="G613" s="33">
        <v>89.0</v>
      </c>
      <c r="H613" s="14">
        <v>1125.0</v>
      </c>
      <c r="I613" s="14" t="s">
        <v>36</v>
      </c>
      <c r="J613" s="21" t="s">
        <v>53</v>
      </c>
      <c r="K613" s="22" t="s">
        <v>29</v>
      </c>
      <c r="L613" s="23" t="s">
        <v>38</v>
      </c>
      <c r="M613" s="24" t="s">
        <v>39</v>
      </c>
      <c r="N613" s="25" t="s">
        <v>56</v>
      </c>
      <c r="O613" s="25" t="s">
        <v>44</v>
      </c>
      <c r="P613" s="14">
        <v>1.0</v>
      </c>
      <c r="Q613" s="14">
        <v>0.0</v>
      </c>
      <c r="R613" s="27">
        <v>0.0</v>
      </c>
      <c r="S613" s="33">
        <v>0.0</v>
      </c>
      <c r="T613" s="28">
        <v>1.0</v>
      </c>
      <c r="U613" s="33">
        <v>0.0</v>
      </c>
      <c r="V613" s="14">
        <v>0.0</v>
      </c>
      <c r="W613" s="14">
        <v>0.0</v>
      </c>
      <c r="X613" s="56" t="s">
        <v>816</v>
      </c>
      <c r="Y613" s="30" t="s">
        <v>32</v>
      </c>
      <c r="Z613" s="29">
        <v>2.401752471108E12</v>
      </c>
      <c r="AA613" s="32" t="s">
        <v>33</v>
      </c>
      <c r="AB613" s="25">
        <v>32.0</v>
      </c>
    </row>
    <row r="614" ht="19.5" hidden="1" customHeight="1">
      <c r="A614" s="14">
        <v>6.0</v>
      </c>
      <c r="B614" s="15">
        <v>45986.0</v>
      </c>
      <c r="C614" s="16" t="s">
        <v>46</v>
      </c>
      <c r="D614" s="17">
        <v>1.0</v>
      </c>
      <c r="E614" s="18">
        <v>0.3958333333333333</v>
      </c>
      <c r="F614" s="34">
        <v>0.5277777777777778</v>
      </c>
      <c r="G614" s="33">
        <v>44.0</v>
      </c>
      <c r="H614" s="14" t="s">
        <v>96</v>
      </c>
      <c r="I614" s="14" t="s">
        <v>59</v>
      </c>
      <c r="J614" s="21" t="s">
        <v>53</v>
      </c>
      <c r="K614" s="22" t="s">
        <v>29</v>
      </c>
      <c r="L614" s="23" t="s">
        <v>54</v>
      </c>
      <c r="M614" s="24" t="s">
        <v>64</v>
      </c>
      <c r="N614" s="25" t="s">
        <v>40</v>
      </c>
      <c r="P614" s="14">
        <v>1.0</v>
      </c>
      <c r="Q614" s="14">
        <v>0.0</v>
      </c>
      <c r="R614" s="27">
        <v>0.0</v>
      </c>
      <c r="S614" s="33">
        <v>0.0</v>
      </c>
      <c r="T614" s="28">
        <v>1.0</v>
      </c>
      <c r="U614" s="33">
        <v>0.0</v>
      </c>
      <c r="V614" s="14">
        <v>0.0</v>
      </c>
      <c r="W614" s="14">
        <v>0.0</v>
      </c>
      <c r="X614" s="56" t="s">
        <v>817</v>
      </c>
      <c r="Y614" s="30" t="s">
        <v>61</v>
      </c>
      <c r="Z614" s="29">
        <v>1.821432360101E12</v>
      </c>
      <c r="AA614" s="32" t="s">
        <v>33</v>
      </c>
      <c r="AB614" s="25">
        <v>38.0</v>
      </c>
    </row>
    <row r="615" ht="19.5" hidden="1" customHeight="1">
      <c r="A615" s="14">
        <v>7.0</v>
      </c>
      <c r="B615" s="15">
        <v>45986.0</v>
      </c>
      <c r="C615" s="16" t="s">
        <v>46</v>
      </c>
      <c r="D615" s="17">
        <v>1.0</v>
      </c>
      <c r="E615" s="18">
        <v>0.3888888888888889</v>
      </c>
      <c r="F615" s="34">
        <v>0.44513888888888886</v>
      </c>
      <c r="G615" s="33">
        <v>43.0</v>
      </c>
      <c r="H615" s="14">
        <v>1134.0</v>
      </c>
      <c r="I615" s="14" t="s">
        <v>48</v>
      </c>
      <c r="J615" s="21" t="s">
        <v>49</v>
      </c>
      <c r="K615" s="22" t="s">
        <v>63</v>
      </c>
      <c r="L615" s="23" t="s">
        <v>54</v>
      </c>
      <c r="M615" s="24" t="s">
        <v>64</v>
      </c>
      <c r="N615" s="25" t="s">
        <v>728</v>
      </c>
      <c r="P615" s="14"/>
      <c r="Q615" s="14"/>
      <c r="R615" s="27"/>
      <c r="S615" s="33"/>
      <c r="T615" s="28"/>
      <c r="U615" s="33"/>
      <c r="V615" s="14"/>
      <c r="W615" s="14"/>
      <c r="X615" s="56"/>
      <c r="Y615" s="30"/>
      <c r="Z615" s="29"/>
      <c r="AA615" s="32"/>
      <c r="AB615" s="25"/>
    </row>
    <row r="616" ht="19.5" hidden="1" customHeight="1">
      <c r="A616" s="14"/>
      <c r="B616" s="15">
        <v>45986.0</v>
      </c>
      <c r="C616" s="16"/>
      <c r="D616" s="17"/>
      <c r="E616" s="18"/>
      <c r="F616" s="34"/>
      <c r="G616" s="33"/>
      <c r="H616" s="14"/>
      <c r="I616" s="14"/>
      <c r="J616" s="21"/>
      <c r="K616" s="22" t="s">
        <v>29</v>
      </c>
      <c r="L616" s="23"/>
      <c r="M616" s="24"/>
      <c r="N616" s="25"/>
      <c r="P616" s="14">
        <v>1.0</v>
      </c>
      <c r="Q616" s="14">
        <v>0.0</v>
      </c>
      <c r="R616" s="27">
        <v>0.0</v>
      </c>
      <c r="S616" s="33">
        <v>0.0</v>
      </c>
      <c r="T616" s="28">
        <v>1.0</v>
      </c>
      <c r="U616" s="33">
        <v>0.0</v>
      </c>
      <c r="V616" s="14">
        <v>0.0</v>
      </c>
      <c r="W616" s="14">
        <v>0.0</v>
      </c>
      <c r="X616" s="56" t="s">
        <v>818</v>
      </c>
      <c r="Y616" s="30" t="s">
        <v>32</v>
      </c>
      <c r="Z616" s="29" t="s">
        <v>819</v>
      </c>
      <c r="AA616" s="32" t="s">
        <v>33</v>
      </c>
      <c r="AB616" s="25">
        <v>41.0</v>
      </c>
    </row>
    <row r="617" ht="19.5" hidden="1" customHeight="1">
      <c r="A617" s="14">
        <v>8.0</v>
      </c>
      <c r="B617" s="15">
        <v>45986.0</v>
      </c>
      <c r="C617" s="16" t="s">
        <v>243</v>
      </c>
      <c r="D617" s="17">
        <v>2.0</v>
      </c>
      <c r="E617" s="18">
        <v>0.43125</v>
      </c>
      <c r="F617" s="34">
        <v>0.7590277777777777</v>
      </c>
      <c r="G617" s="33">
        <v>271.0</v>
      </c>
      <c r="H617" s="14" t="s">
        <v>249</v>
      </c>
      <c r="I617" s="14" t="s">
        <v>48</v>
      </c>
      <c r="J617" s="21" t="s">
        <v>87</v>
      </c>
      <c r="K617" s="22" t="s">
        <v>100</v>
      </c>
      <c r="L617" s="23" t="s">
        <v>38</v>
      </c>
      <c r="M617" s="24" t="s">
        <v>39</v>
      </c>
      <c r="N617" s="25" t="s">
        <v>820</v>
      </c>
      <c r="P617" s="14">
        <v>1.0</v>
      </c>
      <c r="Q617" s="14">
        <v>1.0</v>
      </c>
      <c r="R617" s="27">
        <v>0.0</v>
      </c>
      <c r="S617" s="33">
        <v>0.0</v>
      </c>
      <c r="T617" s="28">
        <v>1.0</v>
      </c>
      <c r="U617" s="33">
        <v>0.0</v>
      </c>
      <c r="V617" s="14">
        <v>0.0</v>
      </c>
      <c r="W617" s="14">
        <v>0.0</v>
      </c>
      <c r="X617" s="56" t="s">
        <v>821</v>
      </c>
      <c r="Y617" s="30" t="s">
        <v>44</v>
      </c>
      <c r="Z617" s="29">
        <v>2.35017485221E12</v>
      </c>
      <c r="AA617" s="32" t="s">
        <v>33</v>
      </c>
      <c r="AB617" s="25" t="s">
        <v>44</v>
      </c>
    </row>
    <row r="618" ht="19.5" hidden="1" customHeight="1">
      <c r="A618" s="14">
        <v>9.0</v>
      </c>
      <c r="B618" s="15">
        <v>45986.0</v>
      </c>
      <c r="C618" s="16" t="s">
        <v>46</v>
      </c>
      <c r="D618" s="17">
        <v>1.0</v>
      </c>
      <c r="E618" s="18">
        <v>0.4409722222222222</v>
      </c>
      <c r="F618" s="34">
        <v>0.4777777777777778</v>
      </c>
      <c r="G618" s="33">
        <v>37.6</v>
      </c>
      <c r="H618" s="14" t="s">
        <v>51</v>
      </c>
      <c r="I618" s="14" t="s">
        <v>48</v>
      </c>
      <c r="J618" s="21" t="s">
        <v>87</v>
      </c>
      <c r="K618" s="22" t="s">
        <v>63</v>
      </c>
      <c r="L618" s="23" t="s">
        <v>54</v>
      </c>
      <c r="M618" s="24" t="s">
        <v>67</v>
      </c>
      <c r="N618" s="25" t="s">
        <v>83</v>
      </c>
      <c r="P618" s="14">
        <v>0.0</v>
      </c>
      <c r="Q618" s="14">
        <v>0.0</v>
      </c>
      <c r="R618" s="27">
        <v>0.0</v>
      </c>
      <c r="S618" s="33">
        <v>0.0</v>
      </c>
      <c r="T618" s="28">
        <v>0.0</v>
      </c>
      <c r="U618" s="33">
        <v>0.0</v>
      </c>
      <c r="V618" s="14">
        <v>0.0</v>
      </c>
      <c r="W618" s="14">
        <v>0.0</v>
      </c>
      <c r="X618" s="56" t="s">
        <v>822</v>
      </c>
      <c r="Y618" s="30" t="s">
        <v>32</v>
      </c>
      <c r="Z618" s="56">
        <v>2.546901651101E12</v>
      </c>
      <c r="AA618" s="32" t="s">
        <v>33</v>
      </c>
      <c r="AB618" s="25">
        <v>48.0</v>
      </c>
    </row>
    <row r="619" ht="19.5" hidden="1" customHeight="1">
      <c r="A619" s="14">
        <v>10.0</v>
      </c>
      <c r="B619" s="15">
        <v>45986.0</v>
      </c>
      <c r="C619" s="16" t="s">
        <v>34</v>
      </c>
      <c r="D619" s="17" t="s">
        <v>50</v>
      </c>
      <c r="E619" s="18">
        <v>0.48055555555555557</v>
      </c>
      <c r="F619" s="34">
        <v>0.6208333333333333</v>
      </c>
      <c r="G619" s="33">
        <v>66.0</v>
      </c>
      <c r="H619" s="14" t="s">
        <v>181</v>
      </c>
      <c r="I619" s="14" t="s">
        <v>36</v>
      </c>
      <c r="J619" s="21" t="s">
        <v>53</v>
      </c>
      <c r="K619" s="22" t="s">
        <v>75</v>
      </c>
      <c r="L619" s="23" t="s">
        <v>54</v>
      </c>
      <c r="M619" s="24" t="s">
        <v>76</v>
      </c>
      <c r="N619" s="25" t="s">
        <v>456</v>
      </c>
      <c r="O619" s="25" t="s">
        <v>489</v>
      </c>
      <c r="P619" s="14">
        <v>20.0</v>
      </c>
      <c r="Q619" s="14">
        <v>0.0</v>
      </c>
      <c r="R619" s="27">
        <v>0.0</v>
      </c>
      <c r="S619" s="33">
        <v>0.0</v>
      </c>
      <c r="T619" s="28">
        <v>20.0</v>
      </c>
      <c r="U619" s="33">
        <v>0.0</v>
      </c>
      <c r="V619" s="14">
        <v>0.0</v>
      </c>
      <c r="W619" s="14">
        <v>0.0</v>
      </c>
      <c r="X619" s="56" t="s">
        <v>44</v>
      </c>
      <c r="Y619" s="56" t="s">
        <v>44</v>
      </c>
      <c r="Z619" s="56" t="s">
        <v>44</v>
      </c>
      <c r="AA619" s="56" t="s">
        <v>44</v>
      </c>
      <c r="AB619" s="56" t="s">
        <v>44</v>
      </c>
    </row>
    <row r="620" ht="19.5" hidden="1" customHeight="1">
      <c r="A620" s="14">
        <v>11.0</v>
      </c>
      <c r="B620" s="15">
        <v>45986.0</v>
      </c>
      <c r="C620" s="16" t="s">
        <v>46</v>
      </c>
      <c r="D620" s="17">
        <v>1.0</v>
      </c>
      <c r="E620" s="39">
        <v>1331.0</v>
      </c>
      <c r="F620" s="34">
        <v>0.5861111111111111</v>
      </c>
      <c r="G620" s="33">
        <v>22.0</v>
      </c>
      <c r="H620" s="14" t="s">
        <v>51</v>
      </c>
      <c r="I620" s="14" t="s">
        <v>88</v>
      </c>
      <c r="J620" s="21" t="s">
        <v>87</v>
      </c>
      <c r="K620" s="22" t="s">
        <v>29</v>
      </c>
      <c r="L620" s="23" t="s">
        <v>54</v>
      </c>
      <c r="M620" s="24" t="s">
        <v>64</v>
      </c>
      <c r="N620" s="25" t="s">
        <v>186</v>
      </c>
      <c r="O620" s="25" t="s">
        <v>30</v>
      </c>
      <c r="P620" s="14">
        <v>1.0</v>
      </c>
      <c r="Q620" s="14">
        <v>0.0</v>
      </c>
      <c r="R620" s="27">
        <v>0.0</v>
      </c>
      <c r="S620" s="33">
        <v>0.0</v>
      </c>
      <c r="T620" s="28">
        <v>1.0</v>
      </c>
      <c r="U620" s="33">
        <v>0.0</v>
      </c>
      <c r="V620" s="14">
        <v>0.0</v>
      </c>
      <c r="W620" s="14">
        <v>0.0</v>
      </c>
      <c r="X620" s="35" t="s">
        <v>45</v>
      </c>
      <c r="Y620" s="30" t="s">
        <v>44</v>
      </c>
      <c r="Z620" s="35" t="s">
        <v>45</v>
      </c>
      <c r="AA620" s="32" t="s">
        <v>45</v>
      </c>
      <c r="AB620" s="25" t="s">
        <v>45</v>
      </c>
    </row>
    <row r="621" ht="19.5" hidden="1" customHeight="1">
      <c r="A621" s="14">
        <v>12.0</v>
      </c>
      <c r="B621" s="53">
        <v>45986.0</v>
      </c>
      <c r="C621" s="16" t="s">
        <v>34</v>
      </c>
      <c r="D621" s="17">
        <v>1.0</v>
      </c>
      <c r="E621" s="18">
        <v>0.6597222222222222</v>
      </c>
      <c r="F621" s="34">
        <v>0.7381944444444445</v>
      </c>
      <c r="G621" s="33">
        <v>49.0</v>
      </c>
      <c r="H621" s="14" t="s">
        <v>35</v>
      </c>
      <c r="I621" s="14" t="s">
        <v>88</v>
      </c>
      <c r="J621" s="21" t="s">
        <v>49</v>
      </c>
      <c r="K621" s="22" t="s">
        <v>801</v>
      </c>
      <c r="L621" s="23" t="s">
        <v>54</v>
      </c>
      <c r="M621" s="24" t="s">
        <v>64</v>
      </c>
      <c r="N621" s="25" t="s">
        <v>103</v>
      </c>
      <c r="O621" s="25" t="s">
        <v>30</v>
      </c>
      <c r="P621" s="14">
        <v>3.0</v>
      </c>
      <c r="Q621" s="14">
        <v>0.0</v>
      </c>
      <c r="R621" s="27">
        <v>0.0</v>
      </c>
      <c r="S621" s="33">
        <v>0.0</v>
      </c>
      <c r="T621" s="28">
        <v>3.0</v>
      </c>
      <c r="U621" s="33">
        <v>0.0</v>
      </c>
      <c r="V621" s="14">
        <v>0.0</v>
      </c>
      <c r="W621" s="14">
        <v>0.0</v>
      </c>
      <c r="X621" s="35" t="s">
        <v>823</v>
      </c>
      <c r="Y621" s="30" t="s">
        <v>32</v>
      </c>
      <c r="Z621" s="35">
        <v>2.205020480612E12</v>
      </c>
      <c r="AA621" s="32" t="s">
        <v>33</v>
      </c>
      <c r="AB621" s="25">
        <v>36.0</v>
      </c>
    </row>
    <row r="622" ht="19.5" hidden="1" customHeight="1">
      <c r="A622" s="14">
        <v>13.0</v>
      </c>
      <c r="B622" s="15">
        <v>45986.0</v>
      </c>
      <c r="C622" s="16" t="s">
        <v>46</v>
      </c>
      <c r="D622" s="17">
        <v>1.0</v>
      </c>
      <c r="E622" s="18">
        <v>0.7208333333333333</v>
      </c>
      <c r="F622" s="34">
        <v>0.7347222222222223</v>
      </c>
      <c r="G622" s="33">
        <v>52.0</v>
      </c>
      <c r="H622" s="14" t="s">
        <v>96</v>
      </c>
      <c r="I622" s="14" t="s">
        <v>59</v>
      </c>
      <c r="J622" s="21" t="s">
        <v>53</v>
      </c>
      <c r="K622" s="22" t="s">
        <v>42</v>
      </c>
      <c r="L622" s="23" t="s">
        <v>54</v>
      </c>
      <c r="M622" s="24" t="s">
        <v>131</v>
      </c>
      <c r="N622" s="25" t="s">
        <v>83</v>
      </c>
      <c r="O622" s="25" t="s">
        <v>30</v>
      </c>
      <c r="P622" s="14">
        <v>4.0</v>
      </c>
      <c r="Q622" s="14">
        <v>0.0</v>
      </c>
      <c r="R622" s="27">
        <v>0.0</v>
      </c>
      <c r="S622" s="33">
        <v>0.0</v>
      </c>
      <c r="T622" s="28">
        <v>4.0</v>
      </c>
      <c r="U622" s="33">
        <v>0.0</v>
      </c>
      <c r="V622" s="14">
        <v>0.0</v>
      </c>
      <c r="W622" s="14">
        <v>0.0</v>
      </c>
      <c r="X622" s="35" t="s">
        <v>824</v>
      </c>
      <c r="Y622" s="30" t="s">
        <v>61</v>
      </c>
      <c r="Z622" s="35">
        <v>3.090177180805E12</v>
      </c>
      <c r="AA622" s="32" t="s">
        <v>33</v>
      </c>
      <c r="AB622" s="25">
        <v>28.0</v>
      </c>
    </row>
    <row r="623" ht="19.5" customHeight="1">
      <c r="A623" s="14">
        <v>1.0</v>
      </c>
      <c r="B623" s="15">
        <v>45987.0</v>
      </c>
      <c r="C623" s="16" t="s">
        <v>46</v>
      </c>
      <c r="D623" s="17">
        <v>1.0</v>
      </c>
      <c r="E623" s="18">
        <v>0.23333333333333334</v>
      </c>
      <c r="F623" s="34">
        <v>0.2375</v>
      </c>
      <c r="G623" s="33">
        <v>0.0</v>
      </c>
      <c r="H623" s="14">
        <v>1104.0</v>
      </c>
      <c r="I623" s="14" t="s">
        <v>143</v>
      </c>
      <c r="J623" s="21" t="s">
        <v>144</v>
      </c>
      <c r="K623" s="22" t="s">
        <v>100</v>
      </c>
      <c r="L623" s="23" t="s">
        <v>54</v>
      </c>
      <c r="M623" s="24" t="s">
        <v>64</v>
      </c>
      <c r="N623" s="25" t="s">
        <v>825</v>
      </c>
      <c r="O623" s="25" t="s">
        <v>30</v>
      </c>
      <c r="P623" s="14">
        <v>2.0</v>
      </c>
      <c r="Q623" s="14">
        <v>0.0</v>
      </c>
      <c r="R623" s="27">
        <v>0.0</v>
      </c>
      <c r="S623" s="33">
        <v>0.0</v>
      </c>
      <c r="T623" s="28">
        <v>4.0</v>
      </c>
      <c r="U623" s="33">
        <v>0.0</v>
      </c>
      <c r="V623" s="14">
        <v>0.0</v>
      </c>
      <c r="W623" s="14">
        <v>0.0</v>
      </c>
      <c r="X623" s="35" t="s">
        <v>826</v>
      </c>
      <c r="Y623" s="30" t="s">
        <v>85</v>
      </c>
      <c r="Z623" s="35">
        <v>2.837569342216E12</v>
      </c>
      <c r="AA623" s="32" t="s">
        <v>33</v>
      </c>
      <c r="AB623" s="25">
        <v>27.0</v>
      </c>
    </row>
    <row r="624" ht="19.5" customHeight="1">
      <c r="A624" s="14">
        <v>2.0</v>
      </c>
      <c r="B624" s="15">
        <v>45987.0</v>
      </c>
      <c r="C624" s="16" t="s">
        <v>46</v>
      </c>
      <c r="D624" s="17">
        <v>1.0</v>
      </c>
      <c r="E624" s="18">
        <v>0.25625</v>
      </c>
      <c r="F624" s="34">
        <v>0.27361111111111114</v>
      </c>
      <c r="G624" s="33">
        <v>43.0</v>
      </c>
      <c r="H624" s="14" t="s">
        <v>62</v>
      </c>
      <c r="I624" s="14" t="s">
        <v>48</v>
      </c>
      <c r="J624" s="21" t="s">
        <v>49</v>
      </c>
      <c r="K624" s="22" t="s">
        <v>100</v>
      </c>
      <c r="L624" s="23" t="s">
        <v>54</v>
      </c>
      <c r="M624" s="24" t="s">
        <v>67</v>
      </c>
      <c r="N624" s="25"/>
      <c r="O624" s="25" t="s">
        <v>30</v>
      </c>
      <c r="P624" s="14">
        <v>2.0</v>
      </c>
      <c r="Q624" s="14">
        <v>0.0</v>
      </c>
      <c r="R624" s="27">
        <v>0.0</v>
      </c>
      <c r="S624" s="33">
        <v>0.0</v>
      </c>
      <c r="T624" s="28">
        <v>2.0</v>
      </c>
      <c r="U624" s="33">
        <v>0.0</v>
      </c>
      <c r="V624" s="14">
        <v>0.0</v>
      </c>
      <c r="W624" s="14">
        <v>0.0</v>
      </c>
      <c r="X624" s="35" t="s">
        <v>827</v>
      </c>
      <c r="Y624" s="30" t="s">
        <v>85</v>
      </c>
      <c r="Z624" s="35">
        <v>2.460755700207E12</v>
      </c>
      <c r="AA624" s="32" t="s">
        <v>33</v>
      </c>
      <c r="AB624" s="25">
        <v>53.0</v>
      </c>
    </row>
    <row r="625" ht="19.5" customHeight="1">
      <c r="A625" s="14">
        <v>3.0</v>
      </c>
      <c r="B625" s="15">
        <v>45987.0</v>
      </c>
      <c r="C625" s="16" t="s">
        <v>46</v>
      </c>
      <c r="D625" s="17">
        <v>1.0</v>
      </c>
      <c r="E625" s="18">
        <v>0.26944444444444443</v>
      </c>
      <c r="F625" s="34">
        <v>0.325</v>
      </c>
      <c r="G625" s="33" t="s">
        <v>828</v>
      </c>
      <c r="H625" s="14" t="s">
        <v>97</v>
      </c>
      <c r="I625" s="14" t="s">
        <v>59</v>
      </c>
      <c r="J625" s="21" t="s">
        <v>37</v>
      </c>
      <c r="K625" s="22" t="s">
        <v>81</v>
      </c>
      <c r="L625" s="23" t="s">
        <v>54</v>
      </c>
      <c r="M625" s="24" t="s">
        <v>64</v>
      </c>
      <c r="N625" s="25" t="s">
        <v>103</v>
      </c>
      <c r="O625" s="25" t="s">
        <v>30</v>
      </c>
      <c r="P625" s="14">
        <v>4.0</v>
      </c>
      <c r="Q625" s="14">
        <v>0.0</v>
      </c>
      <c r="R625" s="27">
        <v>0.0</v>
      </c>
      <c r="S625" s="33">
        <v>0.0</v>
      </c>
      <c r="T625" s="28">
        <v>4.0</v>
      </c>
      <c r="U625" s="33">
        <v>0.0</v>
      </c>
      <c r="V625" s="14">
        <v>0.0</v>
      </c>
      <c r="W625" s="14">
        <v>0.0</v>
      </c>
      <c r="X625" s="35" t="s">
        <v>829</v>
      </c>
      <c r="Y625" s="30" t="s">
        <v>32</v>
      </c>
      <c r="Z625" s="35" t="s">
        <v>830</v>
      </c>
      <c r="AA625" s="32" t="s">
        <v>33</v>
      </c>
      <c r="AB625" s="25">
        <v>56.0</v>
      </c>
    </row>
    <row r="626" ht="19.5" customHeight="1">
      <c r="A626" s="14">
        <v>4.0</v>
      </c>
      <c r="B626" s="15">
        <v>45987.0</v>
      </c>
      <c r="C626" s="16" t="s">
        <v>46</v>
      </c>
      <c r="D626" s="17">
        <v>1.0</v>
      </c>
      <c r="E626" s="18">
        <v>0.28055555555555556</v>
      </c>
      <c r="F626" s="34">
        <v>0.36736111111111114</v>
      </c>
      <c r="G626" s="33">
        <v>44.0</v>
      </c>
      <c r="H626" s="14" t="s">
        <v>94</v>
      </c>
      <c r="I626" s="14" t="s">
        <v>52</v>
      </c>
      <c r="J626" s="21" t="s">
        <v>37</v>
      </c>
      <c r="K626" s="22" t="s">
        <v>81</v>
      </c>
      <c r="L626" s="23" t="s">
        <v>54</v>
      </c>
      <c r="M626" s="24" t="s">
        <v>64</v>
      </c>
      <c r="N626" s="25" t="s">
        <v>103</v>
      </c>
      <c r="O626" s="25" t="s">
        <v>30</v>
      </c>
      <c r="P626" s="14">
        <v>2.0</v>
      </c>
      <c r="Q626" s="14">
        <v>0.0</v>
      </c>
      <c r="R626" s="27">
        <v>0.0</v>
      </c>
      <c r="S626" s="33">
        <v>0.0</v>
      </c>
      <c r="T626" s="28">
        <v>2.0</v>
      </c>
      <c r="U626" s="33">
        <v>0.0</v>
      </c>
      <c r="V626" s="14">
        <v>0.0</v>
      </c>
      <c r="W626" s="14">
        <v>0.0</v>
      </c>
      <c r="X626" s="35" t="s">
        <v>831</v>
      </c>
      <c r="Y626" s="30" t="s">
        <v>85</v>
      </c>
      <c r="Z626" s="29">
        <v>2.705630400501E12</v>
      </c>
      <c r="AA626" s="32" t="s">
        <v>33</v>
      </c>
      <c r="AB626" s="25">
        <v>30.0</v>
      </c>
    </row>
    <row r="627" ht="19.5" customHeight="1">
      <c r="A627" s="14">
        <v>5.0</v>
      </c>
      <c r="B627" s="15">
        <v>45987.0</v>
      </c>
      <c r="C627" s="16" t="s">
        <v>46</v>
      </c>
      <c r="D627" s="17">
        <v>1.0</v>
      </c>
      <c r="E627" s="18">
        <v>0.3090277777777778</v>
      </c>
      <c r="F627" s="34">
        <v>0.3125</v>
      </c>
      <c r="G627" s="33">
        <v>0.0</v>
      </c>
      <c r="H627" s="14">
        <v>1104.0</v>
      </c>
      <c r="I627" s="14" t="s">
        <v>143</v>
      </c>
      <c r="J627" s="21" t="s">
        <v>144</v>
      </c>
      <c r="K627" s="22" t="s">
        <v>109</v>
      </c>
      <c r="L627" s="23" t="s">
        <v>54</v>
      </c>
      <c r="M627" s="24" t="s">
        <v>64</v>
      </c>
      <c r="N627" s="25" t="s">
        <v>103</v>
      </c>
      <c r="O627" s="25" t="s">
        <v>30</v>
      </c>
      <c r="P627" s="14">
        <v>1.0</v>
      </c>
      <c r="Q627" s="14">
        <v>0.0</v>
      </c>
      <c r="R627" s="27">
        <v>0.0</v>
      </c>
      <c r="S627" s="33">
        <v>0.0</v>
      </c>
      <c r="T627" s="28">
        <v>1.0</v>
      </c>
      <c r="U627" s="33">
        <v>0.0</v>
      </c>
      <c r="V627" s="14">
        <v>0.0</v>
      </c>
      <c r="W627" s="14">
        <v>0.0</v>
      </c>
      <c r="X627" s="35" t="s">
        <v>832</v>
      </c>
      <c r="Y627" s="30" t="s">
        <v>61</v>
      </c>
      <c r="Z627" s="35">
        <v>3.32239063161E12</v>
      </c>
      <c r="AA627" s="32" t="s">
        <v>33</v>
      </c>
      <c r="AB627" s="25">
        <v>28.0</v>
      </c>
    </row>
    <row r="628" ht="19.5" customHeight="1">
      <c r="A628" s="14">
        <v>6.0</v>
      </c>
      <c r="B628" s="15">
        <v>45987.0</v>
      </c>
      <c r="C628" s="16" t="s">
        <v>34</v>
      </c>
      <c r="D628" s="17">
        <v>1.0</v>
      </c>
      <c r="E628" s="18">
        <v>0.30972222222222223</v>
      </c>
      <c r="F628" s="34"/>
      <c r="G628" s="33">
        <v>66.0</v>
      </c>
      <c r="H628" s="14" t="s">
        <v>35</v>
      </c>
      <c r="I628" s="14" t="s">
        <v>36</v>
      </c>
      <c r="J628" s="21" t="s">
        <v>53</v>
      </c>
      <c r="K628" s="22" t="s">
        <v>75</v>
      </c>
      <c r="L628" s="23" t="s">
        <v>54</v>
      </c>
      <c r="M628" s="24" t="s">
        <v>76</v>
      </c>
      <c r="N628" s="25" t="s">
        <v>56</v>
      </c>
      <c r="O628" s="25" t="s">
        <v>30</v>
      </c>
      <c r="P628" s="14">
        <v>100.0</v>
      </c>
      <c r="Q628" s="14">
        <v>0.0</v>
      </c>
      <c r="R628" s="27">
        <v>0.0</v>
      </c>
      <c r="S628" s="33">
        <v>0.0</v>
      </c>
      <c r="T628" s="28">
        <v>100.0</v>
      </c>
      <c r="U628" s="33">
        <v>0.0</v>
      </c>
      <c r="V628" s="14">
        <v>0.0</v>
      </c>
      <c r="W628" s="14">
        <v>0.0</v>
      </c>
      <c r="X628" s="56" t="s">
        <v>44</v>
      </c>
      <c r="Y628" s="30" t="s">
        <v>44</v>
      </c>
      <c r="Z628" s="29" t="s">
        <v>44</v>
      </c>
      <c r="AA628" s="32" t="s">
        <v>45</v>
      </c>
      <c r="AB628" s="25" t="s">
        <v>44</v>
      </c>
    </row>
    <row r="629" ht="19.5" customHeight="1">
      <c r="A629" s="14">
        <v>7.0</v>
      </c>
      <c r="B629" s="15">
        <v>45987.0</v>
      </c>
      <c r="C629" s="16" t="s">
        <v>46</v>
      </c>
      <c r="D629" s="17">
        <v>1.0</v>
      </c>
      <c r="E629" s="18">
        <v>0.31527777777777777</v>
      </c>
      <c r="F629" s="34">
        <v>0.3333333333333333</v>
      </c>
      <c r="G629" s="33">
        <v>56.0</v>
      </c>
      <c r="H629" s="14" t="s">
        <v>96</v>
      </c>
      <c r="I629" s="14" t="s">
        <v>59</v>
      </c>
      <c r="J629" s="21" t="s">
        <v>53</v>
      </c>
      <c r="K629" s="22" t="s">
        <v>42</v>
      </c>
      <c r="L629" s="23" t="s">
        <v>54</v>
      </c>
      <c r="M629" s="24" t="s">
        <v>67</v>
      </c>
      <c r="N629" s="25" t="s">
        <v>83</v>
      </c>
      <c r="O629" s="25" t="s">
        <v>30</v>
      </c>
      <c r="P629" s="14">
        <v>1.0</v>
      </c>
      <c r="Q629" s="14">
        <v>0.0</v>
      </c>
      <c r="R629" s="27">
        <v>0.0</v>
      </c>
      <c r="S629" s="33">
        <v>1.0</v>
      </c>
      <c r="T629" s="28">
        <v>0.0</v>
      </c>
      <c r="U629" s="33">
        <v>0.0</v>
      </c>
      <c r="V629" s="14">
        <v>0.0</v>
      </c>
      <c r="W629" s="14">
        <v>0.0</v>
      </c>
      <c r="X629" s="35" t="s">
        <v>833</v>
      </c>
      <c r="Y629" s="30" t="s">
        <v>85</v>
      </c>
      <c r="Z629" s="35">
        <v>1.625967820101E12</v>
      </c>
      <c r="AA629" s="32" t="s">
        <v>33</v>
      </c>
      <c r="AB629" s="25">
        <v>46.0</v>
      </c>
    </row>
    <row r="630" ht="19.5" customHeight="1">
      <c r="A630" s="14"/>
      <c r="B630" s="15">
        <v>45987.0</v>
      </c>
      <c r="C630" s="16"/>
      <c r="D630" s="17"/>
      <c r="E630" s="18"/>
      <c r="F630" s="34"/>
      <c r="G630" s="33"/>
      <c r="H630" s="14"/>
      <c r="I630" s="14"/>
      <c r="J630" s="21"/>
      <c r="K630" s="22" t="s">
        <v>42</v>
      </c>
      <c r="L630" s="23"/>
      <c r="M630" s="24"/>
      <c r="O630" s="25" t="s">
        <v>30</v>
      </c>
      <c r="P630" s="14">
        <v>3.0</v>
      </c>
      <c r="Q630" s="14">
        <v>0.0</v>
      </c>
      <c r="R630" s="27">
        <v>0.0</v>
      </c>
      <c r="S630" s="33">
        <v>0.0</v>
      </c>
      <c r="T630" s="28">
        <v>3.0</v>
      </c>
      <c r="U630" s="33">
        <v>0.0</v>
      </c>
      <c r="V630" s="14">
        <v>0.0</v>
      </c>
      <c r="W630" s="14">
        <v>0.0</v>
      </c>
      <c r="X630" s="35" t="s">
        <v>834</v>
      </c>
      <c r="Y630" s="30" t="s">
        <v>61</v>
      </c>
      <c r="Z630" s="35">
        <v>2.536746620101E12</v>
      </c>
      <c r="AA630" s="32" t="s">
        <v>33</v>
      </c>
      <c r="AB630" s="25">
        <v>35.0</v>
      </c>
    </row>
    <row r="631" ht="19.5" customHeight="1">
      <c r="A631" s="14">
        <v>8.0</v>
      </c>
      <c r="B631" s="15">
        <v>45987.0</v>
      </c>
      <c r="C631" s="16" t="s">
        <v>34</v>
      </c>
      <c r="D631" s="17">
        <v>2.0</v>
      </c>
      <c r="E631" s="18">
        <v>0.3298611111111111</v>
      </c>
      <c r="F631" s="34">
        <v>0.4173611111111111</v>
      </c>
      <c r="G631" s="33">
        <v>66.0</v>
      </c>
      <c r="H631" s="14" t="s">
        <v>35</v>
      </c>
      <c r="I631" s="14" t="s">
        <v>36</v>
      </c>
      <c r="J631" s="21" t="s">
        <v>37</v>
      </c>
      <c r="K631" s="22" t="s">
        <v>42</v>
      </c>
      <c r="L631" s="23" t="s">
        <v>38</v>
      </c>
      <c r="M631" s="24" t="s">
        <v>39</v>
      </c>
      <c r="N631" s="25" t="s">
        <v>835</v>
      </c>
      <c r="O631" s="25" t="s">
        <v>30</v>
      </c>
      <c r="P631" s="14">
        <v>3.0</v>
      </c>
      <c r="Q631" s="14">
        <v>0.0</v>
      </c>
      <c r="R631" s="27">
        <v>0.0</v>
      </c>
      <c r="S631" s="33">
        <v>0.0</v>
      </c>
      <c r="T631" s="28">
        <v>3.0</v>
      </c>
      <c r="U631" s="33">
        <v>0.0</v>
      </c>
      <c r="V631" s="14">
        <v>0.0</v>
      </c>
      <c r="W631" s="14">
        <v>0.0</v>
      </c>
      <c r="X631" s="35" t="s">
        <v>836</v>
      </c>
      <c r="Y631" s="30" t="s">
        <v>85</v>
      </c>
      <c r="Z631" s="35">
        <v>2.686232600501E12</v>
      </c>
      <c r="AA631" s="32" t="s">
        <v>33</v>
      </c>
      <c r="AB631" s="25">
        <v>32.0</v>
      </c>
    </row>
    <row r="632" ht="19.5" customHeight="1">
      <c r="A632" s="14">
        <v>9.0</v>
      </c>
      <c r="B632" s="15">
        <v>45987.0</v>
      </c>
      <c r="C632" s="16" t="s">
        <v>46</v>
      </c>
      <c r="D632" s="17">
        <v>1.0</v>
      </c>
      <c r="E632" s="18">
        <v>0.33541666666666664</v>
      </c>
      <c r="F632" s="34">
        <v>0.5326388888888889</v>
      </c>
      <c r="G632" s="33">
        <v>22.0</v>
      </c>
      <c r="H632" s="14" t="s">
        <v>173</v>
      </c>
      <c r="I632" s="14" t="s">
        <v>691</v>
      </c>
      <c r="J632" s="21" t="s">
        <v>53</v>
      </c>
      <c r="K632" s="22" t="s">
        <v>75</v>
      </c>
      <c r="L632" s="23" t="s">
        <v>54</v>
      </c>
      <c r="M632" s="24" t="s">
        <v>76</v>
      </c>
      <c r="N632" s="25" t="s">
        <v>56</v>
      </c>
      <c r="O632" s="25" t="s">
        <v>30</v>
      </c>
      <c r="P632" s="14">
        <v>150.0</v>
      </c>
      <c r="Q632" s="14">
        <v>0.0</v>
      </c>
      <c r="R632" s="27">
        <v>0.0</v>
      </c>
      <c r="S632" s="33">
        <v>0.0</v>
      </c>
      <c r="T632" s="28">
        <v>150.0</v>
      </c>
      <c r="U632" s="33">
        <v>0.0</v>
      </c>
      <c r="V632" s="14">
        <v>0.0</v>
      </c>
      <c r="W632" s="14">
        <v>0.0</v>
      </c>
      <c r="X632" s="56" t="s">
        <v>44</v>
      </c>
      <c r="Y632" s="30" t="s">
        <v>44</v>
      </c>
      <c r="Z632" s="29" t="s">
        <v>44</v>
      </c>
      <c r="AA632" s="32" t="s">
        <v>45</v>
      </c>
      <c r="AB632" s="25" t="s">
        <v>44</v>
      </c>
    </row>
    <row r="633" ht="19.5" customHeight="1">
      <c r="A633" s="14">
        <v>10.0</v>
      </c>
      <c r="B633" s="15">
        <v>45987.0</v>
      </c>
      <c r="C633" s="16" t="s">
        <v>46</v>
      </c>
      <c r="D633" s="17">
        <v>1.0</v>
      </c>
      <c r="E633" s="18">
        <v>0.33819444444444446</v>
      </c>
      <c r="F633" s="34">
        <v>0.3458333333333333</v>
      </c>
      <c r="G633" s="33">
        <v>22.0</v>
      </c>
      <c r="H633" s="14" t="s">
        <v>51</v>
      </c>
      <c r="I633" s="14" t="s">
        <v>52</v>
      </c>
      <c r="J633" s="21" t="s">
        <v>53</v>
      </c>
      <c r="K633" s="22" t="s">
        <v>42</v>
      </c>
      <c r="L633" s="23" t="s">
        <v>54</v>
      </c>
      <c r="M633" s="24" t="s">
        <v>64</v>
      </c>
      <c r="N633" s="25" t="s">
        <v>103</v>
      </c>
      <c r="O633" s="25" t="s">
        <v>30</v>
      </c>
      <c r="P633" s="14">
        <v>1.0</v>
      </c>
      <c r="Q633" s="14">
        <v>0.0</v>
      </c>
      <c r="R633" s="27">
        <v>0.0</v>
      </c>
      <c r="S633" s="33">
        <v>0.0</v>
      </c>
      <c r="T633" s="28">
        <v>1.0</v>
      </c>
      <c r="U633" s="33">
        <v>0.0</v>
      </c>
      <c r="V633" s="14">
        <v>0.0</v>
      </c>
      <c r="W633" s="14">
        <v>0.0</v>
      </c>
      <c r="X633" s="35" t="s">
        <v>837</v>
      </c>
      <c r="Y633" s="30" t="s">
        <v>85</v>
      </c>
      <c r="Z633" s="35">
        <v>2.5036325360805E13</v>
      </c>
      <c r="AA633" s="32" t="s">
        <v>33</v>
      </c>
      <c r="AB633" s="25">
        <v>50.0</v>
      </c>
    </row>
    <row r="634" ht="19.5" customHeight="1">
      <c r="A634" s="14">
        <v>11.0</v>
      </c>
      <c r="B634" s="15">
        <v>45987.0</v>
      </c>
      <c r="C634" s="16" t="s">
        <v>46</v>
      </c>
      <c r="D634" s="17">
        <v>1.0</v>
      </c>
      <c r="E634" s="18">
        <v>0.375</v>
      </c>
      <c r="F634" s="34">
        <v>0.3888888888888889</v>
      </c>
      <c r="G634" s="33" t="s">
        <v>838</v>
      </c>
      <c r="H634" s="14" t="s">
        <v>94</v>
      </c>
      <c r="I634" s="14" t="s">
        <v>52</v>
      </c>
      <c r="J634" s="21" t="s">
        <v>53</v>
      </c>
      <c r="K634" s="22" t="s">
        <v>100</v>
      </c>
      <c r="L634" s="23" t="s">
        <v>54</v>
      </c>
      <c r="M634" s="24" t="s">
        <v>64</v>
      </c>
      <c r="N634" s="25" t="s">
        <v>186</v>
      </c>
      <c r="O634" s="25" t="s">
        <v>30</v>
      </c>
      <c r="P634" s="14">
        <v>1.0</v>
      </c>
      <c r="Q634" s="14">
        <v>0.0</v>
      </c>
      <c r="R634" s="27">
        <v>0.0</v>
      </c>
      <c r="S634" s="33">
        <v>0.0</v>
      </c>
      <c r="T634" s="28">
        <v>1.0</v>
      </c>
      <c r="U634" s="33">
        <v>0.0</v>
      </c>
      <c r="V634" s="14">
        <v>0.0</v>
      </c>
      <c r="W634" s="14">
        <v>0.0</v>
      </c>
      <c r="X634" s="56" t="s">
        <v>839</v>
      </c>
      <c r="Y634" s="30" t="s">
        <v>115</v>
      </c>
      <c r="Z634" s="29"/>
      <c r="AA634" s="32" t="s">
        <v>127</v>
      </c>
      <c r="AB634" s="25" t="s">
        <v>45</v>
      </c>
    </row>
    <row r="635" ht="19.5" customHeight="1">
      <c r="A635" s="14">
        <v>12.0</v>
      </c>
      <c r="B635" s="15">
        <v>45987.0</v>
      </c>
      <c r="C635" s="16" t="s">
        <v>78</v>
      </c>
      <c r="D635" s="17">
        <v>1.0</v>
      </c>
      <c r="E635" s="18">
        <v>0.46319444444444446</v>
      </c>
      <c r="F635" s="34">
        <v>0.4736111111111111</v>
      </c>
      <c r="G635" s="33">
        <v>393.0</v>
      </c>
      <c r="H635" s="14" t="s">
        <v>79</v>
      </c>
      <c r="I635" s="14" t="s">
        <v>80</v>
      </c>
      <c r="J635" s="21" t="s">
        <v>49</v>
      </c>
      <c r="K635" s="22" t="s">
        <v>109</v>
      </c>
      <c r="L635" s="23" t="s">
        <v>54</v>
      </c>
      <c r="M635" s="24" t="s">
        <v>64</v>
      </c>
      <c r="N635" s="25" t="s">
        <v>103</v>
      </c>
      <c r="O635" s="25" t="s">
        <v>30</v>
      </c>
      <c r="P635" s="14">
        <v>7.0</v>
      </c>
      <c r="Q635" s="14">
        <v>0.0</v>
      </c>
      <c r="R635" s="27">
        <v>0.0</v>
      </c>
      <c r="S635" s="33">
        <v>0.0</v>
      </c>
      <c r="T635" s="28">
        <v>7.0</v>
      </c>
      <c r="U635" s="33">
        <v>0.0</v>
      </c>
      <c r="V635" s="14">
        <v>0.0</v>
      </c>
      <c r="W635" s="14">
        <v>0.0</v>
      </c>
      <c r="X635" s="35" t="s">
        <v>840</v>
      </c>
      <c r="Y635" s="30" t="s">
        <v>32</v>
      </c>
      <c r="Z635" s="35">
        <v>2.6300543718005E13</v>
      </c>
      <c r="AA635" s="32" t="s">
        <v>33</v>
      </c>
      <c r="AB635" s="25">
        <v>52.0</v>
      </c>
    </row>
    <row r="636" ht="19.5" customHeight="1">
      <c r="A636" s="14">
        <v>13.0</v>
      </c>
      <c r="B636" s="15">
        <v>45987.0</v>
      </c>
      <c r="C636" s="16" t="s">
        <v>46</v>
      </c>
      <c r="D636" s="17">
        <v>1.0</v>
      </c>
      <c r="E636" s="18">
        <v>0.46875</v>
      </c>
      <c r="F636" s="34">
        <v>0.4791666666666667</v>
      </c>
      <c r="G636" s="33">
        <v>59.0</v>
      </c>
      <c r="H636" s="14" t="s">
        <v>94</v>
      </c>
      <c r="I636" s="14" t="s">
        <v>52</v>
      </c>
      <c r="J636" s="21" t="s">
        <v>37</v>
      </c>
      <c r="K636" s="22" t="s">
        <v>100</v>
      </c>
      <c r="L636" s="23" t="s">
        <v>54</v>
      </c>
      <c r="M636" s="24" t="s">
        <v>64</v>
      </c>
      <c r="N636" s="25" t="s">
        <v>103</v>
      </c>
      <c r="O636" s="25" t="s">
        <v>30</v>
      </c>
      <c r="P636" s="14">
        <v>4.0</v>
      </c>
      <c r="Q636" s="14">
        <v>0.0</v>
      </c>
      <c r="R636" s="27">
        <v>0.0</v>
      </c>
      <c r="S636" s="33">
        <v>0.0</v>
      </c>
      <c r="T636" s="28">
        <v>4.0</v>
      </c>
      <c r="U636" s="33">
        <v>0.0</v>
      </c>
      <c r="V636" s="14">
        <v>0.0</v>
      </c>
      <c r="W636" s="14">
        <v>0.0</v>
      </c>
      <c r="X636" s="35" t="s">
        <v>841</v>
      </c>
      <c r="Y636" s="30" t="s">
        <v>115</v>
      </c>
      <c r="Z636" s="35">
        <v>3.125118170415E12</v>
      </c>
      <c r="AA636" s="32" t="s">
        <v>33</v>
      </c>
      <c r="AB636" s="25">
        <v>24.0</v>
      </c>
    </row>
    <row r="637" ht="19.5" customHeight="1">
      <c r="A637" s="14">
        <v>14.0</v>
      </c>
      <c r="B637" s="15">
        <v>45987.0</v>
      </c>
      <c r="C637" s="16" t="s">
        <v>46</v>
      </c>
      <c r="D637" s="17">
        <v>1.0</v>
      </c>
      <c r="E637" s="18">
        <v>0.4673611111111111</v>
      </c>
      <c r="F637" s="34"/>
      <c r="G637" s="33">
        <v>35.0</v>
      </c>
      <c r="H637" s="14" t="s">
        <v>62</v>
      </c>
      <c r="I637" s="14" t="s">
        <v>48</v>
      </c>
      <c r="J637" s="21" t="s">
        <v>87</v>
      </c>
      <c r="K637" s="22" t="s">
        <v>29</v>
      </c>
      <c r="L637" s="23" t="s">
        <v>38</v>
      </c>
      <c r="M637" s="24" t="s">
        <v>196</v>
      </c>
      <c r="N637" s="25" t="s">
        <v>135</v>
      </c>
      <c r="O637" s="25" t="s">
        <v>30</v>
      </c>
      <c r="P637" s="14">
        <v>1.0</v>
      </c>
      <c r="Q637" s="14">
        <v>0.0</v>
      </c>
      <c r="R637" s="27">
        <v>0.0</v>
      </c>
      <c r="S637" s="33">
        <v>0.0</v>
      </c>
      <c r="T637" s="28">
        <v>1.0</v>
      </c>
      <c r="U637" s="33">
        <v>0.0</v>
      </c>
      <c r="V637" s="14">
        <v>0.0</v>
      </c>
      <c r="W637" s="14">
        <v>0.0</v>
      </c>
      <c r="X637" s="56" t="s">
        <v>842</v>
      </c>
      <c r="Y637" s="30" t="s">
        <v>115</v>
      </c>
      <c r="Z637" s="29">
        <v>2.994970110101E12</v>
      </c>
      <c r="AA637" s="32" t="s">
        <v>33</v>
      </c>
      <c r="AB637" s="25" t="s">
        <v>45</v>
      </c>
    </row>
    <row r="638" ht="19.5" customHeight="1">
      <c r="A638" s="14"/>
      <c r="B638" s="15">
        <v>45987.0</v>
      </c>
      <c r="C638" s="16"/>
      <c r="D638" s="17"/>
      <c r="E638" s="18"/>
      <c r="F638" s="34"/>
      <c r="G638" s="33"/>
      <c r="H638" s="14"/>
      <c r="I638" s="14"/>
      <c r="J638" s="21"/>
      <c r="K638" s="22" t="s">
        <v>29</v>
      </c>
      <c r="L638" s="23"/>
      <c r="M638" s="24"/>
      <c r="N638" s="25"/>
      <c r="O638" s="25" t="s">
        <v>30</v>
      </c>
      <c r="P638" s="14">
        <v>2.0</v>
      </c>
      <c r="Q638" s="14">
        <v>0.0</v>
      </c>
      <c r="R638" s="27">
        <v>0.0</v>
      </c>
      <c r="S638" s="33">
        <v>0.0</v>
      </c>
      <c r="T638" s="28">
        <v>2.0</v>
      </c>
      <c r="U638" s="33">
        <v>0.0</v>
      </c>
      <c r="V638" s="14">
        <v>0.0</v>
      </c>
      <c r="W638" s="14">
        <v>0.0</v>
      </c>
      <c r="X638" s="35" t="s">
        <v>843</v>
      </c>
      <c r="Y638" s="30" t="s">
        <v>32</v>
      </c>
      <c r="Z638" s="35">
        <v>1.960759201013E12</v>
      </c>
      <c r="AA638" s="32" t="s">
        <v>33</v>
      </c>
      <c r="AB638" s="25">
        <v>35.0</v>
      </c>
    </row>
    <row r="639" ht="19.5" customHeight="1">
      <c r="A639" s="14">
        <v>15.0</v>
      </c>
      <c r="B639" s="15">
        <v>45987.0</v>
      </c>
      <c r="C639" s="16" t="s">
        <v>407</v>
      </c>
      <c r="D639" s="17">
        <v>2.0</v>
      </c>
      <c r="E639" s="18">
        <v>0.48541666666666666</v>
      </c>
      <c r="F639" s="34"/>
      <c r="G639" s="33" t="s">
        <v>844</v>
      </c>
      <c r="H639" s="14">
        <v>1132.0</v>
      </c>
      <c r="I639" s="14" t="s">
        <v>80</v>
      </c>
      <c r="J639" s="21" t="s">
        <v>87</v>
      </c>
      <c r="K639" s="22" t="s">
        <v>845</v>
      </c>
      <c r="L639" s="23" t="s">
        <v>38</v>
      </c>
      <c r="M639" s="24" t="s">
        <v>39</v>
      </c>
      <c r="N639" s="25" t="s">
        <v>493</v>
      </c>
      <c r="O639" s="25" t="s">
        <v>846</v>
      </c>
      <c r="P639" s="14">
        <v>2.0</v>
      </c>
      <c r="Q639" s="14">
        <v>0.0</v>
      </c>
      <c r="R639" s="27">
        <v>0.0</v>
      </c>
      <c r="S639" s="33">
        <v>0.0</v>
      </c>
      <c r="T639" s="28">
        <v>2.0</v>
      </c>
      <c r="U639" s="33">
        <v>0.0</v>
      </c>
      <c r="V639" s="14">
        <v>0.0</v>
      </c>
      <c r="W639" s="14">
        <v>0.0</v>
      </c>
      <c r="X639" s="35" t="s">
        <v>847</v>
      </c>
      <c r="Y639" s="30" t="s">
        <v>32</v>
      </c>
      <c r="Z639" s="35">
        <v>2.405362580106E12</v>
      </c>
      <c r="AA639" s="32" t="s">
        <v>33</v>
      </c>
      <c r="AB639" s="25">
        <v>31.0</v>
      </c>
    </row>
    <row r="640" ht="19.5" customHeight="1">
      <c r="A640" s="14">
        <v>16.0</v>
      </c>
      <c r="B640" s="15">
        <v>45987.0</v>
      </c>
      <c r="C640" s="16" t="s">
        <v>34</v>
      </c>
      <c r="D640" s="17" t="s">
        <v>50</v>
      </c>
      <c r="E640" s="18">
        <v>0.5013888888888889</v>
      </c>
      <c r="F640" s="34"/>
      <c r="G640" s="33" t="s">
        <v>488</v>
      </c>
      <c r="H640" s="14">
        <v>1137.0</v>
      </c>
      <c r="I640" s="14" t="s">
        <v>36</v>
      </c>
      <c r="J640" s="21" t="s">
        <v>53</v>
      </c>
      <c r="K640" s="22" t="s">
        <v>75</v>
      </c>
      <c r="L640" s="23" t="s">
        <v>54</v>
      </c>
      <c r="M640" s="24" t="s">
        <v>76</v>
      </c>
      <c r="N640" s="25" t="s">
        <v>848</v>
      </c>
      <c r="O640" s="25" t="s">
        <v>489</v>
      </c>
      <c r="P640" s="14">
        <v>0.0</v>
      </c>
      <c r="Q640" s="14">
        <v>0.0</v>
      </c>
      <c r="R640" s="27">
        <v>0.0</v>
      </c>
      <c r="S640" s="33">
        <v>0.0</v>
      </c>
      <c r="T640" s="28">
        <v>0.0</v>
      </c>
      <c r="U640" s="33">
        <v>0.0</v>
      </c>
      <c r="V640" s="14">
        <v>0.0</v>
      </c>
      <c r="W640" s="14">
        <v>0.0</v>
      </c>
      <c r="X640" s="56" t="s">
        <v>45</v>
      </c>
      <c r="Y640" s="30" t="s">
        <v>44</v>
      </c>
      <c r="Z640" s="29" t="s">
        <v>45</v>
      </c>
      <c r="AA640" s="32" t="s">
        <v>45</v>
      </c>
      <c r="AB640" s="25" t="s">
        <v>45</v>
      </c>
    </row>
    <row r="641" ht="19.5" customHeight="1">
      <c r="A641" s="14">
        <v>17.0</v>
      </c>
      <c r="B641" s="15">
        <v>45987.0</v>
      </c>
      <c r="C641" s="16" t="s">
        <v>46</v>
      </c>
      <c r="D641" s="17">
        <v>1.0</v>
      </c>
      <c r="E641" s="18">
        <v>0.48125</v>
      </c>
      <c r="F641" s="34">
        <v>0.5034722222222222</v>
      </c>
      <c r="G641" s="33" t="s">
        <v>849</v>
      </c>
      <c r="H641" s="14">
        <v>1134.0</v>
      </c>
      <c r="I641" s="14" t="s">
        <v>224</v>
      </c>
      <c r="J641" s="21" t="s">
        <v>87</v>
      </c>
      <c r="K641" s="22" t="s">
        <v>63</v>
      </c>
      <c r="L641" s="23" t="s">
        <v>54</v>
      </c>
      <c r="M641" s="24" t="s">
        <v>156</v>
      </c>
      <c r="N641" s="25" t="s">
        <v>103</v>
      </c>
      <c r="O641" s="25" t="s">
        <v>30</v>
      </c>
      <c r="P641" s="14">
        <v>1.0</v>
      </c>
      <c r="Q641" s="14">
        <v>0.0</v>
      </c>
      <c r="R641" s="27">
        <v>0.0</v>
      </c>
      <c r="S641" s="33">
        <v>0.0</v>
      </c>
      <c r="T641" s="28">
        <v>1.0</v>
      </c>
      <c r="U641" s="33">
        <v>0.0</v>
      </c>
      <c r="V641" s="14">
        <v>0.0</v>
      </c>
      <c r="W641" s="14">
        <v>0.0</v>
      </c>
      <c r="X641" s="56" t="s">
        <v>850</v>
      </c>
      <c r="Y641" s="30" t="s">
        <v>85</v>
      </c>
      <c r="Z641" s="35">
        <v>1.770286450101E12</v>
      </c>
      <c r="AA641" s="32" t="s">
        <v>33</v>
      </c>
      <c r="AB641" s="25">
        <v>35.0</v>
      </c>
    </row>
    <row r="642" ht="19.5" customHeight="1">
      <c r="A642" s="14"/>
      <c r="B642" s="15"/>
      <c r="C642" s="16"/>
      <c r="D642" s="17"/>
      <c r="E642" s="18"/>
      <c r="F642" s="34"/>
      <c r="G642" s="33"/>
      <c r="H642" s="14"/>
      <c r="I642" s="14"/>
      <c r="J642" s="21"/>
      <c r="K642" s="22"/>
      <c r="L642" s="23"/>
      <c r="M642" s="24"/>
      <c r="N642" s="25"/>
      <c r="P642" s="14"/>
      <c r="Q642" s="14"/>
      <c r="R642" s="27"/>
      <c r="S642" s="33"/>
      <c r="T642" s="28"/>
      <c r="U642" s="33"/>
      <c r="V642" s="14"/>
      <c r="W642" s="14"/>
      <c r="X642" s="56"/>
      <c r="Y642" s="30"/>
      <c r="Z642" s="29"/>
      <c r="AA642" s="32"/>
      <c r="AB642" s="25"/>
    </row>
    <row r="643" ht="19.5" customHeight="1">
      <c r="A643" s="14"/>
      <c r="B643" s="15"/>
      <c r="C643" s="16"/>
      <c r="D643" s="17"/>
      <c r="E643" s="18"/>
      <c r="F643" s="34"/>
      <c r="G643" s="33"/>
      <c r="H643" s="14"/>
      <c r="I643" s="14"/>
      <c r="J643" s="21"/>
      <c r="K643" s="22"/>
      <c r="L643" s="23"/>
      <c r="M643" s="24"/>
      <c r="N643" s="25"/>
      <c r="P643" s="14"/>
      <c r="Q643" s="14"/>
      <c r="R643" s="27"/>
      <c r="S643" s="33"/>
      <c r="T643" s="28"/>
      <c r="U643" s="33"/>
      <c r="V643" s="14"/>
      <c r="W643" s="14"/>
      <c r="X643" s="56"/>
      <c r="Y643" s="30"/>
      <c r="Z643" s="29"/>
      <c r="AA643" s="32"/>
      <c r="AB643" s="25"/>
    </row>
    <row r="644" ht="19.5" customHeight="1">
      <c r="A644" s="14"/>
      <c r="B644" s="15"/>
      <c r="C644" s="16"/>
      <c r="D644" s="17"/>
      <c r="E644" s="18"/>
      <c r="F644" s="34"/>
      <c r="G644" s="33"/>
      <c r="H644" s="14"/>
      <c r="I644" s="14"/>
      <c r="J644" s="21"/>
      <c r="K644" s="22"/>
      <c r="L644" s="23"/>
      <c r="M644" s="24"/>
      <c r="N644" s="25"/>
      <c r="P644" s="14"/>
      <c r="Q644" s="14"/>
      <c r="R644" s="27"/>
      <c r="S644" s="33"/>
      <c r="T644" s="28"/>
      <c r="U644" s="33"/>
      <c r="V644" s="14"/>
      <c r="W644" s="14"/>
      <c r="X644" s="56"/>
      <c r="Y644" s="30"/>
      <c r="Z644" s="29"/>
      <c r="AA644" s="32"/>
      <c r="AB644" s="25"/>
    </row>
    <row r="645" ht="19.5" customHeight="1">
      <c r="A645" s="14"/>
      <c r="B645" s="15"/>
      <c r="C645" s="16"/>
      <c r="D645" s="17"/>
      <c r="E645" s="18"/>
      <c r="F645" s="34"/>
      <c r="G645" s="33"/>
      <c r="H645" s="14"/>
      <c r="I645" s="14"/>
      <c r="J645" s="21"/>
      <c r="K645" s="22"/>
      <c r="L645" s="23"/>
      <c r="M645" s="24"/>
      <c r="N645" s="25"/>
      <c r="P645" s="14"/>
      <c r="Q645" s="14"/>
      <c r="R645" s="27"/>
      <c r="S645" s="33"/>
      <c r="T645" s="28"/>
      <c r="U645" s="33"/>
      <c r="V645" s="14"/>
      <c r="W645" s="14"/>
      <c r="X645" s="56"/>
      <c r="Y645" s="30"/>
      <c r="Z645" s="29"/>
      <c r="AA645" s="32"/>
      <c r="AB645" s="25"/>
    </row>
    <row r="646" ht="19.5" customHeight="1">
      <c r="A646" s="14"/>
      <c r="B646" s="15"/>
      <c r="C646" s="16"/>
      <c r="D646" s="17"/>
      <c r="E646" s="18"/>
      <c r="F646" s="34"/>
      <c r="G646" s="33"/>
      <c r="H646" s="14"/>
      <c r="I646" s="14"/>
      <c r="J646" s="21"/>
      <c r="K646" s="22"/>
      <c r="L646" s="23"/>
      <c r="M646" s="24"/>
      <c r="N646" s="25"/>
      <c r="P646" s="14"/>
      <c r="Q646" s="14"/>
      <c r="R646" s="27"/>
      <c r="S646" s="33"/>
      <c r="T646" s="28"/>
      <c r="U646" s="33"/>
      <c r="V646" s="14"/>
      <c r="W646" s="14"/>
      <c r="X646" s="56"/>
      <c r="Y646" s="30"/>
      <c r="Z646" s="29"/>
      <c r="AA646" s="32"/>
      <c r="AB646" s="25"/>
    </row>
    <row r="647" ht="19.5" customHeight="1">
      <c r="A647" s="14"/>
      <c r="B647" s="15"/>
      <c r="C647" s="16"/>
      <c r="D647" s="17"/>
      <c r="E647" s="18"/>
      <c r="F647" s="34"/>
      <c r="G647" s="33"/>
      <c r="H647" s="14"/>
      <c r="I647" s="14"/>
      <c r="J647" s="21"/>
      <c r="K647" s="22"/>
      <c r="L647" s="23"/>
      <c r="M647" s="24"/>
      <c r="N647" s="25"/>
      <c r="P647" s="14"/>
      <c r="Q647" s="14"/>
      <c r="R647" s="27"/>
      <c r="S647" s="33"/>
      <c r="T647" s="28"/>
      <c r="U647" s="33"/>
      <c r="V647" s="14"/>
      <c r="W647" s="14"/>
      <c r="X647" s="56"/>
      <c r="Y647" s="30"/>
      <c r="Z647" s="29"/>
      <c r="AA647" s="32"/>
      <c r="AB647" s="25"/>
    </row>
  </sheetData>
  <customSheetViews>
    <customSheetView guid="{3CF1983F-2B70-452A-B90A-C93BDEA62297}" filter="1" showAutoFilter="1">
      <autoFilter ref="$A$2:$AB$2"/>
    </customSheetView>
    <customSheetView guid="{D07B3525-32E3-4969-AB4B-BD308DBD9AA4}" filter="1" showAutoFilter="1">
      <autoFilter ref="$A$2:$AB$2">
        <filterColumn colId="11">
          <filters/>
        </filterColumn>
      </autoFilter>
    </customSheetView>
    <customSheetView guid="{37279F93-D7A7-486E-BF8E-1282E3EEFA22}" filter="1" showAutoFilter="1">
      <autoFilter ref="$A$2:$AB$2">
        <filterColumn colId="11">
          <filters/>
        </filterColumn>
      </autoFilter>
    </customSheetView>
    <customSheetView guid="{9DD314B2-07E2-41D3-A645-D5B10096FCA6}" filter="1" showAutoFilter="1">
      <autoFilter ref="$A$2:$AB$2"/>
    </customSheetView>
    <customSheetView guid="{91CD068A-4F63-4B62-85C4-88AC20B42A23}" filter="1" showAutoFilter="1">
      <autoFilter ref="$A$2:$AB$2"/>
    </customSheetView>
    <customSheetView guid="{6BDD6B1A-DC38-4251-9E0C-02577F167F18}" filter="1" showAutoFilter="1">
      <autoFilter ref="$A$2:$AB$2">
        <filterColumn colId="11">
          <filters/>
        </filterColumn>
      </autoFilter>
    </customSheetView>
    <customSheetView guid="{5726D316-D8E0-47F4-93E3-706899A62D06}" filter="1" showAutoFilter="1">
      <autoFilter ref="$A$2:$AB$2"/>
    </customSheetView>
  </customSheetViews>
  <mergeCells count="15">
    <mergeCell ref="U1:U2"/>
    <mergeCell ref="V1:V2"/>
    <mergeCell ref="W1:W2"/>
    <mergeCell ref="X1:X2"/>
    <mergeCell ref="Y1:Y2"/>
    <mergeCell ref="Z1:Z2"/>
    <mergeCell ref="AA1:AA2"/>
    <mergeCell ref="AB1:AB2"/>
    <mergeCell ref="A1:N1"/>
    <mergeCell ref="O1:O2"/>
    <mergeCell ref="P1:P2"/>
    <mergeCell ref="Q1:Q2"/>
    <mergeCell ref="R1:R2"/>
    <mergeCell ref="S1:S2"/>
    <mergeCell ref="T1:T2"/>
  </mergeCells>
  <conditionalFormatting sqref="E3:F647">
    <cfRule type="containsBlanks" dxfId="0" priority="1">
      <formula>LEN(TRIM(E3))=0</formula>
    </cfRule>
  </conditionalFormatting>
  <conditionalFormatting sqref="E3:F647">
    <cfRule type="notContainsBlanks" dxfId="1" priority="2">
      <formula>LEN(TRIM(E3))&gt;0</formula>
    </cfRule>
  </conditionalFormatting>
  <conditionalFormatting sqref="E3:F647">
    <cfRule type="notContainsBlanks" dxfId="2" priority="3">
      <formula>LEN(TRIM(E3))&gt;0</formula>
    </cfRule>
  </conditionalFormatting>
  <conditionalFormatting sqref="R3:R647">
    <cfRule type="cellIs" dxfId="3" priority="4" operator="greaterThanOrEqual">
      <formula>1</formula>
    </cfRule>
  </conditionalFormatting>
  <conditionalFormatting sqref="E3:E647 F103 F139 F601:F604">
    <cfRule type="notContainsBlanks" dxfId="2" priority="5">
      <formula>LEN(TRIM(E3))&gt;0</formula>
    </cfRule>
  </conditionalFormatting>
  <conditionalFormatting sqref="B3:B647 N3:N647">
    <cfRule type="timePeriod" dxfId="4" priority="6" timePeriod="today"/>
  </conditionalFormatting>
  <conditionalFormatting sqref="B3:B647 N3:N647">
    <cfRule type="timePeriod" dxfId="5" priority="7" timePeriod="yesterday"/>
  </conditionalFormatting>
  <conditionalFormatting sqref="B3:B647 N3:N647">
    <cfRule type="expression" dxfId="5" priority="8">
      <formula>AND(ISNUMBER(B3),TRUNC(B3)&lt;TODAY())</formula>
    </cfRule>
  </conditionalFormatting>
  <conditionalFormatting sqref="D3:D647">
    <cfRule type="cellIs" dxfId="6" priority="9" operator="greaterThanOrEqual">
      <formula>2</formula>
    </cfRule>
  </conditionalFormatting>
  <dataValidations>
    <dataValidation type="list" allowBlank="1" showErrorMessage="1" sqref="M446:M447 M449 M597:M604">
      <formula1>'NIVEL PROCEDIMIENTO'!C445:AB445</formula1>
    </dataValidation>
    <dataValidation type="list" allowBlank="1" showErrorMessage="1" sqref="H3:H647">
      <formula1>CATALOGO!$H$2:$H$89</formula1>
    </dataValidation>
    <dataValidation type="list" allowBlank="1" showErrorMessage="1" sqref="AA3:AA139 AA142:AA197 AA206:AA228 AA230:AA231 AA233:AA241 AA243 AA246:AA250 AA253 AA255 AA258:AA435 AA437:AA447 AA450:AA467 AA469:AA479 AA481:AA482 AA485:AA488 AA490 AA492:AA553 AA557:AA571 AA573:AA605 AA607:AA618 AA620:AA647">
      <formula1>CATALOGO!$D$2:$D$5</formula1>
    </dataValidation>
    <dataValidation type="list" allowBlank="1" showErrorMessage="1" sqref="M467 M469">
      <formula1>'NIVEL PROCEDIMIENTO'!C468:AB468</formula1>
    </dataValidation>
    <dataValidation type="list" allowBlank="1" showErrorMessage="1" sqref="I3:I448 I450:I647">
      <formula1>CATALOGO!$B$2:$B$67</formula1>
    </dataValidation>
    <dataValidation type="list" allowBlank="1" showErrorMessage="1" sqref="J3:J647">
      <formula1>CATALOGO!$E$2:$E$13</formula1>
    </dataValidation>
    <dataValidation type="list" allowBlank="1" showErrorMessage="1" sqref="K3:K647">
      <formula1>CATALOGO!$F$2:$F$42</formula1>
    </dataValidation>
    <dataValidation type="list" allowBlank="1" showErrorMessage="1" sqref="L3:L647">
      <formula1>'intervalo despegable'!$C$6:$C647</formula1>
    </dataValidation>
    <dataValidation type="list" allowBlank="1" showErrorMessage="1" sqref="D3:D647">
      <formula1>"1,2,3,4,5,6,7,8,9,10,11,12,13,14,15,16,17,18,19,20,30,40,50,55,70,80,90,100,VEH/V"</formula1>
    </dataValidation>
    <dataValidation type="list" allowBlank="1" showErrorMessage="1" sqref="M3:M445 M448 M450:M466 M468 M470:M596 M605:M647">
      <formula1>'NIVEL PROCEDIMIENTO'!C3:AB3</formula1>
    </dataValidation>
    <dataValidation type="list" allowBlank="1" showErrorMessage="1" sqref="Y3:Y139 Y142:Y197 Y206:Y228 Y230:Y231 Y233:Y240 Y243 Y246:Y250 Y253:Y435 Y437:Y447 Y450:Y479 Y481:Y482 Y485:Y488 Y490 Y492:Y553 Y555 Y557:Y571 Y573:Y605 Y607:Y618 Y620:Y647">
      <formula1>CATALOGO!$J$2:$J$9</formula1>
    </dataValidation>
    <dataValidation type="list" allowBlank="1" showErrorMessage="1" sqref="C3:C647">
      <formula1>CATALOGO!$A$2:$A647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88"/>
    <col customWidth="1" min="2" max="2" width="10.38"/>
    <col customWidth="1" min="3" max="3" width="27.88"/>
    <col customWidth="1" min="4" max="4" width="47.63"/>
    <col customWidth="1" min="5" max="5" width="22.63"/>
    <col customWidth="1" hidden="1" min="6" max="8" width="21.0"/>
  </cols>
  <sheetData>
    <row r="1" ht="25.5" customHeight="1">
      <c r="A1" s="66" t="s">
        <v>851</v>
      </c>
      <c r="F1" s="66"/>
      <c r="G1" s="66"/>
      <c r="H1" s="66"/>
    </row>
    <row r="2" ht="46.5" customHeight="1">
      <c r="F2" s="66"/>
      <c r="G2" s="66"/>
      <c r="H2" s="66"/>
    </row>
    <row r="3" ht="28.5" customHeight="1">
      <c r="A3" s="67">
        <f>NOW()</f>
        <v>45987.5526</v>
      </c>
      <c r="B3" s="68"/>
      <c r="C3" s="69" t="s">
        <v>16</v>
      </c>
      <c r="D3" s="70">
        <f>TODAY()</f>
        <v>45987</v>
      </c>
      <c r="E3" s="71" t="s">
        <v>852</v>
      </c>
      <c r="F3" s="71"/>
      <c r="G3" s="71"/>
      <c r="H3" s="71"/>
    </row>
    <row r="4">
      <c r="A4" s="69" t="s">
        <v>22</v>
      </c>
      <c r="B4" s="69" t="s">
        <v>21</v>
      </c>
      <c r="C4" s="69" t="s">
        <v>853</v>
      </c>
      <c r="D4" s="69" t="s">
        <v>854</v>
      </c>
      <c r="F4" s="71"/>
      <c r="G4" s="71"/>
      <c r="H4" s="71"/>
    </row>
    <row r="5">
      <c r="A5" s="72" t="s">
        <v>855</v>
      </c>
      <c r="F5" s="72"/>
      <c r="G5" s="72"/>
      <c r="H5" s="72"/>
    </row>
    <row r="6" hidden="1">
      <c r="A6" s="73">
        <v>1121.0</v>
      </c>
      <c r="B6" s="74">
        <v>0.0</v>
      </c>
      <c r="C6" s="73" t="s">
        <v>144</v>
      </c>
      <c r="D6" s="75" t="s">
        <v>856</v>
      </c>
      <c r="E6" s="76">
        <f t="shared" ref="E6:E7" si="1">IFS(B6="","",E6&lt;&gt;"",E6,TRUE,NOW())</f>
        <v>45987.30859</v>
      </c>
      <c r="F6" s="76"/>
      <c r="G6" s="76"/>
      <c r="H6" s="76"/>
    </row>
    <row r="7">
      <c r="A7" s="73">
        <v>1104.0</v>
      </c>
      <c r="B7" s="74">
        <v>0.0</v>
      </c>
      <c r="C7" s="73" t="s">
        <v>144</v>
      </c>
      <c r="D7" s="75" t="s">
        <v>856</v>
      </c>
      <c r="E7" s="76">
        <f t="shared" si="1"/>
        <v>45987.53751</v>
      </c>
      <c r="F7" s="76"/>
      <c r="G7" s="76"/>
      <c r="H7" s="76"/>
    </row>
    <row r="8">
      <c r="A8" s="72" t="s">
        <v>857</v>
      </c>
      <c r="F8" s="72"/>
      <c r="G8" s="72"/>
      <c r="H8" s="72"/>
    </row>
    <row r="9" hidden="1">
      <c r="A9" s="73" t="s">
        <v>173</v>
      </c>
      <c r="B9" s="74">
        <v>15.0</v>
      </c>
      <c r="C9" s="73" t="s">
        <v>37</v>
      </c>
      <c r="D9" s="75" t="s">
        <v>858</v>
      </c>
      <c r="E9" s="76">
        <f t="shared" ref="E9:E11" si="2">IFS(B9="","",E9&lt;&gt;"",E9,TRUE,NOW())</f>
        <v>45987.25377</v>
      </c>
      <c r="F9" s="76"/>
      <c r="G9" s="76"/>
      <c r="H9" s="76"/>
    </row>
    <row r="10">
      <c r="A10" s="73">
        <v>1134.0</v>
      </c>
      <c r="B10" s="74">
        <v>28.0</v>
      </c>
      <c r="C10" s="73" t="s">
        <v>37</v>
      </c>
      <c r="D10" s="75" t="s">
        <v>859</v>
      </c>
      <c r="E10" s="76">
        <f t="shared" si="2"/>
        <v>45987.53769</v>
      </c>
      <c r="F10" s="76"/>
      <c r="G10" s="76"/>
      <c r="H10" s="76"/>
    </row>
    <row r="11">
      <c r="A11" s="73" t="s">
        <v>94</v>
      </c>
      <c r="B11" s="74">
        <v>59.0</v>
      </c>
      <c r="C11" s="73" t="s">
        <v>37</v>
      </c>
      <c r="D11" s="75" t="s">
        <v>858</v>
      </c>
      <c r="E11" s="76">
        <f t="shared" si="2"/>
        <v>45987.53787</v>
      </c>
      <c r="F11" s="76"/>
      <c r="G11" s="76"/>
      <c r="H11" s="76"/>
    </row>
    <row r="12">
      <c r="A12" s="72" t="s">
        <v>691</v>
      </c>
      <c r="F12" s="72"/>
      <c r="G12" s="72"/>
      <c r="H12" s="72"/>
    </row>
    <row r="13">
      <c r="A13" s="73" t="s">
        <v>173</v>
      </c>
      <c r="B13" s="74">
        <v>22.0</v>
      </c>
      <c r="C13" s="73" t="s">
        <v>37</v>
      </c>
      <c r="D13" s="75" t="s">
        <v>858</v>
      </c>
      <c r="E13" s="76">
        <f>IFS(B13="","",E13&lt;&gt;"",E13,TRUE,NOW())</f>
        <v>45987.53822</v>
      </c>
      <c r="F13" s="76"/>
      <c r="G13" s="76"/>
      <c r="H13" s="76"/>
    </row>
    <row r="14">
      <c r="A14" s="72" t="s">
        <v>59</v>
      </c>
      <c r="F14" s="72"/>
      <c r="G14" s="72"/>
      <c r="H14" s="72"/>
    </row>
    <row r="15">
      <c r="A15" s="73" t="s">
        <v>97</v>
      </c>
      <c r="B15" s="74">
        <v>36.0</v>
      </c>
      <c r="C15" s="73" t="s">
        <v>53</v>
      </c>
      <c r="D15" s="75" t="s">
        <v>859</v>
      </c>
      <c r="E15" s="76">
        <f t="shared" ref="E15:E16" si="3">IFS(B15="","",E15&lt;&gt;"",E15,TRUE,NOW())</f>
        <v>45987.53858</v>
      </c>
      <c r="F15" s="76"/>
      <c r="G15" s="76"/>
      <c r="H15" s="76"/>
    </row>
    <row r="16">
      <c r="A16" s="73" t="s">
        <v>96</v>
      </c>
      <c r="B16" s="74">
        <v>60.0</v>
      </c>
      <c r="C16" s="73" t="s">
        <v>53</v>
      </c>
      <c r="D16" s="75" t="s">
        <v>858</v>
      </c>
      <c r="E16" s="76">
        <f t="shared" si="3"/>
        <v>45987.53876</v>
      </c>
      <c r="F16" s="76"/>
      <c r="G16" s="76"/>
      <c r="H16" s="76"/>
    </row>
    <row r="17">
      <c r="A17" s="72" t="s">
        <v>48</v>
      </c>
      <c r="F17" s="72"/>
      <c r="G17" s="72"/>
      <c r="H17" s="72"/>
    </row>
    <row r="18">
      <c r="A18" s="73" t="s">
        <v>62</v>
      </c>
      <c r="B18" s="74">
        <v>35.0</v>
      </c>
      <c r="C18" s="73" t="s">
        <v>87</v>
      </c>
      <c r="D18" s="75" t="s">
        <v>860</v>
      </c>
      <c r="E18" s="76">
        <f t="shared" ref="E18:E22" si="4">IFS(B18="","",E18&lt;&gt;"",E18,TRUE,NOW())</f>
        <v>45987.53891</v>
      </c>
      <c r="F18" s="76"/>
      <c r="G18" s="76"/>
      <c r="H18" s="76"/>
    </row>
    <row r="19">
      <c r="A19" s="73" t="s">
        <v>252</v>
      </c>
      <c r="B19" s="74">
        <v>84.0</v>
      </c>
      <c r="C19" s="73" t="s">
        <v>49</v>
      </c>
      <c r="D19" s="75" t="s">
        <v>859</v>
      </c>
      <c r="E19" s="76">
        <f t="shared" si="4"/>
        <v>45987.53915</v>
      </c>
      <c r="F19" s="76"/>
      <c r="G19" s="76"/>
      <c r="H19" s="76"/>
    </row>
    <row r="20" hidden="1">
      <c r="A20" s="73" t="s">
        <v>139</v>
      </c>
      <c r="B20" s="74" t="s">
        <v>559</v>
      </c>
      <c r="C20" s="73" t="s">
        <v>53</v>
      </c>
      <c r="D20" s="75" t="s">
        <v>858</v>
      </c>
      <c r="E20" s="76">
        <f t="shared" si="4"/>
        <v>0</v>
      </c>
      <c r="F20" s="76"/>
      <c r="G20" s="76"/>
      <c r="H20" s="76"/>
    </row>
    <row r="21" hidden="1">
      <c r="A21" s="73" t="s">
        <v>249</v>
      </c>
      <c r="B21" s="74">
        <v>252.0</v>
      </c>
      <c r="C21" s="73" t="s">
        <v>49</v>
      </c>
      <c r="D21" s="75" t="s">
        <v>861</v>
      </c>
      <c r="E21" s="76">
        <f t="shared" si="4"/>
        <v>45987.46525</v>
      </c>
      <c r="F21" s="76"/>
      <c r="G21" s="76"/>
      <c r="H21" s="76"/>
    </row>
    <row r="22" hidden="1">
      <c r="A22" s="73" t="s">
        <v>139</v>
      </c>
      <c r="B22" s="74">
        <v>54.0</v>
      </c>
      <c r="C22" s="73" t="s">
        <v>49</v>
      </c>
      <c r="D22" s="75" t="s">
        <v>858</v>
      </c>
      <c r="E22" s="76">
        <f t="shared" si="4"/>
        <v>45987.30545</v>
      </c>
      <c r="F22" s="76"/>
      <c r="G22" s="76"/>
      <c r="H22" s="76"/>
    </row>
    <row r="23">
      <c r="A23" s="72" t="s">
        <v>299</v>
      </c>
      <c r="F23" s="72"/>
      <c r="G23" s="72"/>
      <c r="H23" s="72"/>
    </row>
    <row r="24">
      <c r="A24" s="73" t="s">
        <v>58</v>
      </c>
      <c r="B24" s="74">
        <v>197.0</v>
      </c>
      <c r="C24" s="73" t="s">
        <v>49</v>
      </c>
      <c r="D24" s="75" t="s">
        <v>862</v>
      </c>
      <c r="E24" s="76">
        <f>IFS(B24="","",E24&lt;&gt;"",E24,TRUE,NOW())</f>
        <v>45987.53984</v>
      </c>
      <c r="F24" s="76"/>
      <c r="G24" s="76"/>
      <c r="H24" s="76"/>
    </row>
    <row r="25">
      <c r="A25" s="72" t="s">
        <v>233</v>
      </c>
      <c r="F25" s="72"/>
      <c r="G25" s="72"/>
      <c r="H25" s="72"/>
    </row>
    <row r="26" hidden="1">
      <c r="A26" s="73" t="s">
        <v>139</v>
      </c>
      <c r="B26" s="74" t="s">
        <v>863</v>
      </c>
      <c r="C26" s="73" t="s">
        <v>53</v>
      </c>
      <c r="D26" s="75" t="s">
        <v>856</v>
      </c>
      <c r="E26" s="76">
        <f t="shared" ref="E26:E27" si="5">IFS(B26="","",E26&lt;&gt;"",E26,TRUE,NOW())</f>
        <v>45987.25567</v>
      </c>
      <c r="F26" s="76"/>
      <c r="G26" s="76"/>
      <c r="H26" s="76"/>
    </row>
    <row r="27">
      <c r="A27" s="73" t="s">
        <v>129</v>
      </c>
      <c r="B27" s="74" t="s">
        <v>863</v>
      </c>
      <c r="C27" s="73" t="s">
        <v>53</v>
      </c>
      <c r="D27" s="75" t="s">
        <v>856</v>
      </c>
      <c r="E27" s="76">
        <f t="shared" si="5"/>
        <v>45987.53997</v>
      </c>
      <c r="F27" s="76"/>
      <c r="G27" s="76"/>
      <c r="H27" s="76"/>
    </row>
    <row r="28">
      <c r="A28" s="72" t="s">
        <v>80</v>
      </c>
      <c r="F28" s="72"/>
      <c r="G28" s="72"/>
      <c r="H28" s="72"/>
    </row>
    <row r="29">
      <c r="A29" s="73">
        <v>1132.0</v>
      </c>
      <c r="B29" s="74" t="s">
        <v>844</v>
      </c>
      <c r="C29" s="73" t="s">
        <v>87</v>
      </c>
      <c r="D29" s="75" t="s">
        <v>860</v>
      </c>
      <c r="E29" s="76">
        <f t="shared" ref="E29:E30" si="6">IFS(B29="","",E29&lt;&gt;"",E29,TRUE,NOW())</f>
        <v>45987.54012</v>
      </c>
      <c r="F29" s="76"/>
      <c r="G29" s="76"/>
      <c r="H29" s="76"/>
    </row>
    <row r="30">
      <c r="A30" s="73" t="s">
        <v>79</v>
      </c>
      <c r="B30" s="74">
        <v>393.0</v>
      </c>
      <c r="C30" s="73" t="s">
        <v>87</v>
      </c>
      <c r="D30" s="75" t="s">
        <v>858</v>
      </c>
      <c r="E30" s="76">
        <f t="shared" si="6"/>
        <v>45987.54079</v>
      </c>
      <c r="F30" s="76"/>
      <c r="G30" s="76"/>
      <c r="H30" s="76"/>
    </row>
    <row r="31" hidden="1">
      <c r="A31" s="72" t="s">
        <v>52</v>
      </c>
      <c r="F31" s="72"/>
      <c r="G31" s="72"/>
      <c r="H31" s="72"/>
    </row>
    <row r="32" hidden="1">
      <c r="A32" s="73" t="s">
        <v>173</v>
      </c>
      <c r="B32" s="73">
        <v>31.0</v>
      </c>
      <c r="C32" s="73" t="s">
        <v>53</v>
      </c>
      <c r="D32" s="75" t="s">
        <v>858</v>
      </c>
      <c r="E32" s="76">
        <f>IFS(B32="","",E32&lt;&gt;"",E32,TRUE,NOW())</f>
        <v>45986.82149</v>
      </c>
      <c r="F32" s="76"/>
      <c r="G32" s="76"/>
      <c r="H32" s="76"/>
    </row>
    <row r="33" ht="22.5" hidden="1" customHeight="1">
      <c r="A33" s="72" t="s">
        <v>864</v>
      </c>
      <c r="F33" s="76"/>
      <c r="G33" s="76"/>
      <c r="H33" s="76"/>
    </row>
    <row r="34" ht="22.5" hidden="1" customHeight="1">
      <c r="A34" s="73" t="s">
        <v>96</v>
      </c>
      <c r="B34" s="73">
        <v>52.0</v>
      </c>
      <c r="C34" s="73" t="s">
        <v>37</v>
      </c>
      <c r="D34" s="75" t="s">
        <v>858</v>
      </c>
      <c r="E34" s="76">
        <f>IFS(B34="","",E34&lt;&gt;"",E34,TRUE,NOW())</f>
        <v>45986.82518</v>
      </c>
      <c r="F34" s="76"/>
      <c r="G34" s="76"/>
      <c r="H34" s="76"/>
    </row>
    <row r="35" ht="22.5" hidden="1" customHeight="1">
      <c r="A35" s="72" t="s">
        <v>865</v>
      </c>
      <c r="F35" s="76"/>
      <c r="G35" s="76"/>
      <c r="H35" s="76"/>
    </row>
    <row r="36" ht="22.5" hidden="1" customHeight="1">
      <c r="A36" s="73" t="s">
        <v>252</v>
      </c>
      <c r="B36" s="73">
        <v>84.0</v>
      </c>
      <c r="C36" s="73" t="s">
        <v>37</v>
      </c>
      <c r="D36" s="75" t="s">
        <v>858</v>
      </c>
      <c r="E36" s="76">
        <f>IFS(B36="","",E36&lt;&gt;"",E36,TRUE,NOW())</f>
        <v>45986.87509</v>
      </c>
      <c r="F36" s="76"/>
      <c r="G36" s="76"/>
      <c r="H36" s="76"/>
    </row>
    <row r="37" ht="22.5" customHeight="1">
      <c r="A37" s="72" t="s">
        <v>866</v>
      </c>
      <c r="F37" s="76"/>
      <c r="G37" s="76"/>
      <c r="H37" s="76"/>
    </row>
    <row r="38" ht="22.5" customHeight="1">
      <c r="A38" s="73">
        <v>1131.0</v>
      </c>
      <c r="B38" s="73">
        <v>31.0</v>
      </c>
      <c r="C38" s="73" t="s">
        <v>49</v>
      </c>
      <c r="D38" s="75" t="s">
        <v>859</v>
      </c>
      <c r="E38" s="76">
        <f t="shared" ref="E38:E41" si="7">IFS(B38="","",E38&lt;&gt;"",E38,TRUE,NOW())</f>
        <v>45987.54107</v>
      </c>
      <c r="F38" s="76"/>
      <c r="G38" s="76"/>
      <c r="H38" s="76"/>
    </row>
    <row r="39" ht="22.5" hidden="1" customHeight="1">
      <c r="A39" s="73" t="s">
        <v>181</v>
      </c>
      <c r="B39" s="73">
        <v>60.0</v>
      </c>
      <c r="C39" s="73" t="s">
        <v>49</v>
      </c>
      <c r="D39" s="75" t="s">
        <v>867</v>
      </c>
      <c r="E39" s="76">
        <f t="shared" si="7"/>
        <v>45987.25617</v>
      </c>
      <c r="F39" s="76"/>
      <c r="G39" s="76"/>
      <c r="H39" s="76"/>
    </row>
    <row r="40" ht="22.5" customHeight="1">
      <c r="A40" s="73" t="s">
        <v>181</v>
      </c>
      <c r="B40" s="73">
        <v>39.0</v>
      </c>
      <c r="C40" s="73" t="s">
        <v>87</v>
      </c>
      <c r="D40" s="75" t="s">
        <v>867</v>
      </c>
      <c r="E40" s="76">
        <f t="shared" si="7"/>
        <v>45987.54345</v>
      </c>
      <c r="F40" s="76"/>
      <c r="G40" s="76"/>
      <c r="H40" s="76"/>
    </row>
    <row r="41" ht="22.5" hidden="1" customHeight="1">
      <c r="A41" s="73">
        <v>1137.0</v>
      </c>
      <c r="B41" s="73" t="s">
        <v>559</v>
      </c>
      <c r="C41" s="73" t="s">
        <v>87</v>
      </c>
      <c r="D41" s="75" t="s">
        <v>867</v>
      </c>
      <c r="E41" s="76">
        <f t="shared" si="7"/>
        <v>0</v>
      </c>
      <c r="F41" s="76"/>
      <c r="G41" s="76"/>
      <c r="H41" s="76"/>
    </row>
    <row r="42" ht="22.5" hidden="1" customHeight="1">
      <c r="A42" s="72" t="s">
        <v>233</v>
      </c>
      <c r="F42" s="76"/>
      <c r="G42" s="76"/>
      <c r="H42" s="76"/>
    </row>
    <row r="43" ht="22.5" hidden="1" customHeight="1">
      <c r="A43" s="73" t="s">
        <v>139</v>
      </c>
      <c r="B43" s="73" t="s">
        <v>863</v>
      </c>
      <c r="C43" s="73" t="s">
        <v>87</v>
      </c>
      <c r="D43" s="75" t="s">
        <v>856</v>
      </c>
      <c r="E43" s="76">
        <f>IFS(B43="","",E43&lt;&gt;"",E43,TRUE,NOW())</f>
        <v>45987.30907</v>
      </c>
      <c r="F43" s="76"/>
      <c r="G43" s="76"/>
      <c r="H43" s="76"/>
    </row>
    <row r="44" ht="25.5" customHeight="1">
      <c r="A44" s="72" t="s">
        <v>868</v>
      </c>
      <c r="F44" s="76"/>
      <c r="G44" s="76"/>
      <c r="H44" s="76"/>
    </row>
    <row r="45" ht="22.5" customHeight="1">
      <c r="A45" s="73">
        <v>1137.0</v>
      </c>
      <c r="B45" s="73">
        <v>79.0</v>
      </c>
      <c r="C45" s="73" t="s">
        <v>53</v>
      </c>
      <c r="D45" s="75" t="s">
        <v>859</v>
      </c>
      <c r="E45" s="76">
        <f t="shared" ref="E45:E50" si="8">IFS(B45="","",E45&lt;&gt;"",E45,TRUE,NOW())</f>
        <v>45987.54173</v>
      </c>
      <c r="F45" s="77"/>
      <c r="G45" s="77"/>
      <c r="H45" s="77"/>
    </row>
    <row r="46" ht="22.5" customHeight="1">
      <c r="A46" s="73" t="s">
        <v>35</v>
      </c>
      <c r="B46" s="73">
        <v>66.0</v>
      </c>
      <c r="C46" s="73" t="s">
        <v>37</v>
      </c>
      <c r="D46" s="75" t="s">
        <v>859</v>
      </c>
      <c r="E46" s="76">
        <f t="shared" si="8"/>
        <v>45987.54224</v>
      </c>
      <c r="F46" s="77"/>
      <c r="G46" s="77"/>
      <c r="H46" s="77"/>
    </row>
    <row r="47" ht="22.5" customHeight="1">
      <c r="A47" s="73" t="s">
        <v>869</v>
      </c>
      <c r="B47" s="73">
        <v>132.0</v>
      </c>
      <c r="C47" s="73" t="s">
        <v>53</v>
      </c>
      <c r="D47" s="75" t="s">
        <v>856</v>
      </c>
      <c r="E47" s="76">
        <f t="shared" si="8"/>
        <v>45987.54243</v>
      </c>
      <c r="F47" s="77"/>
      <c r="G47" s="77"/>
      <c r="H47" s="77"/>
    </row>
    <row r="48" ht="22.5" customHeight="1">
      <c r="A48" s="73" t="s">
        <v>870</v>
      </c>
      <c r="B48" s="73">
        <v>178.0</v>
      </c>
      <c r="C48" s="73" t="s">
        <v>37</v>
      </c>
      <c r="D48" s="75" t="s">
        <v>858</v>
      </c>
      <c r="E48" s="76">
        <f t="shared" si="8"/>
        <v>45987.54265</v>
      </c>
      <c r="F48" s="77"/>
      <c r="G48" s="77"/>
      <c r="H48" s="77"/>
    </row>
    <row r="49" ht="22.5" hidden="1" customHeight="1">
      <c r="A49" s="73" t="s">
        <v>167</v>
      </c>
      <c r="B49" s="73">
        <v>152.0</v>
      </c>
      <c r="C49" s="73" t="s">
        <v>53</v>
      </c>
      <c r="D49" s="75" t="s">
        <v>858</v>
      </c>
      <c r="E49" s="76">
        <f t="shared" si="8"/>
        <v>0</v>
      </c>
      <c r="F49" s="77"/>
      <c r="G49" s="77"/>
      <c r="H49" s="77"/>
    </row>
    <row r="50" ht="22.5" hidden="1" customHeight="1">
      <c r="A50" s="73" t="s">
        <v>256</v>
      </c>
      <c r="B50" s="73">
        <v>152.0</v>
      </c>
      <c r="C50" s="73" t="s">
        <v>53</v>
      </c>
      <c r="D50" s="75" t="s">
        <v>858</v>
      </c>
      <c r="E50" s="76">
        <f t="shared" si="8"/>
        <v>0</v>
      </c>
      <c r="F50" s="77"/>
      <c r="G50" s="77"/>
      <c r="H50" s="77"/>
    </row>
    <row r="51">
      <c r="A51" s="72" t="s">
        <v>73</v>
      </c>
      <c r="F51" s="72"/>
      <c r="G51" s="72"/>
      <c r="H51" s="72"/>
    </row>
    <row r="52" ht="22.5" hidden="1" customHeight="1">
      <c r="A52" s="73" t="s">
        <v>870</v>
      </c>
      <c r="B52" s="73">
        <v>218.0</v>
      </c>
      <c r="C52" s="73" t="s">
        <v>87</v>
      </c>
      <c r="D52" s="75" t="s">
        <v>858</v>
      </c>
      <c r="E52" s="76">
        <f t="shared" ref="E52:E55" si="9">IFS(B52="","",E52&lt;&gt;"",E52,TRUE,NOW())</f>
        <v>45987.30754</v>
      </c>
      <c r="F52" s="77"/>
      <c r="G52" s="77"/>
      <c r="H52" s="77"/>
    </row>
    <row r="53" ht="22.5" hidden="1" customHeight="1">
      <c r="A53" s="73" t="s">
        <v>263</v>
      </c>
      <c r="B53" s="73">
        <v>189.0</v>
      </c>
      <c r="C53" s="78" t="s">
        <v>49</v>
      </c>
      <c r="D53" s="75" t="s">
        <v>858</v>
      </c>
      <c r="E53" s="76">
        <f t="shared" si="9"/>
        <v>45986.83915</v>
      </c>
      <c r="F53" s="77"/>
      <c r="G53" s="77"/>
      <c r="H53" s="77"/>
    </row>
    <row r="54" ht="22.5" customHeight="1">
      <c r="A54" s="73">
        <v>1135.0</v>
      </c>
      <c r="B54" s="73">
        <v>194.0</v>
      </c>
      <c r="C54" s="73" t="s">
        <v>49</v>
      </c>
      <c r="D54" s="75" t="s">
        <v>858</v>
      </c>
      <c r="E54" s="76">
        <f t="shared" si="9"/>
        <v>45987.54303</v>
      </c>
      <c r="F54" s="76"/>
      <c r="G54" s="76"/>
      <c r="H54" s="76"/>
    </row>
    <row r="55" ht="22.5" customHeight="1">
      <c r="A55" s="73" t="s">
        <v>263</v>
      </c>
      <c r="B55" s="73">
        <v>189.0</v>
      </c>
      <c r="C55" s="73" t="s">
        <v>49</v>
      </c>
      <c r="D55" s="75" t="s">
        <v>856</v>
      </c>
      <c r="E55" s="76">
        <f t="shared" si="9"/>
        <v>45987.5432</v>
      </c>
      <c r="F55" s="77"/>
      <c r="G55" s="77"/>
      <c r="H55" s="77"/>
    </row>
    <row r="56" ht="22.5" customHeight="1">
      <c r="A56" s="73"/>
      <c r="B56" s="74"/>
      <c r="C56" s="73"/>
      <c r="D56" s="74"/>
      <c r="E56" s="76"/>
      <c r="F56" s="76"/>
      <c r="G56" s="76"/>
      <c r="H56" s="76"/>
    </row>
    <row r="57" ht="22.5" customHeight="1">
      <c r="A57" s="73"/>
      <c r="C57" s="73"/>
      <c r="E57" s="76"/>
      <c r="F57" s="76"/>
      <c r="G57" s="76"/>
      <c r="H57" s="76"/>
    </row>
    <row r="58" ht="22.5" customHeight="1">
      <c r="A58" s="73"/>
      <c r="B58" s="74"/>
      <c r="C58" s="73"/>
      <c r="D58" s="74"/>
      <c r="E58" s="76"/>
      <c r="F58" s="76"/>
      <c r="G58" s="76"/>
      <c r="H58" s="76"/>
    </row>
  </sheetData>
  <mergeCells count="17">
    <mergeCell ref="A1:E2"/>
    <mergeCell ref="E3:E4"/>
    <mergeCell ref="A5:E5"/>
    <mergeCell ref="A8:E8"/>
    <mergeCell ref="A12:E12"/>
    <mergeCell ref="A14:E14"/>
    <mergeCell ref="A17:E17"/>
    <mergeCell ref="A42:E42"/>
    <mergeCell ref="A44:E44"/>
    <mergeCell ref="A51:E51"/>
    <mergeCell ref="A23:E23"/>
    <mergeCell ref="A25:E25"/>
    <mergeCell ref="A28:E28"/>
    <mergeCell ref="A31:E31"/>
    <mergeCell ref="A33:E33"/>
    <mergeCell ref="A35:E35"/>
    <mergeCell ref="A37:E37"/>
  </mergeCells>
  <conditionalFormatting sqref="D6:H7 D9:H11 D13:H13 D15:H16 D18:H22 D24:H24 D26:H27 D29:H30 B32 D32:E32 F32:H50 D34:E34 D36:E36 D38:E41 D43:E43 B45:B50 D45:E50 B52:B58 D52:H58">
    <cfRule type="containsText" dxfId="7" priority="1" operator="containsText" text="PATRULLAJE DE RUTA">
      <formula>NOT(ISERROR(SEARCH(("PATRULLAJE DE RUTA"),(D6))))</formula>
    </cfRule>
  </conditionalFormatting>
  <conditionalFormatting sqref="D6:H7 D9:H11 D13:H13 D15:H16 D18:H22 D24:H24 D26:H27 D29:H30 B32 D32:E32 F32:H50 D34:E34 D36:E36 D38:E41 D43:E43 B45:B50 D45:E50 B52:B58 D52:H58">
    <cfRule type="containsText" dxfId="8" priority="2" operator="containsText" text="REGULACION DE TRANSITO">
      <formula>NOT(ISERROR(SEARCH(("REGULACION DE TRANSITO"),(D6))))</formula>
    </cfRule>
  </conditionalFormatting>
  <conditionalFormatting sqref="D6:H7 D9:H11 D13:H13 D15:H16 D18:H22 D24:H24 D26:H27 D29:H30 B32 D32:E32 F32:H50 D34:E34 D36:E36 D38:E41 D43:E43 B45:B50 D45:E50 B52:B58 D52:H58">
    <cfRule type="containsText" dxfId="9" priority="3" operator="containsText" text="DERRUMBE">
      <formula>NOT(ISERROR(SEARCH(("DERRUMBE"),(D6))))</formula>
    </cfRule>
  </conditionalFormatting>
  <conditionalFormatting sqref="D6:H7 D9:H11 D13:H13 D15:H16 D18:H22 D24:H24 D26:H27 D29:H30 B32 D32:E32 F32:H50 D34:E34 D36:E36 D38:E41 D43:E43 B45:B50 D45:E50 B52:B58 D52:H58">
    <cfRule type="containsText" dxfId="10" priority="4" operator="containsText" text="ASISTENCIA VIAL">
      <formula>NOT(ISERROR(SEARCH(("ASISTENCIA VIAL"),(D6))))</formula>
    </cfRule>
  </conditionalFormatting>
  <conditionalFormatting sqref="D6:H7 D9:H11 D13:H13 D15:H16 D18:H22 D24:H24 D26:H27 D29:H30 B32 D32:E32 F32:H50 D34:E34 D36:E36 D38:E41 D43:E43 B45:B50 D45:E50 B52:B58 D52:H58">
    <cfRule type="containsText" dxfId="11" priority="5" operator="containsText" text="ACCIDENTE VIAL">
      <formula>NOT(ISERROR(SEARCH(("ACCIDENTE VIAL"),(D6))))</formula>
    </cfRule>
  </conditionalFormatting>
  <conditionalFormatting sqref="D6:H7 D9:H11 D13:H13 D15:H16 D18:H22 D24:H24 D26:H27 D29:H30 B32 D32:E32 F32:H50 D34:E34 D36:E36 D38:E41 D43:E43 B45:B50 D45:E50 B52:B58 D52:H58">
    <cfRule type="containsText" dxfId="12" priority="6" operator="containsText" text="APOYO A TRABAJOS DE CARRETERA">
      <formula>NOT(ISERROR(SEARCH(("APOYO A TRABAJOS DE CARRETERA"),(D6))))</formula>
    </cfRule>
  </conditionalFormatting>
  <dataValidations>
    <dataValidation type="list" allowBlank="1" showErrorMessage="1" sqref="C6:C7 C9:C11 C13 C15:C16 C18:C22 C24 C26:C27 C29:C30 C32 C34 C36 C38:C41 C43 C45:C50 C52:C58">
      <formula1>CATALOGO!$E$2:$E$7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18.63"/>
    <col customWidth="1" min="4" max="4" width="8.13"/>
    <col customWidth="1" min="5" max="5" width="28.38"/>
    <col customWidth="1" min="6" max="6" width="24.13"/>
    <col customWidth="1" min="9" max="9" width="77.88"/>
    <col customWidth="1" min="10" max="10" width="13.75"/>
    <col customWidth="1" min="11" max="11" width="24.0"/>
    <col customWidth="1" min="12" max="12" width="87.88"/>
  </cols>
  <sheetData>
    <row r="1">
      <c r="A1" s="79" t="s">
        <v>871</v>
      </c>
      <c r="M1" s="80"/>
      <c r="N1" s="80"/>
      <c r="O1" s="80"/>
    </row>
    <row r="2">
      <c r="A2" s="81" t="s">
        <v>15</v>
      </c>
      <c r="B2" s="82" t="s">
        <v>16</v>
      </c>
      <c r="C2" s="83" t="s">
        <v>23</v>
      </c>
      <c r="D2" s="84" t="s">
        <v>21</v>
      </c>
      <c r="E2" s="84" t="s">
        <v>872</v>
      </c>
      <c r="F2" s="84" t="s">
        <v>873</v>
      </c>
      <c r="G2" s="81" t="s">
        <v>874</v>
      </c>
      <c r="H2" s="81" t="s">
        <v>875</v>
      </c>
      <c r="I2" s="83" t="s">
        <v>27</v>
      </c>
      <c r="J2" s="83" t="s">
        <v>876</v>
      </c>
      <c r="K2" s="83" t="s">
        <v>877</v>
      </c>
      <c r="L2" s="83" t="s">
        <v>878</v>
      </c>
      <c r="M2" s="80"/>
      <c r="N2" s="80"/>
      <c r="O2" s="80"/>
    </row>
    <row r="3">
      <c r="A3" s="85">
        <v>1.0</v>
      </c>
      <c r="B3" s="86">
        <v>45964.0</v>
      </c>
      <c r="C3" s="85" t="s">
        <v>36</v>
      </c>
      <c r="D3" s="87">
        <v>218.0</v>
      </c>
      <c r="E3" s="85" t="s">
        <v>91</v>
      </c>
      <c r="F3" s="85" t="s">
        <v>879</v>
      </c>
      <c r="G3" s="85" t="s">
        <v>880</v>
      </c>
      <c r="H3" s="85" t="s">
        <v>881</v>
      </c>
      <c r="I3" s="85" t="s">
        <v>882</v>
      </c>
      <c r="J3" s="85">
        <v>5.4313278E7</v>
      </c>
      <c r="K3" s="85" t="s">
        <v>883</v>
      </c>
      <c r="L3" s="85" t="s">
        <v>884</v>
      </c>
      <c r="M3" s="80"/>
      <c r="N3" s="80"/>
      <c r="O3" s="80"/>
    </row>
    <row r="4">
      <c r="A4" s="85">
        <v>2.0</v>
      </c>
      <c r="B4" s="86">
        <v>45969.0</v>
      </c>
      <c r="C4" s="85" t="s">
        <v>59</v>
      </c>
      <c r="D4" s="87">
        <v>0.0</v>
      </c>
      <c r="E4" s="85" t="s">
        <v>91</v>
      </c>
      <c r="F4" s="85" t="s">
        <v>885</v>
      </c>
      <c r="G4" s="85" t="s">
        <v>886</v>
      </c>
      <c r="H4" s="85" t="s">
        <v>44</v>
      </c>
      <c r="I4" s="85" t="s">
        <v>887</v>
      </c>
      <c r="J4" s="85">
        <v>5.1133587E7</v>
      </c>
      <c r="K4" s="85" t="s">
        <v>883</v>
      </c>
      <c r="L4" s="85" t="s">
        <v>888</v>
      </c>
      <c r="M4" s="80"/>
      <c r="N4" s="80"/>
      <c r="O4" s="80"/>
    </row>
    <row r="5">
      <c r="A5" s="85">
        <v>3.0</v>
      </c>
      <c r="B5" s="86">
        <v>45970.0</v>
      </c>
      <c r="C5" s="85" t="s">
        <v>48</v>
      </c>
      <c r="D5" s="25">
        <v>0.0</v>
      </c>
      <c r="E5" s="85" t="s">
        <v>91</v>
      </c>
      <c r="F5" s="85" t="s">
        <v>889</v>
      </c>
      <c r="G5" s="85" t="s">
        <v>890</v>
      </c>
      <c r="H5" s="85" t="s">
        <v>891</v>
      </c>
      <c r="I5" s="85" t="s">
        <v>882</v>
      </c>
      <c r="J5" s="85">
        <v>4.1992913E7</v>
      </c>
      <c r="K5" s="85" t="s">
        <v>892</v>
      </c>
      <c r="L5" s="85" t="s">
        <v>893</v>
      </c>
      <c r="M5" s="80"/>
      <c r="N5" s="80"/>
      <c r="O5" s="80"/>
    </row>
    <row r="6">
      <c r="A6" s="80"/>
      <c r="B6" s="88"/>
      <c r="C6" s="80"/>
      <c r="D6" s="89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</row>
    <row r="7">
      <c r="A7" s="80"/>
      <c r="B7" s="88"/>
      <c r="C7" s="80"/>
      <c r="D7" s="89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</row>
    <row r="8">
      <c r="A8" s="80"/>
      <c r="B8" s="88"/>
      <c r="C8" s="80"/>
      <c r="D8" s="89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</row>
    <row r="9">
      <c r="A9" s="80"/>
      <c r="B9" s="88"/>
      <c r="C9" s="80"/>
      <c r="D9" s="89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</row>
    <row r="10">
      <c r="A10" s="80"/>
      <c r="B10" s="88"/>
      <c r="C10" s="80"/>
      <c r="D10" s="89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</row>
    <row r="11">
      <c r="A11" s="80"/>
      <c r="B11" s="88"/>
      <c r="C11" s="80"/>
      <c r="D11" s="89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</row>
    <row r="12">
      <c r="A12" s="80"/>
      <c r="B12" s="88"/>
      <c r="C12" s="80"/>
      <c r="D12" s="89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</row>
    <row r="13">
      <c r="A13" s="80"/>
      <c r="B13" s="88"/>
      <c r="C13" s="80"/>
      <c r="D13" s="89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</row>
    <row r="14">
      <c r="A14" s="80"/>
      <c r="B14" s="88"/>
      <c r="C14" s="80"/>
      <c r="D14" s="89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</row>
    <row r="15">
      <c r="A15" s="80"/>
      <c r="B15" s="88"/>
      <c r="C15" s="80"/>
      <c r="D15" s="89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</row>
  </sheetData>
  <mergeCells count="1">
    <mergeCell ref="A1:L1"/>
  </mergeCells>
  <conditionalFormatting sqref="B3:B15">
    <cfRule type="timePeriod" dxfId="1" priority="1" timePeriod="today"/>
  </conditionalFormatting>
  <conditionalFormatting sqref="B3:B15">
    <cfRule type="expression" dxfId="13" priority="2">
      <formula>AND(ISNUMBER(B3),TRUNC(B3)&lt;TODAY())</formula>
    </cfRule>
  </conditionalFormatting>
  <conditionalFormatting sqref="B3:B15">
    <cfRule type="expression" dxfId="5" priority="3">
      <formula>AND(ISNUMBER(B3),TRUNC(B3)&gt;TODAY())</formula>
    </cfRule>
  </conditionalFormatting>
  <dataValidations>
    <dataValidation type="list" allowBlank="1" sqref="I3:I15">
      <formula1>CATALOGO!$M$2:$M15</formula1>
    </dataValidation>
    <dataValidation type="list" allowBlank="1" sqref="C3:C15">
      <formula1>CATALOGO!$B$2:$B15</formula1>
    </dataValidation>
    <dataValidation type="list" allowBlank="1" showErrorMessage="1" sqref="E3:E15">
      <formula1>CATALOGO!$F$2:$F15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7.75"/>
  </cols>
  <sheetData>
    <row r="1">
      <c r="A1" s="80"/>
      <c r="B1" s="90" t="s">
        <v>894</v>
      </c>
      <c r="C1" s="91" t="s">
        <v>895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>
      <c r="A2" s="80"/>
      <c r="B2" s="90" t="s">
        <v>54</v>
      </c>
      <c r="C2" s="91" t="s">
        <v>131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>
      <c r="A3" s="80"/>
      <c r="B3" s="90" t="s">
        <v>54</v>
      </c>
      <c r="C3" s="91" t="s">
        <v>76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>
      <c r="A4" s="80"/>
      <c r="B4" s="90" t="s">
        <v>54</v>
      </c>
      <c r="C4" s="91" t="s">
        <v>896</v>
      </c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>
      <c r="A5" s="80"/>
      <c r="B5" s="92" t="s">
        <v>38</v>
      </c>
      <c r="C5" s="91" t="s">
        <v>510</v>
      </c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ht="19.5" customHeight="1">
      <c r="A6" s="80"/>
      <c r="B6" s="90" t="s">
        <v>54</v>
      </c>
      <c r="C6" s="91" t="s">
        <v>381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>
      <c r="A7" s="80"/>
      <c r="B7" s="90" t="s">
        <v>54</v>
      </c>
      <c r="C7" s="91" t="s">
        <v>67</v>
      </c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>
      <c r="A8" s="80"/>
      <c r="B8" s="90" t="s">
        <v>54</v>
      </c>
      <c r="C8" s="93" t="s">
        <v>392</v>
      </c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>
      <c r="A9" s="80"/>
      <c r="B9" s="90" t="s">
        <v>54</v>
      </c>
      <c r="C9" s="91" t="s">
        <v>156</v>
      </c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>
      <c r="A10" s="80"/>
      <c r="B10" s="90" t="s">
        <v>54</v>
      </c>
      <c r="C10" s="91" t="s">
        <v>64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>
      <c r="A11" s="80"/>
      <c r="B11" s="90" t="s">
        <v>54</v>
      </c>
      <c r="C11" s="91" t="s">
        <v>102</v>
      </c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</row>
    <row r="12">
      <c r="A12" s="80"/>
      <c r="B12" s="90" t="s">
        <v>54</v>
      </c>
      <c r="C12" s="91" t="s">
        <v>897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</row>
    <row r="13">
      <c r="A13" s="80"/>
      <c r="B13" s="90" t="s">
        <v>54</v>
      </c>
      <c r="C13" s="91" t="s">
        <v>235</v>
      </c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</row>
    <row r="14">
      <c r="A14" s="80"/>
      <c r="B14" s="90" t="s">
        <v>54</v>
      </c>
      <c r="C14" s="91" t="s">
        <v>898</v>
      </c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</row>
    <row r="15">
      <c r="A15" s="80"/>
      <c r="B15" s="90" t="s">
        <v>54</v>
      </c>
      <c r="C15" s="93" t="s">
        <v>899</v>
      </c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</row>
    <row r="16">
      <c r="A16" s="80"/>
      <c r="B16" s="90" t="s">
        <v>54</v>
      </c>
      <c r="C16" s="91" t="s">
        <v>900</v>
      </c>
      <c r="D16" s="80"/>
      <c r="E16" s="80"/>
      <c r="F16" s="85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</row>
    <row r="17">
      <c r="A17" s="80"/>
      <c r="B17" s="90" t="s">
        <v>54</v>
      </c>
      <c r="C17" s="91" t="s">
        <v>901</v>
      </c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</row>
    <row r="18">
      <c r="A18" s="80"/>
      <c r="B18" s="90" t="s">
        <v>54</v>
      </c>
      <c r="C18" s="93" t="s">
        <v>385</v>
      </c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</row>
    <row r="19">
      <c r="A19" s="80"/>
      <c r="B19" s="90" t="s">
        <v>54</v>
      </c>
      <c r="C19" s="91" t="s">
        <v>95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</row>
    <row r="20">
      <c r="A20" s="80"/>
      <c r="B20" s="90" t="s">
        <v>54</v>
      </c>
      <c r="C20" s="91" t="s">
        <v>902</v>
      </c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</row>
    <row r="21">
      <c r="A21" s="80"/>
      <c r="B21" s="90" t="s">
        <v>54</v>
      </c>
      <c r="C21" s="91" t="s">
        <v>294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</row>
    <row r="22">
      <c r="A22" s="80"/>
      <c r="B22" s="90" t="s">
        <v>54</v>
      </c>
      <c r="C22" s="91" t="s">
        <v>903</v>
      </c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</row>
    <row r="23">
      <c r="A23" s="80"/>
      <c r="B23" s="90" t="s">
        <v>54</v>
      </c>
      <c r="C23" s="91" t="s">
        <v>467</v>
      </c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</row>
    <row r="24">
      <c r="A24" s="80"/>
      <c r="B24" s="92" t="s">
        <v>38</v>
      </c>
      <c r="C24" s="91" t="s">
        <v>904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</row>
    <row r="25">
      <c r="A25" s="80"/>
      <c r="B25" s="90" t="s">
        <v>54</v>
      </c>
      <c r="C25" s="91" t="s">
        <v>526</v>
      </c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</row>
    <row r="26">
      <c r="A26" s="80"/>
      <c r="B26" s="90" t="s">
        <v>54</v>
      </c>
      <c r="C26" s="91" t="s">
        <v>905</v>
      </c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</row>
    <row r="27">
      <c r="A27" s="80"/>
      <c r="B27" s="90" t="s">
        <v>54</v>
      </c>
      <c r="C27" s="91" t="s">
        <v>906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</row>
    <row r="28">
      <c r="A28" s="80"/>
      <c r="B28" s="90" t="s">
        <v>54</v>
      </c>
      <c r="C28" s="93" t="s">
        <v>907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</row>
    <row r="29">
      <c r="A29" s="80"/>
      <c r="B29" s="90" t="s">
        <v>54</v>
      </c>
      <c r="C29" s="91" t="s">
        <v>55</v>
      </c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</row>
    <row r="30">
      <c r="A30" s="80"/>
      <c r="B30" s="90" t="s">
        <v>54</v>
      </c>
      <c r="C30" s="91" t="s">
        <v>908</v>
      </c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</row>
    <row r="31">
      <c r="A31" s="80"/>
      <c r="B31" s="90" t="s">
        <v>54</v>
      </c>
      <c r="C31" s="93" t="s">
        <v>174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</row>
    <row r="32">
      <c r="A32" s="80"/>
      <c r="B32" s="90" t="s">
        <v>54</v>
      </c>
      <c r="C32" s="91" t="s">
        <v>387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</row>
    <row r="33">
      <c r="A33" s="80"/>
      <c r="B33" s="90" t="s">
        <v>54</v>
      </c>
      <c r="C33" s="93" t="s">
        <v>909</v>
      </c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</row>
    <row r="34">
      <c r="A34" s="80"/>
      <c r="B34" s="90" t="s">
        <v>54</v>
      </c>
      <c r="C34" s="91" t="s">
        <v>910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</row>
    <row r="35">
      <c r="A35" s="80"/>
      <c r="B35" s="90" t="s">
        <v>54</v>
      </c>
      <c r="C35" s="91" t="s">
        <v>911</v>
      </c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</row>
    <row r="36">
      <c r="A36" s="80"/>
      <c r="B36" s="90" t="s">
        <v>38</v>
      </c>
      <c r="C36" s="91" t="s">
        <v>180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</row>
    <row r="37">
      <c r="A37" s="80"/>
      <c r="B37" s="90" t="s">
        <v>38</v>
      </c>
      <c r="C37" s="91" t="s">
        <v>60</v>
      </c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</row>
    <row r="38">
      <c r="A38" s="80"/>
      <c r="B38" s="90" t="s">
        <v>38</v>
      </c>
      <c r="C38" s="91" t="s">
        <v>82</v>
      </c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</row>
    <row r="39">
      <c r="A39" s="80"/>
      <c r="B39" s="90" t="s">
        <v>38</v>
      </c>
      <c r="C39" s="91" t="s">
        <v>912</v>
      </c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</row>
    <row r="40">
      <c r="A40" s="80"/>
      <c r="B40" s="90" t="s">
        <v>38</v>
      </c>
      <c r="C40" s="91" t="s">
        <v>196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</row>
    <row r="41">
      <c r="A41" s="80"/>
      <c r="B41" s="90" t="s">
        <v>38</v>
      </c>
      <c r="C41" s="91" t="s">
        <v>140</v>
      </c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</row>
    <row r="42">
      <c r="A42" s="80"/>
      <c r="B42" s="90" t="s">
        <v>38</v>
      </c>
      <c r="C42" s="93" t="s">
        <v>196</v>
      </c>
      <c r="D42" s="94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</row>
    <row r="43">
      <c r="A43" s="80"/>
      <c r="B43" s="90" t="s">
        <v>38</v>
      </c>
      <c r="C43" s="91" t="s">
        <v>39</v>
      </c>
      <c r="D43" s="94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</row>
    <row r="44">
      <c r="A44" s="80"/>
      <c r="B44" s="90" t="s">
        <v>38</v>
      </c>
      <c r="C44" s="91" t="s">
        <v>288</v>
      </c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</row>
    <row r="45">
      <c r="A45" s="80"/>
      <c r="B45" s="90" t="s">
        <v>38</v>
      </c>
      <c r="C45" s="91" t="s">
        <v>113</v>
      </c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</row>
    <row r="46">
      <c r="A46" s="80"/>
      <c r="B46" s="90" t="s">
        <v>54</v>
      </c>
      <c r="C46" s="91" t="s">
        <v>913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</row>
    <row r="47">
      <c r="A47" s="80"/>
      <c r="B47" s="90" t="s">
        <v>38</v>
      </c>
      <c r="C47" s="91" t="s">
        <v>417</v>
      </c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</row>
    <row r="48">
      <c r="A48" s="80"/>
      <c r="B48" s="90" t="s">
        <v>38</v>
      </c>
      <c r="C48" s="91" t="s">
        <v>108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</row>
    <row r="49">
      <c r="A49" s="80"/>
      <c r="B49" s="90" t="s">
        <v>38</v>
      </c>
      <c r="C49" s="91" t="s">
        <v>905</v>
      </c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</row>
    <row r="50">
      <c r="A50" s="80"/>
      <c r="B50" s="90" t="s">
        <v>38</v>
      </c>
      <c r="C50" s="91" t="s">
        <v>324</v>
      </c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</row>
    <row r="51">
      <c r="A51" s="80"/>
      <c r="B51" s="90" t="s">
        <v>38</v>
      </c>
      <c r="C51" s="91" t="s">
        <v>527</v>
      </c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</row>
    <row r="52">
      <c r="A52" s="80"/>
      <c r="B52" s="90" t="s">
        <v>38</v>
      </c>
      <c r="C52" s="91" t="s">
        <v>904</v>
      </c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</row>
    <row r="53">
      <c r="A53" s="80"/>
      <c r="B53" s="90" t="s">
        <v>38</v>
      </c>
      <c r="C53" s="91" t="s">
        <v>90</v>
      </c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</row>
    <row r="54">
      <c r="A54" s="80"/>
      <c r="B54" s="92" t="s">
        <v>323</v>
      </c>
      <c r="C54" s="91" t="s">
        <v>914</v>
      </c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</row>
    <row r="55">
      <c r="A55" s="80"/>
      <c r="B55" s="92" t="s">
        <v>323</v>
      </c>
      <c r="C55" s="91" t="s">
        <v>689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</row>
    <row r="56">
      <c r="A56" s="80"/>
      <c r="B56" s="92" t="s">
        <v>323</v>
      </c>
      <c r="C56" s="93" t="s">
        <v>915</v>
      </c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</row>
    <row r="57">
      <c r="A57" s="80"/>
      <c r="B57" s="92" t="s">
        <v>323</v>
      </c>
      <c r="C57" s="91" t="s">
        <v>916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</row>
    <row r="58">
      <c r="A58" s="80"/>
      <c r="B58" s="92" t="s">
        <v>323</v>
      </c>
      <c r="C58" s="91" t="s">
        <v>917</v>
      </c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</row>
    <row r="59">
      <c r="A59" s="80"/>
      <c r="B59" s="92" t="s">
        <v>323</v>
      </c>
      <c r="C59" s="91" t="s">
        <v>918</v>
      </c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</row>
    <row r="60">
      <c r="A60" s="80"/>
      <c r="B60" s="92" t="s">
        <v>323</v>
      </c>
      <c r="C60" s="91" t="s">
        <v>919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</row>
    <row r="61">
      <c r="A61" s="80"/>
      <c r="B61" s="92" t="s">
        <v>323</v>
      </c>
      <c r="C61" s="93" t="s">
        <v>920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</row>
    <row r="62">
      <c r="A62" s="80"/>
      <c r="B62" s="92" t="s">
        <v>323</v>
      </c>
      <c r="C62" s="91" t="s">
        <v>921</v>
      </c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</row>
    <row r="63">
      <c r="A63" s="80"/>
      <c r="B63" s="92" t="s">
        <v>323</v>
      </c>
      <c r="C63" s="91" t="s">
        <v>922</v>
      </c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</row>
    <row r="64">
      <c r="A64" s="80"/>
      <c r="B64" s="92" t="s">
        <v>323</v>
      </c>
      <c r="C64" s="91" t="s">
        <v>923</v>
      </c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</row>
    <row r="65">
      <c r="A65" s="80"/>
      <c r="B65" s="92" t="s">
        <v>323</v>
      </c>
      <c r="C65" s="93" t="s">
        <v>924</v>
      </c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</row>
    <row r="66">
      <c r="A66" s="80"/>
      <c r="B66" s="92" t="s">
        <v>323</v>
      </c>
      <c r="C66" s="91" t="s">
        <v>324</v>
      </c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</row>
    <row r="67">
      <c r="A67" s="80"/>
      <c r="B67" s="92" t="s">
        <v>323</v>
      </c>
      <c r="C67" s="93" t="s">
        <v>925</v>
      </c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</row>
    <row r="68">
      <c r="A68" s="80"/>
      <c r="B68" s="92" t="s">
        <v>323</v>
      </c>
      <c r="C68" s="93" t="s">
        <v>926</v>
      </c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</row>
    <row r="69">
      <c r="A69" s="80"/>
      <c r="B69" s="92" t="s">
        <v>54</v>
      </c>
      <c r="C69" s="93" t="s">
        <v>927</v>
      </c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</row>
    <row r="70">
      <c r="A70" s="80"/>
      <c r="B70" s="90" t="s">
        <v>38</v>
      </c>
      <c r="C70" s="91" t="s">
        <v>180</v>
      </c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</row>
    <row r="71">
      <c r="A71" s="80"/>
      <c r="B71" s="90" t="s">
        <v>38</v>
      </c>
      <c r="C71" s="91" t="s">
        <v>180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</row>
    <row r="72">
      <c r="A72" s="80"/>
      <c r="B72" s="90" t="s">
        <v>38</v>
      </c>
      <c r="C72" s="91" t="s">
        <v>60</v>
      </c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</row>
    <row r="73">
      <c r="A73" s="80"/>
      <c r="B73" s="90" t="s">
        <v>38</v>
      </c>
      <c r="C73" s="91" t="s">
        <v>82</v>
      </c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</row>
    <row r="74">
      <c r="A74" s="80"/>
      <c r="B74" s="90" t="s">
        <v>38</v>
      </c>
      <c r="C74" s="91" t="s">
        <v>196</v>
      </c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</row>
    <row r="75">
      <c r="A75" s="80"/>
      <c r="B75" s="90" t="s">
        <v>38</v>
      </c>
      <c r="C75" s="91" t="s">
        <v>140</v>
      </c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</row>
    <row r="76">
      <c r="A76" s="80"/>
      <c r="B76" s="90" t="s">
        <v>38</v>
      </c>
      <c r="C76" s="91" t="s">
        <v>39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</row>
    <row r="77">
      <c r="A77" s="80"/>
      <c r="B77" s="90" t="s">
        <v>38</v>
      </c>
      <c r="C77" s="91" t="s">
        <v>288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</row>
    <row r="78">
      <c r="A78" s="80"/>
      <c r="B78" s="90" t="s">
        <v>38</v>
      </c>
      <c r="C78" s="91" t="s">
        <v>113</v>
      </c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</row>
    <row r="79">
      <c r="A79" s="80"/>
      <c r="B79" s="90" t="s">
        <v>38</v>
      </c>
      <c r="C79" s="91" t="s">
        <v>417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</row>
    <row r="80">
      <c r="A80" s="80"/>
      <c r="B80" s="90"/>
      <c r="C80" s="95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</row>
    <row r="81">
      <c r="A81" s="80"/>
      <c r="B81" s="96"/>
      <c r="C81" s="96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</row>
    <row r="82">
      <c r="A82" s="80"/>
      <c r="B82" s="96"/>
      <c r="C82" s="96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</row>
    <row r="83">
      <c r="A83" s="80"/>
      <c r="B83" s="96"/>
      <c r="C83" s="96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</row>
    <row r="84">
      <c r="A84" s="80"/>
      <c r="B84" s="96"/>
      <c r="C84" s="96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</row>
    <row r="85">
      <c r="A85" s="80"/>
      <c r="B85" s="96"/>
      <c r="C85" s="96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</row>
    <row r="86">
      <c r="A86" s="80"/>
      <c r="B86" s="96"/>
      <c r="C86" s="96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</row>
    <row r="87">
      <c r="A87" s="80"/>
      <c r="B87" s="96"/>
      <c r="C87" s="96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</row>
    <row r="88">
      <c r="A88" s="80"/>
      <c r="B88" s="96"/>
      <c r="C88" s="96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</row>
    <row r="89">
      <c r="A89" s="80"/>
      <c r="B89" s="96"/>
      <c r="C89" s="96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</row>
    <row r="90">
      <c r="A90" s="80"/>
      <c r="B90" s="96"/>
      <c r="C90" s="96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</row>
    <row r="91">
      <c r="A91" s="80"/>
      <c r="B91" s="96"/>
      <c r="C91" s="96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</row>
    <row r="92">
      <c r="A92" s="80"/>
      <c r="B92" s="96"/>
      <c r="C92" s="96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</row>
    <row r="93">
      <c r="A93" s="80"/>
      <c r="B93" s="96"/>
      <c r="C93" s="96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</row>
    <row r="94">
      <c r="A94" s="80"/>
      <c r="B94" s="96"/>
      <c r="C94" s="96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</row>
    <row r="95">
      <c r="A95" s="80"/>
      <c r="B95" s="96"/>
      <c r="C95" s="96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</row>
    <row r="96">
      <c r="A96" s="80"/>
      <c r="B96" s="96"/>
      <c r="C96" s="96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</row>
    <row r="97">
      <c r="A97" s="80"/>
      <c r="B97" s="96"/>
      <c r="C97" s="96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</row>
    <row r="98">
      <c r="A98" s="80"/>
      <c r="B98" s="96"/>
      <c r="C98" s="96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</row>
    <row r="99">
      <c r="A99" s="80"/>
      <c r="B99" s="96"/>
      <c r="C99" s="96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</row>
    <row r="100">
      <c r="A100" s="80"/>
      <c r="B100" s="96"/>
      <c r="C100" s="96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</row>
    <row r="101">
      <c r="A101" s="80"/>
      <c r="B101" s="96"/>
      <c r="C101" s="96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</row>
    <row r="102">
      <c r="A102" s="80"/>
      <c r="B102" s="96"/>
      <c r="C102" s="96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</row>
    <row r="103">
      <c r="A103" s="80"/>
      <c r="B103" s="96"/>
      <c r="C103" s="96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</row>
    <row r="104">
      <c r="A104" s="80"/>
      <c r="B104" s="96"/>
      <c r="C104" s="96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</row>
    <row r="105">
      <c r="A105" s="80"/>
      <c r="B105" s="96"/>
      <c r="C105" s="96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</row>
    <row r="106">
      <c r="A106" s="80"/>
      <c r="B106" s="96"/>
      <c r="C106" s="96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</row>
    <row r="107">
      <c r="A107" s="80"/>
      <c r="B107" s="96"/>
      <c r="C107" s="96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</row>
    <row r="108">
      <c r="A108" s="80"/>
      <c r="B108" s="96"/>
      <c r="C108" s="96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</row>
    <row r="109">
      <c r="A109" s="80"/>
      <c r="B109" s="96"/>
      <c r="C109" s="96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</row>
    <row r="110">
      <c r="A110" s="80"/>
      <c r="B110" s="96"/>
      <c r="C110" s="96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</row>
    <row r="111">
      <c r="A111" s="80"/>
      <c r="B111" s="96"/>
      <c r="C111" s="96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</row>
    <row r="112">
      <c r="A112" s="80"/>
      <c r="B112" s="96"/>
      <c r="C112" s="96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</row>
    <row r="113">
      <c r="A113" s="80"/>
      <c r="B113" s="96"/>
      <c r="C113" s="96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</row>
    <row r="114">
      <c r="A114" s="80"/>
      <c r="B114" s="96"/>
      <c r="C114" s="96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</row>
    <row r="115">
      <c r="A115" s="80"/>
      <c r="B115" s="96"/>
      <c r="C115" s="96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</row>
    <row r="116">
      <c r="A116" s="80"/>
      <c r="B116" s="96"/>
      <c r="C116" s="96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</row>
    <row r="117">
      <c r="A117" s="80"/>
      <c r="B117" s="96"/>
      <c r="C117" s="96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</row>
    <row r="118">
      <c r="A118" s="80"/>
      <c r="B118" s="96"/>
      <c r="C118" s="96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</row>
    <row r="119">
      <c r="A119" s="80"/>
      <c r="B119" s="96"/>
      <c r="C119" s="96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</row>
    <row r="120">
      <c r="A120" s="80"/>
      <c r="B120" s="96"/>
      <c r="C120" s="96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</row>
    <row r="121">
      <c r="A121" s="80"/>
      <c r="B121" s="96"/>
      <c r="C121" s="96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</row>
    <row r="122">
      <c r="A122" s="80"/>
      <c r="B122" s="96"/>
      <c r="C122" s="96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</row>
    <row r="123">
      <c r="A123" s="80"/>
      <c r="B123" s="96"/>
      <c r="C123" s="96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</row>
    <row r="124">
      <c r="A124" s="80"/>
      <c r="B124" s="96"/>
      <c r="C124" s="96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</row>
    <row r="125">
      <c r="A125" s="80"/>
      <c r="B125" s="96"/>
      <c r="C125" s="96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</row>
    <row r="126">
      <c r="A126" s="80"/>
      <c r="B126" s="96"/>
      <c r="C126" s="96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</row>
    <row r="127">
      <c r="A127" s="80"/>
      <c r="B127" s="96"/>
      <c r="C127" s="96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</row>
    <row r="128">
      <c r="A128" s="80"/>
      <c r="B128" s="96"/>
      <c r="C128" s="96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</row>
    <row r="129">
      <c r="A129" s="80"/>
      <c r="B129" s="96"/>
      <c r="C129" s="96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</row>
    <row r="130">
      <c r="A130" s="80"/>
      <c r="B130" s="96"/>
      <c r="C130" s="96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</row>
    <row r="131">
      <c r="A131" s="80"/>
      <c r="B131" s="96"/>
      <c r="C131" s="96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</row>
    <row r="132">
      <c r="A132" s="80"/>
      <c r="B132" s="96"/>
      <c r="C132" s="96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</row>
    <row r="133">
      <c r="A133" s="80"/>
      <c r="B133" s="96"/>
      <c r="C133" s="96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</row>
    <row r="134">
      <c r="A134" s="80"/>
      <c r="B134" s="96"/>
      <c r="C134" s="96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</row>
    <row r="135">
      <c r="A135" s="80"/>
      <c r="B135" s="96"/>
      <c r="C135" s="96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</row>
    <row r="136">
      <c r="A136" s="80"/>
      <c r="B136" s="96"/>
      <c r="C136" s="96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</row>
    <row r="137">
      <c r="A137" s="80"/>
      <c r="B137" s="96"/>
      <c r="C137" s="96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</row>
    <row r="138">
      <c r="A138" s="80"/>
      <c r="B138" s="96"/>
      <c r="C138" s="96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</row>
    <row r="139">
      <c r="A139" s="80"/>
      <c r="B139" s="96"/>
      <c r="C139" s="96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</row>
    <row r="140">
      <c r="A140" s="80"/>
      <c r="B140" s="96"/>
      <c r="C140" s="96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</row>
    <row r="141">
      <c r="A141" s="80"/>
      <c r="B141" s="96"/>
      <c r="C141" s="96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</row>
    <row r="142">
      <c r="A142" s="80"/>
      <c r="B142" s="96"/>
      <c r="C142" s="96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</row>
    <row r="143">
      <c r="A143" s="80"/>
      <c r="B143" s="96"/>
      <c r="C143" s="96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</row>
    <row r="144">
      <c r="A144" s="80"/>
      <c r="B144" s="96"/>
      <c r="C144" s="96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</row>
    <row r="145">
      <c r="A145" s="80"/>
      <c r="B145" s="96"/>
      <c r="C145" s="96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</row>
    <row r="146">
      <c r="A146" s="80"/>
      <c r="B146" s="96"/>
      <c r="C146" s="96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</row>
    <row r="147">
      <c r="A147" s="80"/>
      <c r="B147" s="96"/>
      <c r="C147" s="96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</row>
    <row r="148">
      <c r="A148" s="80"/>
      <c r="B148" s="96"/>
      <c r="C148" s="96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</row>
    <row r="149">
      <c r="A149" s="80"/>
      <c r="B149" s="96"/>
      <c r="C149" s="96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</row>
    <row r="150">
      <c r="A150" s="80"/>
      <c r="B150" s="96"/>
      <c r="C150" s="96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</row>
    <row r="151">
      <c r="A151" s="80"/>
      <c r="B151" s="96"/>
      <c r="C151" s="96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</row>
    <row r="152">
      <c r="A152" s="80"/>
      <c r="B152" s="96"/>
      <c r="C152" s="96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</row>
    <row r="153">
      <c r="A153" s="80"/>
      <c r="B153" s="96"/>
      <c r="C153" s="96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</row>
    <row r="154">
      <c r="A154" s="80"/>
      <c r="B154" s="96"/>
      <c r="C154" s="96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</row>
    <row r="155">
      <c r="A155" s="80"/>
      <c r="B155" s="96"/>
      <c r="C155" s="96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</row>
    <row r="156">
      <c r="A156" s="80"/>
      <c r="B156" s="96"/>
      <c r="C156" s="96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</row>
    <row r="157">
      <c r="A157" s="80"/>
      <c r="B157" s="96"/>
      <c r="C157" s="96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</row>
    <row r="158">
      <c r="A158" s="80"/>
      <c r="B158" s="96"/>
      <c r="C158" s="96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</row>
    <row r="159">
      <c r="A159" s="80"/>
      <c r="B159" s="96"/>
      <c r="C159" s="96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</row>
    <row r="160">
      <c r="A160" s="80"/>
      <c r="B160" s="96"/>
      <c r="C160" s="96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</row>
    <row r="161">
      <c r="A161" s="80"/>
      <c r="B161" s="96"/>
      <c r="C161" s="96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</row>
    <row r="162">
      <c r="A162" s="80"/>
      <c r="B162" s="96"/>
      <c r="C162" s="96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</row>
    <row r="163">
      <c r="A163" s="80"/>
      <c r="B163" s="96"/>
      <c r="C163" s="96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</row>
    <row r="164">
      <c r="A164" s="80"/>
      <c r="B164" s="96"/>
      <c r="C164" s="96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</row>
    <row r="165">
      <c r="A165" s="80"/>
      <c r="B165" s="96"/>
      <c r="C165" s="96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</row>
    <row r="166">
      <c r="A166" s="80"/>
      <c r="B166" s="96"/>
      <c r="C166" s="96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</row>
    <row r="167">
      <c r="A167" s="80"/>
      <c r="B167" s="96"/>
      <c r="C167" s="96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</row>
    <row r="168">
      <c r="A168" s="80"/>
      <c r="B168" s="96"/>
      <c r="C168" s="96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</row>
    <row r="169">
      <c r="A169" s="80"/>
      <c r="B169" s="96"/>
      <c r="C169" s="96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</row>
    <row r="170">
      <c r="A170" s="80"/>
      <c r="B170" s="96"/>
      <c r="C170" s="96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</row>
    <row r="171">
      <c r="A171" s="80"/>
      <c r="B171" s="96"/>
      <c r="C171" s="96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</row>
    <row r="172">
      <c r="A172" s="80"/>
      <c r="B172" s="96"/>
      <c r="C172" s="96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</row>
    <row r="173">
      <c r="A173" s="80"/>
      <c r="B173" s="96"/>
      <c r="C173" s="96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</row>
    <row r="174">
      <c r="A174" s="80"/>
      <c r="B174" s="96"/>
      <c r="C174" s="96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</row>
    <row r="175">
      <c r="A175" s="80"/>
      <c r="B175" s="96"/>
      <c r="C175" s="96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</row>
    <row r="176">
      <c r="A176" s="80"/>
      <c r="B176" s="96"/>
      <c r="C176" s="96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</row>
    <row r="177">
      <c r="A177" s="80"/>
      <c r="B177" s="96"/>
      <c r="C177" s="96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</row>
    <row r="178">
      <c r="A178" s="80"/>
      <c r="B178" s="96"/>
      <c r="C178" s="96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</row>
    <row r="179">
      <c r="A179" s="80"/>
      <c r="B179" s="96"/>
      <c r="C179" s="96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</row>
    <row r="180">
      <c r="A180" s="80"/>
      <c r="B180" s="96"/>
      <c r="C180" s="96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</row>
    <row r="181">
      <c r="A181" s="80"/>
      <c r="B181" s="96"/>
      <c r="C181" s="96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</row>
    <row r="182">
      <c r="A182" s="80"/>
      <c r="B182" s="96"/>
      <c r="C182" s="96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</row>
    <row r="183">
      <c r="A183" s="80"/>
      <c r="B183" s="96"/>
      <c r="C183" s="96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</row>
    <row r="184">
      <c r="A184" s="80"/>
      <c r="B184" s="96"/>
      <c r="C184" s="96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</row>
    <row r="185">
      <c r="A185" s="80"/>
      <c r="B185" s="96"/>
      <c r="C185" s="96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</row>
    <row r="186">
      <c r="A186" s="80"/>
      <c r="B186" s="96"/>
      <c r="C186" s="96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</row>
    <row r="187">
      <c r="A187" s="80"/>
      <c r="B187" s="96"/>
      <c r="C187" s="96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</row>
    <row r="188">
      <c r="A188" s="80"/>
      <c r="B188" s="96"/>
      <c r="C188" s="96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</row>
    <row r="189">
      <c r="A189" s="80"/>
      <c r="B189" s="96"/>
      <c r="C189" s="96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</row>
    <row r="190">
      <c r="A190" s="80"/>
      <c r="B190" s="96"/>
      <c r="C190" s="96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</row>
    <row r="191">
      <c r="A191" s="80"/>
      <c r="B191" s="96"/>
      <c r="C191" s="96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</row>
    <row r="192">
      <c r="A192" s="80"/>
      <c r="B192" s="96"/>
      <c r="C192" s="96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</row>
    <row r="193">
      <c r="A193" s="80"/>
      <c r="B193" s="96"/>
      <c r="C193" s="96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</row>
    <row r="194">
      <c r="A194" s="80"/>
      <c r="B194" s="96"/>
      <c r="C194" s="96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</row>
    <row r="195">
      <c r="A195" s="80"/>
      <c r="B195" s="96"/>
      <c r="C195" s="96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</row>
    <row r="196">
      <c r="A196" s="80"/>
      <c r="B196" s="96"/>
      <c r="C196" s="96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</row>
    <row r="197">
      <c r="A197" s="80"/>
      <c r="B197" s="96"/>
      <c r="C197" s="96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</row>
    <row r="198">
      <c r="A198" s="80"/>
      <c r="B198" s="96"/>
      <c r="C198" s="96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</row>
    <row r="199">
      <c r="A199" s="80"/>
      <c r="B199" s="96"/>
      <c r="C199" s="96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</row>
    <row r="200">
      <c r="A200" s="80"/>
      <c r="B200" s="96"/>
      <c r="C200" s="96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</row>
    <row r="201">
      <c r="A201" s="80"/>
      <c r="B201" s="96"/>
      <c r="C201" s="96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</row>
    <row r="202">
      <c r="A202" s="80"/>
      <c r="B202" s="96"/>
      <c r="C202" s="96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</row>
    <row r="203">
      <c r="A203" s="80"/>
      <c r="B203" s="96"/>
      <c r="C203" s="96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</row>
    <row r="204">
      <c r="A204" s="80"/>
      <c r="B204" s="96"/>
      <c r="C204" s="96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</row>
    <row r="205">
      <c r="A205" s="80"/>
      <c r="B205" s="96"/>
      <c r="C205" s="96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</row>
    <row r="206">
      <c r="A206" s="80"/>
      <c r="B206" s="96"/>
      <c r="C206" s="96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</row>
    <row r="207">
      <c r="A207" s="80"/>
      <c r="B207" s="96"/>
      <c r="C207" s="96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</row>
    <row r="208">
      <c r="A208" s="80"/>
      <c r="B208" s="96"/>
      <c r="C208" s="96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</row>
    <row r="209">
      <c r="A209" s="80"/>
      <c r="B209" s="96"/>
      <c r="C209" s="96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</row>
    <row r="210">
      <c r="A210" s="80"/>
      <c r="B210" s="96"/>
      <c r="C210" s="96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</row>
    <row r="211">
      <c r="A211" s="80"/>
      <c r="B211" s="96"/>
      <c r="C211" s="96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</row>
    <row r="212">
      <c r="A212" s="80"/>
      <c r="B212" s="96"/>
      <c r="C212" s="96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</row>
    <row r="213">
      <c r="A213" s="80"/>
      <c r="B213" s="96"/>
      <c r="C213" s="96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</row>
    <row r="214">
      <c r="A214" s="80"/>
      <c r="B214" s="96"/>
      <c r="C214" s="96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</row>
    <row r="215">
      <c r="A215" s="80"/>
      <c r="B215" s="96"/>
      <c r="C215" s="96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</row>
    <row r="216">
      <c r="A216" s="80"/>
      <c r="B216" s="96"/>
      <c r="C216" s="96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</row>
    <row r="217">
      <c r="A217" s="80"/>
      <c r="B217" s="96"/>
      <c r="C217" s="96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</row>
    <row r="218">
      <c r="A218" s="80"/>
      <c r="B218" s="96"/>
      <c r="C218" s="96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</row>
    <row r="219">
      <c r="A219" s="80"/>
      <c r="B219" s="96"/>
      <c r="C219" s="96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</row>
    <row r="220">
      <c r="A220" s="80"/>
      <c r="B220" s="96"/>
      <c r="C220" s="96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</row>
    <row r="221">
      <c r="A221" s="80"/>
      <c r="B221" s="96"/>
      <c r="C221" s="96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</row>
    <row r="222">
      <c r="A222" s="80"/>
      <c r="B222" s="96"/>
      <c r="C222" s="96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</row>
    <row r="223">
      <c r="A223" s="80"/>
      <c r="B223" s="96"/>
      <c r="C223" s="96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</row>
    <row r="224">
      <c r="A224" s="80"/>
      <c r="B224" s="96"/>
      <c r="C224" s="96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</row>
    <row r="225">
      <c r="A225" s="80"/>
      <c r="B225" s="96"/>
      <c r="C225" s="96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</row>
    <row r="226">
      <c r="A226" s="80"/>
      <c r="B226" s="96"/>
      <c r="C226" s="96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</row>
    <row r="227">
      <c r="A227" s="80"/>
      <c r="B227" s="96"/>
      <c r="C227" s="96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</row>
    <row r="228">
      <c r="A228" s="80"/>
      <c r="B228" s="96"/>
      <c r="C228" s="96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</row>
    <row r="229">
      <c r="A229" s="80"/>
      <c r="B229" s="96"/>
      <c r="C229" s="96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</row>
    <row r="230">
      <c r="A230" s="80"/>
      <c r="B230" s="96"/>
      <c r="C230" s="96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</row>
    <row r="231">
      <c r="A231" s="80"/>
      <c r="B231" s="96"/>
      <c r="C231" s="96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</row>
    <row r="232">
      <c r="A232" s="80"/>
      <c r="B232" s="96"/>
      <c r="C232" s="96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</row>
    <row r="233">
      <c r="A233" s="80"/>
      <c r="B233" s="96"/>
      <c r="C233" s="96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</row>
    <row r="234">
      <c r="A234" s="80"/>
      <c r="B234" s="96"/>
      <c r="C234" s="96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</row>
    <row r="235">
      <c r="A235" s="80"/>
      <c r="B235" s="96"/>
      <c r="C235" s="96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</row>
    <row r="236">
      <c r="A236" s="80"/>
      <c r="B236" s="96"/>
      <c r="C236" s="96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</row>
    <row r="237">
      <c r="A237" s="80"/>
      <c r="B237" s="96"/>
      <c r="C237" s="96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</row>
    <row r="238">
      <c r="A238" s="80"/>
      <c r="B238" s="96"/>
      <c r="C238" s="96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</row>
    <row r="239">
      <c r="A239" s="80"/>
      <c r="B239" s="96"/>
      <c r="C239" s="96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</row>
    <row r="240">
      <c r="A240" s="80"/>
      <c r="B240" s="96"/>
      <c r="C240" s="96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</row>
    <row r="241">
      <c r="A241" s="80"/>
      <c r="B241" s="96"/>
      <c r="C241" s="96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</row>
    <row r="242">
      <c r="A242" s="80"/>
      <c r="B242" s="96"/>
      <c r="C242" s="96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</row>
    <row r="243">
      <c r="A243" s="80"/>
      <c r="B243" s="96"/>
      <c r="C243" s="96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</row>
    <row r="244">
      <c r="A244" s="80"/>
      <c r="B244" s="96"/>
      <c r="C244" s="96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</row>
    <row r="245">
      <c r="A245" s="80"/>
      <c r="B245" s="96"/>
      <c r="C245" s="96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</row>
    <row r="246">
      <c r="A246" s="80"/>
      <c r="B246" s="96"/>
      <c r="C246" s="96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</row>
    <row r="247">
      <c r="A247" s="80"/>
      <c r="B247" s="96"/>
      <c r="C247" s="96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</row>
    <row r="248">
      <c r="A248" s="80"/>
      <c r="B248" s="96"/>
      <c r="C248" s="96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</row>
    <row r="249">
      <c r="A249" s="80"/>
      <c r="B249" s="96"/>
      <c r="C249" s="96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</row>
    <row r="250">
      <c r="A250" s="80"/>
      <c r="B250" s="96"/>
      <c r="C250" s="96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</row>
    <row r="251">
      <c r="A251" s="80"/>
      <c r="B251" s="96"/>
      <c r="C251" s="96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</row>
    <row r="252">
      <c r="A252" s="80"/>
      <c r="B252" s="96"/>
      <c r="C252" s="96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</row>
    <row r="253">
      <c r="A253" s="80"/>
      <c r="B253" s="96"/>
      <c r="C253" s="96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</row>
    <row r="254">
      <c r="A254" s="80"/>
      <c r="B254" s="96"/>
      <c r="C254" s="96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</row>
    <row r="255">
      <c r="A255" s="80"/>
      <c r="B255" s="96"/>
      <c r="C255" s="96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</row>
    <row r="256">
      <c r="A256" s="80"/>
      <c r="B256" s="96"/>
      <c r="C256" s="96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</row>
    <row r="257">
      <c r="A257" s="80"/>
      <c r="B257" s="96"/>
      <c r="C257" s="96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</row>
    <row r="258">
      <c r="A258" s="80"/>
      <c r="B258" s="96"/>
      <c r="C258" s="96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</row>
    <row r="259">
      <c r="A259" s="80"/>
      <c r="B259" s="96"/>
      <c r="C259" s="96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</row>
    <row r="260">
      <c r="A260" s="80"/>
      <c r="B260" s="96"/>
      <c r="C260" s="96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</row>
    <row r="261">
      <c r="A261" s="80"/>
      <c r="B261" s="96"/>
      <c r="C261" s="96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</row>
    <row r="262">
      <c r="A262" s="80"/>
      <c r="B262" s="96"/>
      <c r="C262" s="96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</row>
    <row r="263">
      <c r="A263" s="80"/>
      <c r="B263" s="96"/>
      <c r="C263" s="96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</row>
    <row r="264">
      <c r="A264" s="80"/>
      <c r="B264" s="96"/>
      <c r="C264" s="96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</row>
    <row r="265">
      <c r="A265" s="80"/>
      <c r="B265" s="96"/>
      <c r="C265" s="96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</row>
    <row r="266">
      <c r="A266" s="80"/>
      <c r="B266" s="96"/>
      <c r="C266" s="96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</row>
    <row r="267">
      <c r="A267" s="80"/>
      <c r="B267" s="96"/>
      <c r="C267" s="96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</row>
    <row r="268">
      <c r="A268" s="80"/>
      <c r="B268" s="96"/>
      <c r="C268" s="96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</row>
    <row r="269">
      <c r="A269" s="80"/>
      <c r="B269" s="96"/>
      <c r="C269" s="96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</row>
    <row r="270">
      <c r="A270" s="80"/>
      <c r="B270" s="96"/>
      <c r="C270" s="96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</row>
    <row r="271">
      <c r="A271" s="80"/>
      <c r="B271" s="96"/>
      <c r="C271" s="96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</row>
    <row r="272">
      <c r="A272" s="80"/>
      <c r="B272" s="96"/>
      <c r="C272" s="96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</row>
    <row r="273">
      <c r="A273" s="80"/>
      <c r="B273" s="96"/>
      <c r="C273" s="96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</row>
    <row r="274">
      <c r="A274" s="80"/>
      <c r="B274" s="96"/>
      <c r="C274" s="96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</row>
    <row r="275">
      <c r="A275" s="80"/>
      <c r="B275" s="96"/>
      <c r="C275" s="96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</row>
    <row r="276">
      <c r="A276" s="80"/>
      <c r="B276" s="96"/>
      <c r="C276" s="96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</row>
    <row r="277">
      <c r="A277" s="80"/>
      <c r="B277" s="96"/>
      <c r="C277" s="96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</row>
    <row r="278">
      <c r="A278" s="80"/>
      <c r="B278" s="96"/>
      <c r="C278" s="96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</row>
    <row r="279">
      <c r="A279" s="80"/>
      <c r="B279" s="96"/>
      <c r="C279" s="96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</row>
    <row r="280">
      <c r="A280" s="80"/>
      <c r="B280" s="96"/>
      <c r="C280" s="96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</row>
    <row r="281">
      <c r="A281" s="80"/>
      <c r="B281" s="96"/>
      <c r="C281" s="96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</row>
    <row r="282">
      <c r="A282" s="80"/>
      <c r="B282" s="96"/>
      <c r="C282" s="96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</row>
    <row r="283">
      <c r="A283" s="80"/>
      <c r="B283" s="96"/>
      <c r="C283" s="96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</row>
    <row r="284">
      <c r="A284" s="80"/>
      <c r="B284" s="96"/>
      <c r="C284" s="96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</row>
    <row r="285">
      <c r="A285" s="80"/>
      <c r="B285" s="96"/>
      <c r="C285" s="96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</row>
    <row r="286">
      <c r="A286" s="80"/>
      <c r="B286" s="96"/>
      <c r="C286" s="96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</row>
    <row r="287">
      <c r="A287" s="80"/>
      <c r="B287" s="96"/>
      <c r="C287" s="96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</row>
    <row r="288">
      <c r="A288" s="80"/>
      <c r="B288" s="96"/>
      <c r="C288" s="96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</row>
    <row r="289">
      <c r="A289" s="80"/>
      <c r="B289" s="96"/>
      <c r="C289" s="96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</row>
    <row r="290">
      <c r="A290" s="80"/>
      <c r="B290" s="96"/>
      <c r="C290" s="96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</row>
    <row r="291">
      <c r="A291" s="80"/>
      <c r="B291" s="96"/>
      <c r="C291" s="96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</row>
    <row r="292">
      <c r="A292" s="80"/>
      <c r="B292" s="96"/>
      <c r="C292" s="96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</row>
    <row r="293">
      <c r="A293" s="80"/>
      <c r="B293" s="96"/>
      <c r="C293" s="96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</row>
    <row r="294">
      <c r="A294" s="80"/>
      <c r="B294" s="96"/>
      <c r="C294" s="96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</row>
    <row r="295">
      <c r="A295" s="80"/>
      <c r="B295" s="96"/>
      <c r="C295" s="96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</row>
    <row r="296">
      <c r="A296" s="80"/>
      <c r="B296" s="96"/>
      <c r="C296" s="96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</row>
    <row r="297">
      <c r="A297" s="80"/>
      <c r="B297" s="96"/>
      <c r="C297" s="96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</row>
    <row r="298">
      <c r="A298" s="80"/>
      <c r="B298" s="96"/>
      <c r="C298" s="96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</row>
    <row r="299">
      <c r="A299" s="80"/>
      <c r="B299" s="96"/>
      <c r="C299" s="96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</row>
    <row r="300">
      <c r="A300" s="80"/>
      <c r="B300" s="96"/>
      <c r="C300" s="96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</row>
    <row r="301">
      <c r="A301" s="80"/>
      <c r="B301" s="96"/>
      <c r="C301" s="96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</row>
    <row r="302">
      <c r="A302" s="80"/>
      <c r="B302" s="96"/>
      <c r="C302" s="96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</row>
    <row r="303">
      <c r="A303" s="80"/>
      <c r="B303" s="96"/>
      <c r="C303" s="96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</row>
    <row r="304">
      <c r="A304" s="80"/>
      <c r="B304" s="96"/>
      <c r="C304" s="96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</row>
    <row r="305">
      <c r="A305" s="80"/>
      <c r="B305" s="96"/>
      <c r="C305" s="96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</row>
    <row r="306">
      <c r="A306" s="80"/>
      <c r="B306" s="96"/>
      <c r="C306" s="96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</row>
    <row r="307">
      <c r="A307" s="80"/>
      <c r="B307" s="96"/>
      <c r="C307" s="96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</row>
    <row r="308">
      <c r="A308" s="80"/>
      <c r="B308" s="96"/>
      <c r="C308" s="96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</row>
    <row r="309">
      <c r="A309" s="80"/>
      <c r="B309" s="96"/>
      <c r="C309" s="96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</row>
    <row r="310">
      <c r="A310" s="80"/>
      <c r="B310" s="96"/>
      <c r="C310" s="96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</row>
    <row r="311">
      <c r="A311" s="80"/>
      <c r="B311" s="96"/>
      <c r="C311" s="96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</row>
    <row r="312">
      <c r="A312" s="80"/>
      <c r="B312" s="96"/>
      <c r="C312" s="96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</row>
    <row r="313">
      <c r="A313" s="80"/>
      <c r="B313" s="96"/>
      <c r="C313" s="96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</row>
    <row r="314">
      <c r="A314" s="80"/>
      <c r="B314" s="96"/>
      <c r="C314" s="96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</row>
    <row r="315">
      <c r="A315" s="80"/>
      <c r="B315" s="96"/>
      <c r="C315" s="96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</row>
    <row r="316">
      <c r="A316" s="80"/>
      <c r="B316" s="96"/>
      <c r="C316" s="96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</row>
    <row r="317">
      <c r="A317" s="80"/>
      <c r="B317" s="96"/>
      <c r="C317" s="96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</row>
    <row r="318">
      <c r="A318" s="80"/>
      <c r="B318" s="96"/>
      <c r="C318" s="96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</row>
    <row r="319">
      <c r="A319" s="80"/>
      <c r="B319" s="96"/>
      <c r="C319" s="96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</row>
    <row r="320">
      <c r="A320" s="80"/>
      <c r="B320" s="96"/>
      <c r="C320" s="96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</row>
    <row r="321">
      <c r="A321" s="80"/>
      <c r="B321" s="96"/>
      <c r="C321" s="96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</row>
    <row r="322">
      <c r="A322" s="80"/>
      <c r="B322" s="96"/>
      <c r="C322" s="96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</row>
    <row r="323">
      <c r="A323" s="80"/>
      <c r="B323" s="96"/>
      <c r="C323" s="96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</row>
    <row r="324">
      <c r="A324" s="80"/>
      <c r="B324" s="96"/>
      <c r="C324" s="96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</row>
    <row r="325">
      <c r="A325" s="80"/>
      <c r="B325" s="96"/>
      <c r="C325" s="96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</row>
    <row r="326">
      <c r="A326" s="80"/>
      <c r="B326" s="96"/>
      <c r="C326" s="96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</row>
    <row r="327">
      <c r="A327" s="80"/>
      <c r="B327" s="96"/>
      <c r="C327" s="96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</row>
    <row r="328">
      <c r="A328" s="80"/>
      <c r="B328" s="96"/>
      <c r="C328" s="96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</row>
    <row r="329">
      <c r="A329" s="80"/>
      <c r="B329" s="96"/>
      <c r="C329" s="96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</row>
    <row r="330">
      <c r="A330" s="80"/>
      <c r="B330" s="96"/>
      <c r="C330" s="96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</row>
    <row r="331">
      <c r="A331" s="80"/>
      <c r="B331" s="96"/>
      <c r="C331" s="96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</row>
    <row r="332">
      <c r="A332" s="80"/>
      <c r="B332" s="96"/>
      <c r="C332" s="96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</row>
    <row r="333">
      <c r="A333" s="80"/>
      <c r="B333" s="96"/>
      <c r="C333" s="96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</row>
    <row r="334">
      <c r="A334" s="80"/>
      <c r="B334" s="96"/>
      <c r="C334" s="96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</row>
    <row r="335">
      <c r="A335" s="80"/>
      <c r="B335" s="96"/>
      <c r="C335" s="96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</row>
    <row r="336">
      <c r="A336" s="80"/>
      <c r="B336" s="96"/>
      <c r="C336" s="96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</row>
    <row r="337">
      <c r="A337" s="80"/>
      <c r="B337" s="96"/>
      <c r="C337" s="96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</row>
    <row r="338">
      <c r="A338" s="80"/>
      <c r="B338" s="96"/>
      <c r="C338" s="96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</row>
    <row r="339">
      <c r="A339" s="80"/>
      <c r="B339" s="96"/>
      <c r="C339" s="96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</row>
    <row r="340">
      <c r="A340" s="80"/>
      <c r="B340" s="96"/>
      <c r="C340" s="96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</row>
    <row r="341">
      <c r="A341" s="80"/>
      <c r="B341" s="96"/>
      <c r="C341" s="96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</row>
    <row r="342">
      <c r="A342" s="80"/>
      <c r="B342" s="96"/>
      <c r="C342" s="96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</row>
    <row r="343">
      <c r="A343" s="80"/>
      <c r="B343" s="96"/>
      <c r="C343" s="96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</row>
    <row r="344">
      <c r="A344" s="80"/>
      <c r="B344" s="96"/>
      <c r="C344" s="96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</row>
    <row r="345">
      <c r="A345" s="80"/>
      <c r="B345" s="96"/>
      <c r="C345" s="96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</row>
    <row r="346">
      <c r="A346" s="80"/>
      <c r="B346" s="96"/>
      <c r="C346" s="96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</row>
    <row r="347">
      <c r="A347" s="80"/>
      <c r="B347" s="96"/>
      <c r="C347" s="96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</row>
    <row r="348">
      <c r="A348" s="80"/>
      <c r="B348" s="96"/>
      <c r="C348" s="96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</row>
    <row r="349">
      <c r="A349" s="80"/>
      <c r="B349" s="96"/>
      <c r="C349" s="96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</row>
    <row r="350">
      <c r="A350" s="80"/>
      <c r="B350" s="96"/>
      <c r="C350" s="96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</row>
    <row r="351">
      <c r="A351" s="80"/>
      <c r="B351" s="96"/>
      <c r="C351" s="96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</row>
    <row r="352">
      <c r="A352" s="80"/>
      <c r="B352" s="96"/>
      <c r="C352" s="96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</row>
    <row r="353">
      <c r="A353" s="80"/>
      <c r="B353" s="96"/>
      <c r="C353" s="96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</row>
    <row r="354">
      <c r="A354" s="80"/>
      <c r="B354" s="96"/>
      <c r="C354" s="96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</row>
    <row r="355">
      <c r="A355" s="80"/>
      <c r="B355" s="96"/>
      <c r="C355" s="96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</row>
    <row r="356">
      <c r="A356" s="80"/>
      <c r="B356" s="96"/>
      <c r="C356" s="96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</row>
    <row r="357">
      <c r="A357" s="80"/>
      <c r="B357" s="96"/>
      <c r="C357" s="96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</row>
    <row r="358">
      <c r="A358" s="80"/>
      <c r="B358" s="96"/>
      <c r="C358" s="96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</row>
    <row r="359">
      <c r="A359" s="80"/>
      <c r="B359" s="96"/>
      <c r="C359" s="96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</row>
    <row r="360">
      <c r="A360" s="80"/>
      <c r="B360" s="96"/>
      <c r="C360" s="96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</row>
    <row r="361">
      <c r="A361" s="80"/>
      <c r="B361" s="96"/>
      <c r="C361" s="96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</row>
    <row r="362">
      <c r="A362" s="80"/>
      <c r="B362" s="96"/>
      <c r="C362" s="96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</row>
    <row r="363">
      <c r="A363" s="80"/>
      <c r="B363" s="96"/>
      <c r="C363" s="96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</row>
    <row r="364">
      <c r="A364" s="80"/>
      <c r="B364" s="96"/>
      <c r="C364" s="96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</row>
    <row r="365">
      <c r="A365" s="80"/>
      <c r="B365" s="96"/>
      <c r="C365" s="96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</row>
    <row r="366">
      <c r="A366" s="80"/>
      <c r="B366" s="96"/>
      <c r="C366" s="96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</row>
    <row r="367">
      <c r="A367" s="80"/>
      <c r="B367" s="96"/>
      <c r="C367" s="96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</row>
    <row r="368">
      <c r="A368" s="80"/>
      <c r="B368" s="96"/>
      <c r="C368" s="96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</row>
    <row r="369">
      <c r="A369" s="80"/>
      <c r="B369" s="96"/>
      <c r="C369" s="96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</row>
    <row r="370">
      <c r="A370" s="80"/>
      <c r="B370" s="96"/>
      <c r="C370" s="96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</row>
    <row r="371">
      <c r="A371" s="80"/>
      <c r="B371" s="96"/>
      <c r="C371" s="96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</row>
    <row r="372">
      <c r="A372" s="80"/>
      <c r="B372" s="96"/>
      <c r="C372" s="96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</row>
    <row r="373">
      <c r="A373" s="80"/>
      <c r="B373" s="96"/>
      <c r="C373" s="96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</row>
    <row r="374">
      <c r="A374" s="80"/>
      <c r="B374" s="96"/>
      <c r="C374" s="96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</row>
    <row r="375">
      <c r="A375" s="80"/>
      <c r="B375" s="96"/>
      <c r="C375" s="96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</row>
    <row r="376">
      <c r="A376" s="80"/>
      <c r="B376" s="96"/>
      <c r="C376" s="96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</row>
    <row r="377">
      <c r="A377" s="80"/>
      <c r="B377" s="96"/>
      <c r="C377" s="96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</row>
    <row r="378">
      <c r="A378" s="80"/>
      <c r="B378" s="96"/>
      <c r="C378" s="96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</row>
    <row r="379">
      <c r="A379" s="80"/>
      <c r="B379" s="96"/>
      <c r="C379" s="96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</row>
    <row r="380">
      <c r="A380" s="80"/>
      <c r="B380" s="96"/>
      <c r="C380" s="96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</row>
    <row r="381">
      <c r="A381" s="80"/>
      <c r="B381" s="96"/>
      <c r="C381" s="96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</row>
    <row r="382">
      <c r="A382" s="80"/>
      <c r="B382" s="96"/>
      <c r="C382" s="96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</row>
    <row r="383">
      <c r="A383" s="80"/>
      <c r="B383" s="96"/>
      <c r="C383" s="96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</row>
    <row r="384">
      <c r="A384" s="80"/>
      <c r="B384" s="96"/>
      <c r="C384" s="96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</row>
    <row r="385">
      <c r="A385" s="80"/>
      <c r="B385" s="96"/>
      <c r="C385" s="96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</row>
    <row r="386">
      <c r="A386" s="80"/>
      <c r="B386" s="96"/>
      <c r="C386" s="96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</row>
    <row r="387">
      <c r="A387" s="80"/>
      <c r="B387" s="96"/>
      <c r="C387" s="96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</row>
    <row r="388">
      <c r="A388" s="80"/>
      <c r="B388" s="96"/>
      <c r="C388" s="96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</row>
    <row r="389">
      <c r="A389" s="80"/>
      <c r="B389" s="96"/>
      <c r="C389" s="96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</row>
    <row r="390">
      <c r="A390" s="80"/>
      <c r="B390" s="96"/>
      <c r="C390" s="96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</row>
    <row r="391">
      <c r="A391" s="80"/>
      <c r="B391" s="96"/>
      <c r="C391" s="96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</row>
    <row r="392">
      <c r="A392" s="80"/>
      <c r="B392" s="96"/>
      <c r="C392" s="96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</row>
    <row r="393">
      <c r="A393" s="80"/>
      <c r="B393" s="96"/>
      <c r="C393" s="96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</row>
    <row r="394">
      <c r="A394" s="80"/>
      <c r="B394" s="96"/>
      <c r="C394" s="96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</row>
    <row r="395">
      <c r="A395" s="80"/>
      <c r="B395" s="96"/>
      <c r="C395" s="96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</row>
    <row r="396">
      <c r="A396" s="80"/>
      <c r="B396" s="96"/>
      <c r="C396" s="96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</row>
    <row r="397">
      <c r="A397" s="80"/>
      <c r="B397" s="96"/>
      <c r="C397" s="96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</row>
    <row r="398">
      <c r="A398" s="80"/>
      <c r="B398" s="96"/>
      <c r="C398" s="96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</row>
    <row r="399">
      <c r="A399" s="80"/>
      <c r="B399" s="96"/>
      <c r="C399" s="96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</row>
    <row r="400">
      <c r="A400" s="80"/>
      <c r="B400" s="96"/>
      <c r="C400" s="96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</row>
    <row r="401">
      <c r="A401" s="80"/>
      <c r="B401" s="96"/>
      <c r="C401" s="96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</row>
    <row r="402">
      <c r="A402" s="80"/>
      <c r="B402" s="96"/>
      <c r="C402" s="96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</row>
    <row r="403">
      <c r="A403" s="80"/>
      <c r="B403" s="96"/>
      <c r="C403" s="96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</row>
    <row r="404">
      <c r="A404" s="80"/>
      <c r="B404" s="96"/>
      <c r="C404" s="96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</row>
    <row r="405">
      <c r="A405" s="80"/>
      <c r="B405" s="96"/>
      <c r="C405" s="96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</row>
    <row r="406">
      <c r="A406" s="80"/>
      <c r="B406" s="96"/>
      <c r="C406" s="96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</row>
    <row r="407">
      <c r="A407" s="80"/>
      <c r="B407" s="96"/>
      <c r="C407" s="96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</row>
    <row r="408">
      <c r="A408" s="80"/>
      <c r="B408" s="96"/>
      <c r="C408" s="96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</row>
    <row r="409">
      <c r="A409" s="80"/>
      <c r="B409" s="96"/>
      <c r="C409" s="96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</row>
    <row r="410">
      <c r="A410" s="80"/>
      <c r="B410" s="96"/>
      <c r="C410" s="96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</row>
    <row r="411">
      <c r="A411" s="80"/>
      <c r="B411" s="96"/>
      <c r="C411" s="96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</row>
    <row r="412">
      <c r="A412" s="80"/>
      <c r="B412" s="96"/>
      <c r="C412" s="96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</row>
    <row r="413">
      <c r="A413" s="80"/>
      <c r="B413" s="96"/>
      <c r="C413" s="96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</row>
    <row r="414">
      <c r="A414" s="80"/>
      <c r="B414" s="96"/>
      <c r="C414" s="96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</row>
    <row r="415">
      <c r="A415" s="80"/>
      <c r="B415" s="96"/>
      <c r="C415" s="96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</row>
    <row r="416">
      <c r="A416" s="80"/>
      <c r="B416" s="96"/>
      <c r="C416" s="96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</row>
    <row r="417">
      <c r="A417" s="80"/>
      <c r="B417" s="96"/>
      <c r="C417" s="96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</row>
    <row r="418">
      <c r="A418" s="80"/>
      <c r="B418" s="96"/>
      <c r="C418" s="96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</row>
    <row r="419">
      <c r="A419" s="80"/>
      <c r="B419" s="96"/>
      <c r="C419" s="96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</row>
    <row r="420">
      <c r="A420" s="80"/>
      <c r="B420" s="96"/>
      <c r="C420" s="96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</row>
    <row r="421">
      <c r="A421" s="80"/>
      <c r="B421" s="96"/>
      <c r="C421" s="96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</row>
    <row r="422">
      <c r="A422" s="80"/>
      <c r="B422" s="96"/>
      <c r="C422" s="96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</row>
    <row r="423">
      <c r="A423" s="80"/>
      <c r="B423" s="96"/>
      <c r="C423" s="96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</row>
    <row r="424">
      <c r="A424" s="80"/>
      <c r="B424" s="96"/>
      <c r="C424" s="96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</row>
    <row r="425">
      <c r="A425" s="80"/>
      <c r="B425" s="96"/>
      <c r="C425" s="96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</row>
    <row r="426">
      <c r="A426" s="80"/>
      <c r="B426" s="96"/>
      <c r="C426" s="96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</row>
    <row r="427">
      <c r="A427" s="80"/>
      <c r="B427" s="96"/>
      <c r="C427" s="96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</row>
    <row r="428">
      <c r="A428" s="80"/>
      <c r="B428" s="96"/>
      <c r="C428" s="96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</row>
    <row r="429">
      <c r="A429" s="80"/>
      <c r="B429" s="96"/>
      <c r="C429" s="96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</row>
    <row r="430">
      <c r="A430" s="80"/>
      <c r="B430" s="96"/>
      <c r="C430" s="96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</row>
    <row r="431">
      <c r="A431" s="80"/>
      <c r="B431" s="96"/>
      <c r="C431" s="96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</row>
    <row r="432">
      <c r="A432" s="80"/>
      <c r="B432" s="96"/>
      <c r="C432" s="96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</row>
    <row r="433">
      <c r="A433" s="80"/>
      <c r="B433" s="96"/>
      <c r="C433" s="96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</row>
    <row r="434">
      <c r="A434" s="80"/>
      <c r="B434" s="96"/>
      <c r="C434" s="96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</row>
    <row r="435">
      <c r="A435" s="80"/>
      <c r="B435" s="96"/>
      <c r="C435" s="96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</row>
    <row r="436">
      <c r="A436" s="80"/>
      <c r="B436" s="96"/>
      <c r="C436" s="96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</row>
    <row r="437">
      <c r="A437" s="80"/>
      <c r="B437" s="96"/>
      <c r="C437" s="96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</row>
    <row r="438">
      <c r="A438" s="80"/>
      <c r="B438" s="96"/>
      <c r="C438" s="96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</row>
    <row r="439">
      <c r="A439" s="80"/>
      <c r="B439" s="96"/>
      <c r="C439" s="96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</row>
    <row r="440">
      <c r="A440" s="80"/>
      <c r="B440" s="96"/>
      <c r="C440" s="96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</row>
    <row r="441">
      <c r="A441" s="80"/>
      <c r="B441" s="96"/>
      <c r="C441" s="96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</row>
    <row r="442">
      <c r="A442" s="80"/>
      <c r="B442" s="96"/>
      <c r="C442" s="96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</row>
    <row r="443">
      <c r="A443" s="80"/>
      <c r="B443" s="96"/>
      <c r="C443" s="96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</row>
    <row r="444">
      <c r="A444" s="80"/>
      <c r="B444" s="96"/>
      <c r="C444" s="96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</row>
    <row r="445">
      <c r="A445" s="80"/>
      <c r="B445" s="96"/>
      <c r="C445" s="96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</row>
    <row r="446">
      <c r="A446" s="80"/>
      <c r="B446" s="96"/>
      <c r="C446" s="96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</row>
    <row r="447">
      <c r="A447" s="80"/>
      <c r="B447" s="96"/>
      <c r="C447" s="96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</row>
    <row r="448">
      <c r="A448" s="80"/>
      <c r="B448" s="96"/>
      <c r="C448" s="96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</row>
    <row r="449">
      <c r="A449" s="80"/>
      <c r="B449" s="96"/>
      <c r="C449" s="96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</row>
    <row r="450">
      <c r="A450" s="80"/>
      <c r="B450" s="96"/>
      <c r="C450" s="96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</row>
    <row r="451">
      <c r="A451" s="80"/>
      <c r="B451" s="96"/>
      <c r="C451" s="96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</row>
    <row r="452">
      <c r="A452" s="80"/>
      <c r="B452" s="96"/>
      <c r="C452" s="96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</row>
    <row r="453">
      <c r="A453" s="80"/>
      <c r="B453" s="96"/>
      <c r="C453" s="96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</row>
    <row r="454">
      <c r="A454" s="80"/>
      <c r="B454" s="96"/>
      <c r="C454" s="96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</row>
    <row r="455">
      <c r="A455" s="80"/>
      <c r="B455" s="96"/>
      <c r="C455" s="96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</row>
    <row r="456">
      <c r="A456" s="80"/>
      <c r="B456" s="96"/>
      <c r="C456" s="96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</row>
    <row r="457">
      <c r="A457" s="80"/>
      <c r="B457" s="96"/>
      <c r="C457" s="96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</row>
    <row r="458">
      <c r="A458" s="80"/>
      <c r="B458" s="96"/>
      <c r="C458" s="96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</row>
    <row r="459">
      <c r="A459" s="80"/>
      <c r="B459" s="96"/>
      <c r="C459" s="96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</row>
    <row r="460">
      <c r="A460" s="80"/>
      <c r="B460" s="96"/>
      <c r="C460" s="96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</row>
    <row r="461">
      <c r="A461" s="80"/>
      <c r="B461" s="96"/>
      <c r="C461" s="96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</row>
    <row r="462">
      <c r="A462" s="80"/>
      <c r="B462" s="96"/>
      <c r="C462" s="96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</row>
    <row r="463">
      <c r="A463" s="80"/>
      <c r="B463" s="96"/>
      <c r="C463" s="96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</row>
    <row r="464">
      <c r="A464" s="80"/>
      <c r="B464" s="96"/>
      <c r="C464" s="96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</row>
    <row r="465">
      <c r="A465" s="80"/>
      <c r="B465" s="96"/>
      <c r="C465" s="96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</row>
    <row r="466">
      <c r="A466" s="80"/>
      <c r="B466" s="96"/>
      <c r="C466" s="96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</row>
    <row r="467">
      <c r="A467" s="80"/>
      <c r="B467" s="96"/>
      <c r="C467" s="96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</row>
    <row r="468">
      <c r="A468" s="80"/>
      <c r="B468" s="96"/>
      <c r="C468" s="96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</row>
    <row r="469">
      <c r="A469" s="80"/>
      <c r="B469" s="96"/>
      <c r="C469" s="96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</row>
    <row r="470">
      <c r="A470" s="80"/>
      <c r="B470" s="96"/>
      <c r="C470" s="96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</row>
    <row r="471">
      <c r="A471" s="80"/>
      <c r="B471" s="96"/>
      <c r="C471" s="96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</row>
    <row r="472">
      <c r="A472" s="80"/>
      <c r="B472" s="96"/>
      <c r="C472" s="96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</row>
    <row r="473">
      <c r="A473" s="80"/>
      <c r="B473" s="96"/>
      <c r="C473" s="96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</row>
    <row r="474">
      <c r="A474" s="80"/>
      <c r="B474" s="96"/>
      <c r="C474" s="96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</row>
    <row r="475">
      <c r="A475" s="80"/>
      <c r="B475" s="96"/>
      <c r="C475" s="96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</row>
    <row r="476">
      <c r="A476" s="80"/>
      <c r="B476" s="96"/>
      <c r="C476" s="96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</row>
    <row r="477">
      <c r="A477" s="80"/>
      <c r="B477" s="96"/>
      <c r="C477" s="96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</row>
    <row r="478">
      <c r="A478" s="80"/>
      <c r="B478" s="96"/>
      <c r="C478" s="96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</row>
    <row r="479">
      <c r="A479" s="80"/>
      <c r="B479" s="96"/>
      <c r="C479" s="96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</row>
    <row r="480">
      <c r="A480" s="80"/>
      <c r="B480" s="96"/>
      <c r="C480" s="96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</row>
    <row r="481">
      <c r="A481" s="80"/>
      <c r="B481" s="96"/>
      <c r="C481" s="96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</row>
    <row r="482">
      <c r="A482" s="80"/>
      <c r="B482" s="96"/>
      <c r="C482" s="96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</row>
    <row r="483">
      <c r="A483" s="80"/>
      <c r="B483" s="96"/>
      <c r="C483" s="96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</row>
    <row r="484">
      <c r="A484" s="80"/>
      <c r="B484" s="96"/>
      <c r="C484" s="96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</row>
    <row r="485">
      <c r="A485" s="80"/>
      <c r="B485" s="96"/>
      <c r="C485" s="96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</row>
    <row r="486">
      <c r="A486" s="80"/>
      <c r="B486" s="96"/>
      <c r="C486" s="96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</row>
    <row r="487">
      <c r="A487" s="80"/>
      <c r="B487" s="96"/>
      <c r="C487" s="96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</row>
    <row r="488">
      <c r="A488" s="80"/>
      <c r="B488" s="96"/>
      <c r="C488" s="96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</row>
    <row r="489">
      <c r="A489" s="80"/>
      <c r="B489" s="96"/>
      <c r="C489" s="96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</row>
    <row r="490">
      <c r="A490" s="80"/>
      <c r="B490" s="96"/>
      <c r="C490" s="96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</row>
    <row r="491">
      <c r="A491" s="80"/>
      <c r="B491" s="96"/>
      <c r="C491" s="96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</row>
    <row r="492">
      <c r="A492" s="80"/>
      <c r="B492" s="96"/>
      <c r="C492" s="96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</row>
    <row r="493">
      <c r="A493" s="80"/>
      <c r="B493" s="96"/>
      <c r="C493" s="96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</row>
    <row r="494">
      <c r="A494" s="80"/>
      <c r="B494" s="96"/>
      <c r="C494" s="96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</row>
    <row r="495">
      <c r="A495" s="80"/>
      <c r="B495" s="96"/>
      <c r="C495" s="96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</row>
    <row r="496">
      <c r="A496" s="80"/>
      <c r="B496" s="96"/>
      <c r="C496" s="96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</row>
    <row r="497">
      <c r="A497" s="80"/>
      <c r="B497" s="96"/>
      <c r="C497" s="96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</row>
    <row r="498">
      <c r="A498" s="80"/>
      <c r="B498" s="96"/>
      <c r="C498" s="96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</row>
    <row r="499">
      <c r="A499" s="80"/>
      <c r="B499" s="96"/>
      <c r="C499" s="96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</row>
    <row r="500">
      <c r="A500" s="80"/>
      <c r="B500" s="96"/>
      <c r="C500" s="96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</row>
    <row r="501">
      <c r="A501" s="80"/>
      <c r="B501" s="96"/>
      <c r="C501" s="96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</row>
    <row r="502">
      <c r="A502" s="80"/>
      <c r="B502" s="96"/>
      <c r="C502" s="96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</row>
    <row r="503">
      <c r="A503" s="80"/>
      <c r="B503" s="96"/>
      <c r="C503" s="96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</row>
    <row r="504">
      <c r="A504" s="80"/>
      <c r="B504" s="96"/>
      <c r="C504" s="96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</row>
    <row r="505">
      <c r="A505" s="80"/>
      <c r="B505" s="96"/>
      <c r="C505" s="96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</row>
    <row r="506">
      <c r="A506" s="80"/>
      <c r="B506" s="96"/>
      <c r="C506" s="96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</row>
    <row r="507">
      <c r="A507" s="80"/>
      <c r="B507" s="96"/>
      <c r="C507" s="96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</row>
    <row r="508">
      <c r="A508" s="80"/>
      <c r="B508" s="96"/>
      <c r="C508" s="96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</row>
    <row r="509">
      <c r="A509" s="80"/>
      <c r="B509" s="96"/>
      <c r="C509" s="96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</row>
    <row r="510">
      <c r="A510" s="80"/>
      <c r="B510" s="96"/>
      <c r="C510" s="96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</row>
    <row r="511">
      <c r="A511" s="80"/>
      <c r="B511" s="96"/>
      <c r="C511" s="96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</row>
    <row r="512">
      <c r="A512" s="80"/>
      <c r="B512" s="96"/>
      <c r="C512" s="96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</row>
    <row r="513">
      <c r="A513" s="80"/>
      <c r="B513" s="96"/>
      <c r="C513" s="96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</row>
    <row r="514">
      <c r="A514" s="80"/>
      <c r="B514" s="96"/>
      <c r="C514" s="96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</row>
    <row r="515">
      <c r="A515" s="80"/>
      <c r="B515" s="96"/>
      <c r="C515" s="96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</row>
    <row r="516">
      <c r="A516" s="80"/>
      <c r="B516" s="96"/>
      <c r="C516" s="96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</row>
    <row r="517">
      <c r="A517" s="80"/>
      <c r="B517" s="96"/>
      <c r="C517" s="96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</row>
    <row r="518">
      <c r="A518" s="80"/>
      <c r="B518" s="96"/>
      <c r="C518" s="96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</row>
    <row r="519">
      <c r="A519" s="80"/>
      <c r="B519" s="96"/>
      <c r="C519" s="96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</row>
    <row r="520">
      <c r="A520" s="80"/>
      <c r="B520" s="96"/>
      <c r="C520" s="96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</row>
    <row r="521">
      <c r="A521" s="80"/>
      <c r="B521" s="96"/>
      <c r="C521" s="96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</row>
    <row r="522">
      <c r="A522" s="80"/>
      <c r="B522" s="96"/>
      <c r="C522" s="96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</row>
    <row r="523">
      <c r="A523" s="80"/>
      <c r="B523" s="96"/>
      <c r="C523" s="96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</row>
    <row r="524">
      <c r="A524" s="80"/>
      <c r="B524" s="96"/>
      <c r="C524" s="96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</row>
    <row r="525">
      <c r="A525" s="80"/>
      <c r="B525" s="96"/>
      <c r="C525" s="96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</row>
    <row r="526">
      <c r="A526" s="80"/>
      <c r="B526" s="96"/>
      <c r="C526" s="96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</row>
    <row r="527">
      <c r="A527" s="80"/>
      <c r="B527" s="96"/>
      <c r="C527" s="96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</row>
    <row r="528">
      <c r="A528" s="80"/>
      <c r="B528" s="96"/>
      <c r="C528" s="96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</row>
    <row r="529">
      <c r="A529" s="80"/>
      <c r="B529" s="96"/>
      <c r="C529" s="96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</row>
    <row r="530">
      <c r="A530" s="80"/>
      <c r="B530" s="96"/>
      <c r="C530" s="96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</row>
    <row r="531">
      <c r="A531" s="80"/>
      <c r="B531" s="96"/>
      <c r="C531" s="96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</row>
    <row r="532">
      <c r="A532" s="80"/>
      <c r="B532" s="96"/>
      <c r="C532" s="96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</row>
    <row r="533">
      <c r="A533" s="80"/>
      <c r="B533" s="96"/>
      <c r="C533" s="96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</row>
    <row r="534">
      <c r="A534" s="80"/>
      <c r="B534" s="96"/>
      <c r="C534" s="96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</row>
    <row r="535">
      <c r="A535" s="80"/>
      <c r="B535" s="96"/>
      <c r="C535" s="96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</row>
    <row r="536">
      <c r="A536" s="80"/>
      <c r="B536" s="96"/>
      <c r="C536" s="96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</row>
    <row r="537">
      <c r="A537" s="80"/>
      <c r="B537" s="96"/>
      <c r="C537" s="96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</row>
    <row r="538">
      <c r="A538" s="80"/>
      <c r="B538" s="96"/>
      <c r="C538" s="96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</row>
    <row r="539">
      <c r="A539" s="80"/>
      <c r="B539" s="96"/>
      <c r="C539" s="96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</row>
    <row r="540">
      <c r="A540" s="80"/>
      <c r="B540" s="96"/>
      <c r="C540" s="96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</row>
    <row r="541">
      <c r="A541" s="80"/>
      <c r="B541" s="96"/>
      <c r="C541" s="96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</row>
    <row r="542">
      <c r="A542" s="80"/>
      <c r="B542" s="96"/>
      <c r="C542" s="96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</row>
    <row r="543">
      <c r="A543" s="80"/>
      <c r="B543" s="96"/>
      <c r="C543" s="96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</row>
    <row r="544">
      <c r="A544" s="80"/>
      <c r="B544" s="96"/>
      <c r="C544" s="96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</row>
    <row r="545">
      <c r="A545" s="80"/>
      <c r="B545" s="96"/>
      <c r="C545" s="96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</row>
    <row r="546">
      <c r="A546" s="80"/>
      <c r="B546" s="96"/>
      <c r="C546" s="96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</row>
    <row r="547">
      <c r="A547" s="80"/>
      <c r="B547" s="96"/>
      <c r="C547" s="96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</row>
    <row r="548">
      <c r="A548" s="80"/>
      <c r="B548" s="96"/>
      <c r="C548" s="96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</row>
    <row r="549">
      <c r="A549" s="80"/>
      <c r="B549" s="96"/>
      <c r="C549" s="96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</row>
    <row r="550">
      <c r="A550" s="80"/>
      <c r="B550" s="96"/>
      <c r="C550" s="96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</row>
    <row r="551">
      <c r="A551" s="80"/>
      <c r="B551" s="96"/>
      <c r="C551" s="96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</row>
    <row r="552">
      <c r="A552" s="80"/>
      <c r="B552" s="96"/>
      <c r="C552" s="96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</row>
    <row r="553">
      <c r="A553" s="80"/>
      <c r="B553" s="96"/>
      <c r="C553" s="96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</row>
    <row r="554">
      <c r="A554" s="80"/>
      <c r="B554" s="96"/>
      <c r="C554" s="96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</row>
    <row r="555">
      <c r="A555" s="80"/>
      <c r="B555" s="96"/>
      <c r="C555" s="96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</row>
    <row r="556">
      <c r="A556" s="80"/>
      <c r="B556" s="96"/>
      <c r="C556" s="96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</row>
    <row r="557">
      <c r="A557" s="80"/>
      <c r="B557" s="96"/>
      <c r="C557" s="96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</row>
    <row r="558">
      <c r="A558" s="80"/>
      <c r="B558" s="96"/>
      <c r="C558" s="96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</row>
    <row r="559">
      <c r="A559" s="80"/>
      <c r="B559" s="96"/>
      <c r="C559" s="96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</row>
    <row r="560">
      <c r="A560" s="80"/>
      <c r="B560" s="96"/>
      <c r="C560" s="96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</row>
    <row r="561">
      <c r="A561" s="80"/>
      <c r="B561" s="96"/>
      <c r="C561" s="96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</row>
    <row r="562">
      <c r="A562" s="80"/>
      <c r="B562" s="96"/>
      <c r="C562" s="96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</row>
    <row r="563">
      <c r="A563" s="80"/>
      <c r="B563" s="96"/>
      <c r="C563" s="96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</row>
    <row r="564">
      <c r="A564" s="80"/>
      <c r="B564" s="96"/>
      <c r="C564" s="96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</row>
    <row r="565">
      <c r="A565" s="80"/>
      <c r="B565" s="96"/>
      <c r="C565" s="96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</row>
    <row r="566">
      <c r="A566" s="80"/>
      <c r="B566" s="96"/>
      <c r="C566" s="96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</row>
    <row r="567">
      <c r="A567" s="80"/>
      <c r="B567" s="96"/>
      <c r="C567" s="96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</row>
    <row r="568">
      <c r="A568" s="80"/>
      <c r="B568" s="96"/>
      <c r="C568" s="96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</row>
    <row r="569">
      <c r="A569" s="80"/>
      <c r="B569" s="96"/>
      <c r="C569" s="96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</row>
    <row r="570">
      <c r="A570" s="80"/>
      <c r="B570" s="96"/>
      <c r="C570" s="96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</row>
    <row r="571">
      <c r="A571" s="80"/>
      <c r="B571" s="96"/>
      <c r="C571" s="96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</row>
    <row r="572">
      <c r="A572" s="80"/>
      <c r="B572" s="96"/>
      <c r="C572" s="96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</row>
    <row r="573">
      <c r="A573" s="80"/>
      <c r="B573" s="96"/>
      <c r="C573" s="96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</row>
    <row r="574">
      <c r="A574" s="80"/>
      <c r="B574" s="96"/>
      <c r="C574" s="96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</row>
    <row r="575">
      <c r="A575" s="80"/>
      <c r="B575" s="96"/>
      <c r="C575" s="96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</row>
    <row r="576">
      <c r="A576" s="80"/>
      <c r="B576" s="96"/>
      <c r="C576" s="96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</row>
    <row r="577">
      <c r="A577" s="80"/>
      <c r="B577" s="96"/>
      <c r="C577" s="96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</row>
    <row r="578">
      <c r="A578" s="80"/>
      <c r="B578" s="96"/>
      <c r="C578" s="96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</row>
    <row r="579">
      <c r="A579" s="80"/>
      <c r="B579" s="96"/>
      <c r="C579" s="96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</row>
    <row r="580">
      <c r="A580" s="80"/>
      <c r="B580" s="96"/>
      <c r="C580" s="96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</row>
    <row r="581">
      <c r="A581" s="80"/>
      <c r="B581" s="96"/>
      <c r="C581" s="96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</row>
    <row r="582">
      <c r="A582" s="80"/>
      <c r="B582" s="96"/>
      <c r="C582" s="96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</row>
    <row r="583">
      <c r="A583" s="80"/>
      <c r="B583" s="96"/>
      <c r="C583" s="96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</row>
    <row r="584">
      <c r="A584" s="80"/>
      <c r="B584" s="96"/>
      <c r="C584" s="96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</row>
    <row r="585">
      <c r="A585" s="80"/>
      <c r="B585" s="96"/>
      <c r="C585" s="96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</row>
    <row r="586">
      <c r="A586" s="80"/>
      <c r="B586" s="96"/>
      <c r="C586" s="96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</row>
    <row r="587">
      <c r="A587" s="80"/>
      <c r="B587" s="96"/>
      <c r="C587" s="96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</row>
    <row r="588">
      <c r="A588" s="80"/>
      <c r="B588" s="96"/>
      <c r="C588" s="96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</row>
    <row r="589">
      <c r="A589" s="80"/>
      <c r="B589" s="96"/>
      <c r="C589" s="96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</row>
    <row r="590">
      <c r="A590" s="80"/>
      <c r="B590" s="96"/>
      <c r="C590" s="96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</row>
    <row r="591">
      <c r="A591" s="80"/>
      <c r="B591" s="96"/>
      <c r="C591" s="96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</row>
    <row r="592">
      <c r="A592" s="80"/>
      <c r="B592" s="96"/>
      <c r="C592" s="96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</row>
    <row r="593">
      <c r="A593" s="80"/>
      <c r="B593" s="96"/>
      <c r="C593" s="96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</row>
    <row r="594">
      <c r="A594" s="80"/>
      <c r="B594" s="96"/>
      <c r="C594" s="96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</row>
    <row r="595">
      <c r="A595" s="80"/>
      <c r="B595" s="96"/>
      <c r="C595" s="96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</row>
    <row r="596">
      <c r="A596" s="80"/>
      <c r="B596" s="96"/>
      <c r="C596" s="96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</row>
    <row r="597">
      <c r="A597" s="80"/>
      <c r="B597" s="96"/>
      <c r="C597" s="96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</row>
    <row r="598">
      <c r="A598" s="80"/>
      <c r="B598" s="96"/>
      <c r="C598" s="96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</row>
    <row r="599">
      <c r="A599" s="80"/>
      <c r="B599" s="96"/>
      <c r="C599" s="96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</row>
    <row r="600">
      <c r="A600" s="80"/>
      <c r="B600" s="96"/>
      <c r="C600" s="96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</row>
    <row r="601">
      <c r="A601" s="80"/>
      <c r="B601" s="96"/>
      <c r="C601" s="96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</row>
    <row r="602">
      <c r="A602" s="80"/>
      <c r="B602" s="96"/>
      <c r="C602" s="96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</row>
    <row r="603">
      <c r="A603" s="80"/>
      <c r="B603" s="96"/>
      <c r="C603" s="96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</row>
    <row r="604">
      <c r="A604" s="80"/>
      <c r="B604" s="96"/>
      <c r="C604" s="96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</row>
    <row r="605">
      <c r="A605" s="80"/>
      <c r="B605" s="96"/>
      <c r="C605" s="96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</row>
    <row r="606">
      <c r="A606" s="80"/>
      <c r="B606" s="96"/>
      <c r="C606" s="96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</row>
    <row r="607">
      <c r="A607" s="80"/>
      <c r="B607" s="96"/>
      <c r="C607" s="96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</row>
    <row r="608">
      <c r="A608" s="80"/>
      <c r="B608" s="96"/>
      <c r="C608" s="96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</row>
    <row r="609">
      <c r="A609" s="80"/>
      <c r="B609" s="96"/>
      <c r="C609" s="96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</row>
    <row r="610">
      <c r="A610" s="80"/>
      <c r="B610" s="96"/>
      <c r="C610" s="96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</row>
    <row r="611">
      <c r="A611" s="80"/>
      <c r="B611" s="96"/>
      <c r="C611" s="96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</row>
    <row r="612">
      <c r="A612" s="80"/>
      <c r="B612" s="96"/>
      <c r="C612" s="96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</row>
    <row r="613">
      <c r="A613" s="80"/>
      <c r="B613" s="96"/>
      <c r="C613" s="96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</row>
    <row r="614">
      <c r="A614" s="80"/>
      <c r="B614" s="96"/>
      <c r="C614" s="96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</row>
    <row r="615">
      <c r="A615" s="80"/>
      <c r="B615" s="96"/>
      <c r="C615" s="96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</row>
    <row r="616">
      <c r="A616" s="80"/>
      <c r="B616" s="96"/>
      <c r="C616" s="96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</row>
    <row r="617">
      <c r="A617" s="80"/>
      <c r="B617" s="96"/>
      <c r="C617" s="96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</row>
    <row r="618">
      <c r="A618" s="80"/>
      <c r="B618" s="96"/>
      <c r="C618" s="96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</row>
    <row r="619">
      <c r="A619" s="80"/>
      <c r="B619" s="96"/>
      <c r="C619" s="96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</row>
    <row r="620">
      <c r="A620" s="80"/>
      <c r="B620" s="96"/>
      <c r="C620" s="96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</row>
    <row r="621">
      <c r="A621" s="80"/>
      <c r="B621" s="96"/>
      <c r="C621" s="96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</row>
    <row r="622">
      <c r="A622" s="80"/>
      <c r="B622" s="96"/>
      <c r="C622" s="96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</row>
    <row r="623">
      <c r="A623" s="80"/>
      <c r="B623" s="96"/>
      <c r="C623" s="96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</row>
    <row r="624">
      <c r="A624" s="80"/>
      <c r="B624" s="96"/>
      <c r="C624" s="96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</row>
    <row r="625">
      <c r="A625" s="80"/>
      <c r="B625" s="96"/>
      <c r="C625" s="96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</row>
    <row r="626">
      <c r="A626" s="80"/>
      <c r="B626" s="96"/>
      <c r="C626" s="96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</row>
    <row r="627">
      <c r="A627" s="80"/>
      <c r="B627" s="96"/>
      <c r="C627" s="96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</row>
    <row r="628">
      <c r="A628" s="80"/>
      <c r="B628" s="96"/>
      <c r="C628" s="96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</row>
    <row r="629">
      <c r="A629" s="80"/>
      <c r="B629" s="96"/>
      <c r="C629" s="96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</row>
    <row r="630">
      <c r="A630" s="80"/>
      <c r="B630" s="96"/>
      <c r="C630" s="96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</row>
    <row r="631">
      <c r="A631" s="80"/>
      <c r="B631" s="96"/>
      <c r="C631" s="96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</row>
    <row r="632">
      <c r="A632" s="80"/>
      <c r="B632" s="96"/>
      <c r="C632" s="96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</row>
    <row r="633">
      <c r="A633" s="80"/>
      <c r="B633" s="96"/>
      <c r="C633" s="96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</row>
    <row r="634">
      <c r="A634" s="80"/>
      <c r="B634" s="96"/>
      <c r="C634" s="96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</row>
    <row r="635">
      <c r="A635" s="80"/>
      <c r="B635" s="96"/>
      <c r="C635" s="96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</row>
    <row r="636">
      <c r="A636" s="80"/>
      <c r="B636" s="96"/>
      <c r="C636" s="96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</row>
    <row r="637">
      <c r="A637" s="80"/>
      <c r="B637" s="96"/>
      <c r="C637" s="96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</row>
    <row r="638">
      <c r="A638" s="80"/>
      <c r="B638" s="96"/>
      <c r="C638" s="96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</row>
    <row r="639">
      <c r="A639" s="80"/>
      <c r="B639" s="96"/>
      <c r="C639" s="96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</row>
    <row r="640">
      <c r="A640" s="80"/>
      <c r="B640" s="96"/>
      <c r="C640" s="96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</row>
    <row r="641">
      <c r="A641" s="80"/>
      <c r="B641" s="96"/>
      <c r="C641" s="96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</row>
    <row r="642">
      <c r="A642" s="80"/>
      <c r="B642" s="96"/>
      <c r="C642" s="96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</row>
    <row r="643">
      <c r="A643" s="80"/>
      <c r="B643" s="96"/>
      <c r="C643" s="96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</row>
    <row r="644">
      <c r="A644" s="80"/>
      <c r="B644" s="96"/>
      <c r="C644" s="96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</row>
    <row r="645">
      <c r="A645" s="80"/>
      <c r="B645" s="96"/>
      <c r="C645" s="96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</row>
    <row r="646">
      <c r="A646" s="80"/>
      <c r="B646" s="96"/>
      <c r="C646" s="96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</row>
    <row r="647">
      <c r="A647" s="80"/>
      <c r="B647" s="96"/>
      <c r="C647" s="96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</row>
    <row r="648">
      <c r="A648" s="80"/>
      <c r="B648" s="96"/>
      <c r="C648" s="96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</row>
    <row r="649">
      <c r="A649" s="80"/>
      <c r="B649" s="96"/>
      <c r="C649" s="96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</row>
    <row r="650">
      <c r="A650" s="80"/>
      <c r="B650" s="96"/>
      <c r="C650" s="96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</row>
    <row r="651">
      <c r="A651" s="80"/>
      <c r="B651" s="96"/>
      <c r="C651" s="96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</row>
    <row r="652">
      <c r="A652" s="80"/>
      <c r="B652" s="96"/>
      <c r="C652" s="96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</row>
    <row r="653">
      <c r="A653" s="80"/>
      <c r="B653" s="96"/>
      <c r="C653" s="96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</row>
    <row r="654">
      <c r="A654" s="80"/>
      <c r="B654" s="96"/>
      <c r="C654" s="96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</row>
    <row r="655">
      <c r="A655" s="80"/>
      <c r="B655" s="96"/>
      <c r="C655" s="96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</row>
    <row r="656">
      <c r="A656" s="80"/>
      <c r="B656" s="96"/>
      <c r="C656" s="96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</row>
    <row r="657">
      <c r="A657" s="80"/>
      <c r="B657" s="96"/>
      <c r="C657" s="96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</row>
    <row r="658">
      <c r="A658" s="80"/>
      <c r="B658" s="96"/>
      <c r="C658" s="96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</row>
    <row r="659">
      <c r="A659" s="80"/>
      <c r="B659" s="96"/>
      <c r="C659" s="96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</row>
    <row r="660">
      <c r="A660" s="80"/>
      <c r="B660" s="96"/>
      <c r="C660" s="96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</row>
    <row r="661">
      <c r="A661" s="80"/>
      <c r="B661" s="96"/>
      <c r="C661" s="96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</row>
    <row r="662">
      <c r="A662" s="80"/>
      <c r="B662" s="96"/>
      <c r="C662" s="96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</row>
    <row r="663">
      <c r="A663" s="80"/>
      <c r="B663" s="96"/>
      <c r="C663" s="96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</row>
    <row r="664">
      <c r="A664" s="80"/>
      <c r="B664" s="96"/>
      <c r="C664" s="96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</row>
    <row r="665">
      <c r="A665" s="80"/>
      <c r="B665" s="96"/>
      <c r="C665" s="96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</row>
    <row r="666">
      <c r="A666" s="80"/>
      <c r="B666" s="96"/>
      <c r="C666" s="96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</row>
    <row r="667">
      <c r="A667" s="80"/>
      <c r="B667" s="96"/>
      <c r="C667" s="96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</row>
    <row r="668">
      <c r="A668" s="80"/>
      <c r="B668" s="96"/>
      <c r="C668" s="96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</row>
    <row r="669">
      <c r="A669" s="80"/>
      <c r="B669" s="96"/>
      <c r="C669" s="96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</row>
    <row r="670">
      <c r="A670" s="80"/>
      <c r="B670" s="96"/>
      <c r="C670" s="96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</row>
    <row r="671">
      <c r="A671" s="80"/>
      <c r="B671" s="96"/>
      <c r="C671" s="96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</row>
    <row r="672">
      <c r="A672" s="80"/>
      <c r="B672" s="96"/>
      <c r="C672" s="96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</row>
    <row r="673">
      <c r="A673" s="80"/>
      <c r="B673" s="96"/>
      <c r="C673" s="96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</row>
    <row r="674">
      <c r="A674" s="80"/>
      <c r="B674" s="96"/>
      <c r="C674" s="96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</row>
    <row r="675">
      <c r="A675" s="80"/>
      <c r="B675" s="96"/>
      <c r="C675" s="96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</row>
    <row r="676">
      <c r="A676" s="80"/>
      <c r="B676" s="96"/>
      <c r="C676" s="96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</row>
    <row r="677">
      <c r="A677" s="80"/>
      <c r="B677" s="96"/>
      <c r="C677" s="96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</row>
    <row r="678">
      <c r="A678" s="80"/>
      <c r="B678" s="96"/>
      <c r="C678" s="96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</row>
    <row r="679">
      <c r="A679" s="80"/>
      <c r="B679" s="96"/>
      <c r="C679" s="96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</row>
    <row r="680">
      <c r="A680" s="80"/>
      <c r="B680" s="96"/>
      <c r="C680" s="96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</row>
    <row r="681">
      <c r="A681" s="80"/>
      <c r="B681" s="96"/>
      <c r="C681" s="96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</row>
    <row r="682">
      <c r="A682" s="80"/>
      <c r="B682" s="96"/>
      <c r="C682" s="96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</row>
    <row r="683">
      <c r="A683" s="80"/>
      <c r="B683" s="96"/>
      <c r="C683" s="96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</row>
    <row r="684">
      <c r="A684" s="80"/>
      <c r="B684" s="96"/>
      <c r="C684" s="96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</row>
    <row r="685">
      <c r="A685" s="80"/>
      <c r="B685" s="96"/>
      <c r="C685" s="96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</row>
    <row r="686">
      <c r="A686" s="80"/>
      <c r="B686" s="96"/>
      <c r="C686" s="96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</row>
    <row r="687">
      <c r="A687" s="80"/>
      <c r="B687" s="96"/>
      <c r="C687" s="96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</row>
    <row r="688">
      <c r="A688" s="80"/>
      <c r="B688" s="96"/>
      <c r="C688" s="96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</row>
    <row r="689">
      <c r="A689" s="80"/>
      <c r="B689" s="96"/>
      <c r="C689" s="96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</row>
    <row r="690">
      <c r="A690" s="80"/>
      <c r="B690" s="96"/>
      <c r="C690" s="96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</row>
    <row r="691">
      <c r="A691" s="80"/>
      <c r="B691" s="96"/>
      <c r="C691" s="96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</row>
    <row r="692">
      <c r="A692" s="80"/>
      <c r="B692" s="96"/>
      <c r="C692" s="96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</row>
    <row r="693">
      <c r="A693" s="80"/>
      <c r="B693" s="96"/>
      <c r="C693" s="96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</row>
    <row r="694">
      <c r="A694" s="80"/>
      <c r="B694" s="96"/>
      <c r="C694" s="96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</row>
    <row r="695">
      <c r="A695" s="80"/>
      <c r="B695" s="96"/>
      <c r="C695" s="96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</row>
    <row r="696">
      <c r="A696" s="80"/>
      <c r="B696" s="96"/>
      <c r="C696" s="96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</row>
    <row r="697">
      <c r="A697" s="80"/>
      <c r="B697" s="96"/>
      <c r="C697" s="96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</row>
    <row r="698">
      <c r="A698" s="80"/>
      <c r="B698" s="96"/>
      <c r="C698" s="96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</row>
    <row r="699">
      <c r="A699" s="80"/>
      <c r="B699" s="96"/>
      <c r="C699" s="96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</row>
    <row r="700">
      <c r="A700" s="80"/>
      <c r="B700" s="96"/>
      <c r="C700" s="96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</row>
    <row r="701">
      <c r="A701" s="80"/>
      <c r="B701" s="96"/>
      <c r="C701" s="96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</row>
    <row r="702">
      <c r="A702" s="80"/>
      <c r="B702" s="96"/>
      <c r="C702" s="96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</row>
    <row r="703">
      <c r="A703" s="80"/>
      <c r="B703" s="96"/>
      <c r="C703" s="96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</row>
    <row r="704">
      <c r="A704" s="80"/>
      <c r="B704" s="96"/>
      <c r="C704" s="96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</row>
    <row r="705">
      <c r="A705" s="80"/>
      <c r="B705" s="96"/>
      <c r="C705" s="96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</row>
    <row r="706">
      <c r="A706" s="80"/>
      <c r="B706" s="96"/>
      <c r="C706" s="96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</row>
    <row r="707">
      <c r="A707" s="80"/>
      <c r="B707" s="96"/>
      <c r="C707" s="96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</row>
    <row r="708">
      <c r="A708" s="80"/>
      <c r="B708" s="96"/>
      <c r="C708" s="96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</row>
    <row r="709">
      <c r="A709" s="80"/>
      <c r="B709" s="96"/>
      <c r="C709" s="96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</row>
    <row r="710">
      <c r="A710" s="80"/>
      <c r="B710" s="96"/>
      <c r="C710" s="96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</row>
    <row r="711">
      <c r="A711" s="80"/>
      <c r="B711" s="96"/>
      <c r="C711" s="96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</row>
    <row r="712">
      <c r="A712" s="80"/>
      <c r="B712" s="96"/>
      <c r="C712" s="96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</row>
    <row r="713">
      <c r="A713" s="80"/>
      <c r="B713" s="96"/>
      <c r="C713" s="96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</row>
    <row r="714">
      <c r="A714" s="80"/>
      <c r="B714" s="96"/>
      <c r="C714" s="96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</row>
    <row r="715">
      <c r="A715" s="80"/>
      <c r="B715" s="96"/>
      <c r="C715" s="96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</row>
    <row r="716">
      <c r="A716" s="80"/>
      <c r="B716" s="96"/>
      <c r="C716" s="96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</row>
    <row r="717">
      <c r="A717" s="80"/>
      <c r="B717" s="96"/>
      <c r="C717" s="96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</row>
    <row r="718">
      <c r="A718" s="80"/>
      <c r="B718" s="96"/>
      <c r="C718" s="96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</row>
    <row r="719">
      <c r="A719" s="80"/>
      <c r="B719" s="96"/>
      <c r="C719" s="96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</row>
    <row r="720">
      <c r="A720" s="80"/>
      <c r="B720" s="96"/>
      <c r="C720" s="96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</row>
    <row r="721">
      <c r="A721" s="80"/>
      <c r="B721" s="96"/>
      <c r="C721" s="96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</row>
    <row r="722">
      <c r="A722" s="80"/>
      <c r="B722" s="96"/>
      <c r="C722" s="96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</row>
    <row r="723">
      <c r="A723" s="80"/>
      <c r="B723" s="96"/>
      <c r="C723" s="96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</row>
    <row r="724">
      <c r="A724" s="80"/>
      <c r="B724" s="96"/>
      <c r="C724" s="96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</row>
    <row r="725">
      <c r="A725" s="80"/>
      <c r="B725" s="96"/>
      <c r="C725" s="96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</row>
    <row r="726">
      <c r="A726" s="80"/>
      <c r="B726" s="96"/>
      <c r="C726" s="96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</row>
    <row r="727">
      <c r="A727" s="80"/>
      <c r="B727" s="96"/>
      <c r="C727" s="96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</row>
    <row r="728">
      <c r="A728" s="80"/>
      <c r="B728" s="96"/>
      <c r="C728" s="96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</row>
    <row r="729">
      <c r="A729" s="80"/>
      <c r="B729" s="96"/>
      <c r="C729" s="96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</row>
    <row r="730">
      <c r="A730" s="80"/>
      <c r="B730" s="96"/>
      <c r="C730" s="96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</row>
    <row r="731">
      <c r="A731" s="80"/>
      <c r="B731" s="96"/>
      <c r="C731" s="96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</row>
    <row r="732">
      <c r="A732" s="80"/>
      <c r="B732" s="96"/>
      <c r="C732" s="96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</row>
    <row r="733">
      <c r="A733" s="80"/>
      <c r="B733" s="96"/>
      <c r="C733" s="96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</row>
    <row r="734">
      <c r="A734" s="80"/>
      <c r="B734" s="96"/>
      <c r="C734" s="96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</row>
    <row r="735">
      <c r="A735" s="80"/>
      <c r="B735" s="96"/>
      <c r="C735" s="96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</row>
    <row r="736">
      <c r="A736" s="80"/>
      <c r="B736" s="96"/>
      <c r="C736" s="96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</row>
    <row r="737">
      <c r="A737" s="80"/>
      <c r="B737" s="96"/>
      <c r="C737" s="96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</row>
    <row r="738">
      <c r="A738" s="80"/>
      <c r="B738" s="96"/>
      <c r="C738" s="96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</row>
    <row r="739">
      <c r="A739" s="80"/>
      <c r="B739" s="96"/>
      <c r="C739" s="96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</row>
    <row r="740">
      <c r="A740" s="80"/>
      <c r="B740" s="96"/>
      <c r="C740" s="96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</row>
    <row r="741">
      <c r="A741" s="80"/>
      <c r="B741" s="96"/>
      <c r="C741" s="96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</row>
    <row r="742">
      <c r="A742" s="80"/>
      <c r="B742" s="96"/>
      <c r="C742" s="96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</row>
    <row r="743">
      <c r="A743" s="80"/>
      <c r="B743" s="96"/>
      <c r="C743" s="96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</row>
    <row r="744">
      <c r="A744" s="80"/>
      <c r="B744" s="96"/>
      <c r="C744" s="96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</row>
    <row r="745">
      <c r="A745" s="80"/>
      <c r="B745" s="96"/>
      <c r="C745" s="96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</row>
    <row r="746">
      <c r="A746" s="80"/>
      <c r="B746" s="96"/>
      <c r="C746" s="96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</row>
    <row r="747">
      <c r="A747" s="80"/>
      <c r="B747" s="96"/>
      <c r="C747" s="96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</row>
    <row r="748">
      <c r="A748" s="80"/>
      <c r="B748" s="96"/>
      <c r="C748" s="96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</row>
    <row r="749">
      <c r="A749" s="80"/>
      <c r="B749" s="96"/>
      <c r="C749" s="96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</row>
    <row r="750">
      <c r="A750" s="80"/>
      <c r="B750" s="96"/>
      <c r="C750" s="96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</row>
    <row r="751">
      <c r="A751" s="80"/>
      <c r="B751" s="96"/>
      <c r="C751" s="96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</row>
    <row r="752">
      <c r="A752" s="80"/>
      <c r="B752" s="96"/>
      <c r="C752" s="96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</row>
    <row r="753">
      <c r="A753" s="80"/>
      <c r="B753" s="96"/>
      <c r="C753" s="96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</row>
    <row r="754">
      <c r="A754" s="80"/>
      <c r="B754" s="96"/>
      <c r="C754" s="96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</row>
    <row r="755">
      <c r="A755" s="80"/>
      <c r="B755" s="96"/>
      <c r="C755" s="96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</row>
    <row r="756">
      <c r="A756" s="80"/>
      <c r="B756" s="96"/>
      <c r="C756" s="96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</row>
    <row r="757">
      <c r="A757" s="80"/>
      <c r="B757" s="96"/>
      <c r="C757" s="96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</row>
    <row r="758">
      <c r="A758" s="80"/>
      <c r="B758" s="96"/>
      <c r="C758" s="96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</row>
    <row r="759">
      <c r="A759" s="80"/>
      <c r="B759" s="96"/>
      <c r="C759" s="96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</row>
    <row r="760">
      <c r="A760" s="80"/>
      <c r="B760" s="96"/>
      <c r="C760" s="96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</row>
    <row r="761">
      <c r="A761" s="80"/>
      <c r="B761" s="96"/>
      <c r="C761" s="96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</row>
    <row r="762">
      <c r="A762" s="80"/>
      <c r="B762" s="96"/>
      <c r="C762" s="96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</row>
    <row r="763">
      <c r="A763" s="80"/>
      <c r="B763" s="96"/>
      <c r="C763" s="96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</row>
    <row r="764">
      <c r="A764" s="80"/>
      <c r="B764" s="96"/>
      <c r="C764" s="96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</row>
    <row r="765">
      <c r="A765" s="80"/>
      <c r="B765" s="96"/>
      <c r="C765" s="96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</row>
    <row r="766">
      <c r="A766" s="80"/>
      <c r="B766" s="96"/>
      <c r="C766" s="96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</row>
    <row r="767">
      <c r="A767" s="80"/>
      <c r="B767" s="96"/>
      <c r="C767" s="96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</row>
    <row r="768">
      <c r="A768" s="80"/>
      <c r="B768" s="96"/>
      <c r="C768" s="96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</row>
    <row r="769">
      <c r="A769" s="80"/>
      <c r="B769" s="96"/>
      <c r="C769" s="96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</row>
    <row r="770">
      <c r="A770" s="80"/>
      <c r="B770" s="96"/>
      <c r="C770" s="96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</row>
    <row r="771">
      <c r="A771" s="80"/>
      <c r="B771" s="96"/>
      <c r="C771" s="96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</row>
    <row r="772">
      <c r="A772" s="80"/>
      <c r="B772" s="96"/>
      <c r="C772" s="96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</row>
    <row r="773">
      <c r="A773" s="80"/>
      <c r="B773" s="96"/>
      <c r="C773" s="96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</row>
    <row r="774">
      <c r="A774" s="80"/>
      <c r="B774" s="96"/>
      <c r="C774" s="96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</row>
    <row r="775">
      <c r="A775" s="80"/>
      <c r="B775" s="96"/>
      <c r="C775" s="96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</row>
    <row r="776">
      <c r="A776" s="80"/>
      <c r="B776" s="96"/>
      <c r="C776" s="96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</row>
    <row r="777">
      <c r="A777" s="80"/>
      <c r="B777" s="96"/>
      <c r="C777" s="96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</row>
    <row r="778">
      <c r="A778" s="80"/>
      <c r="B778" s="96"/>
      <c r="C778" s="96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</row>
    <row r="779">
      <c r="A779" s="80"/>
      <c r="B779" s="96"/>
      <c r="C779" s="96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</row>
    <row r="780">
      <c r="A780" s="80"/>
      <c r="B780" s="96"/>
      <c r="C780" s="96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</row>
    <row r="781">
      <c r="A781" s="80"/>
      <c r="B781" s="96"/>
      <c r="C781" s="96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</row>
    <row r="782">
      <c r="A782" s="80"/>
      <c r="B782" s="96"/>
      <c r="C782" s="96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</row>
    <row r="783">
      <c r="A783" s="80"/>
      <c r="B783" s="96"/>
      <c r="C783" s="96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</row>
    <row r="784">
      <c r="A784" s="80"/>
      <c r="B784" s="96"/>
      <c r="C784" s="96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</row>
    <row r="785">
      <c r="A785" s="80"/>
      <c r="B785" s="96"/>
      <c r="C785" s="96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</row>
    <row r="786">
      <c r="A786" s="80"/>
      <c r="B786" s="96"/>
      <c r="C786" s="96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</row>
    <row r="787">
      <c r="A787" s="80"/>
      <c r="B787" s="96"/>
      <c r="C787" s="96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</row>
    <row r="788">
      <c r="A788" s="80"/>
      <c r="B788" s="96"/>
      <c r="C788" s="96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</row>
    <row r="789">
      <c r="A789" s="80"/>
      <c r="B789" s="96"/>
      <c r="C789" s="96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</row>
    <row r="790">
      <c r="A790" s="80"/>
      <c r="B790" s="96"/>
      <c r="C790" s="96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</row>
    <row r="791">
      <c r="A791" s="80"/>
      <c r="B791" s="96"/>
      <c r="C791" s="96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</row>
    <row r="792">
      <c r="A792" s="80"/>
      <c r="B792" s="96"/>
      <c r="C792" s="96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</row>
    <row r="793">
      <c r="A793" s="80"/>
      <c r="B793" s="96"/>
      <c r="C793" s="96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</row>
    <row r="794">
      <c r="A794" s="80"/>
      <c r="B794" s="96"/>
      <c r="C794" s="96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</row>
    <row r="795">
      <c r="A795" s="80"/>
      <c r="B795" s="96"/>
      <c r="C795" s="96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</row>
    <row r="796">
      <c r="A796" s="80"/>
      <c r="B796" s="96"/>
      <c r="C796" s="96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</row>
    <row r="797">
      <c r="A797" s="80"/>
      <c r="B797" s="96"/>
      <c r="C797" s="96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</row>
    <row r="798">
      <c r="A798" s="80"/>
      <c r="B798" s="96"/>
      <c r="C798" s="96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</row>
    <row r="799">
      <c r="A799" s="80"/>
      <c r="B799" s="96"/>
      <c r="C799" s="96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</row>
    <row r="800">
      <c r="A800" s="80"/>
      <c r="B800" s="96"/>
      <c r="C800" s="96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</row>
    <row r="801">
      <c r="A801" s="80"/>
      <c r="B801" s="96"/>
      <c r="C801" s="96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</row>
    <row r="802">
      <c r="A802" s="80"/>
      <c r="B802" s="96"/>
      <c r="C802" s="96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</row>
    <row r="803">
      <c r="A803" s="80"/>
      <c r="B803" s="96"/>
      <c r="C803" s="96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</row>
    <row r="804">
      <c r="A804" s="80"/>
      <c r="B804" s="96"/>
      <c r="C804" s="96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</row>
    <row r="805">
      <c r="A805" s="80"/>
      <c r="B805" s="96"/>
      <c r="C805" s="96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</row>
    <row r="806">
      <c r="A806" s="80"/>
      <c r="B806" s="96"/>
      <c r="C806" s="96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</row>
    <row r="807">
      <c r="A807" s="80"/>
      <c r="B807" s="96"/>
      <c r="C807" s="96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</row>
    <row r="808">
      <c r="A808" s="80"/>
      <c r="B808" s="96"/>
      <c r="C808" s="96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</row>
    <row r="809">
      <c r="A809" s="80"/>
      <c r="B809" s="96"/>
      <c r="C809" s="96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</row>
    <row r="810">
      <c r="A810" s="80"/>
      <c r="B810" s="96"/>
      <c r="C810" s="96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</row>
    <row r="811">
      <c r="A811" s="80"/>
      <c r="B811" s="96"/>
      <c r="C811" s="96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</row>
    <row r="812">
      <c r="A812" s="80"/>
      <c r="B812" s="96"/>
      <c r="C812" s="96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</row>
    <row r="813">
      <c r="A813" s="80"/>
      <c r="B813" s="96"/>
      <c r="C813" s="96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</row>
    <row r="814">
      <c r="A814" s="80"/>
      <c r="B814" s="96"/>
      <c r="C814" s="96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</row>
    <row r="815">
      <c r="A815" s="80"/>
      <c r="B815" s="96"/>
      <c r="C815" s="96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</row>
    <row r="816">
      <c r="A816" s="80"/>
      <c r="B816" s="96"/>
      <c r="C816" s="96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</row>
    <row r="817">
      <c r="A817" s="80"/>
      <c r="B817" s="96"/>
      <c r="C817" s="96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</row>
    <row r="818">
      <c r="A818" s="80"/>
      <c r="B818" s="96"/>
      <c r="C818" s="96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</row>
    <row r="819">
      <c r="A819" s="80"/>
      <c r="B819" s="96"/>
      <c r="C819" s="96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</row>
    <row r="820">
      <c r="A820" s="80"/>
      <c r="B820" s="96"/>
      <c r="C820" s="96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</row>
    <row r="821">
      <c r="A821" s="80"/>
      <c r="B821" s="96"/>
      <c r="C821" s="96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</row>
    <row r="822">
      <c r="A822" s="80"/>
      <c r="B822" s="96"/>
      <c r="C822" s="96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</row>
    <row r="823">
      <c r="A823" s="80"/>
      <c r="B823" s="96"/>
      <c r="C823" s="96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</row>
    <row r="824">
      <c r="A824" s="80"/>
      <c r="B824" s="96"/>
      <c r="C824" s="96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</row>
    <row r="825">
      <c r="A825" s="80"/>
      <c r="B825" s="96"/>
      <c r="C825" s="96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</row>
    <row r="826">
      <c r="A826" s="80"/>
      <c r="B826" s="96"/>
      <c r="C826" s="96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</row>
    <row r="827">
      <c r="A827" s="80"/>
      <c r="B827" s="96"/>
      <c r="C827" s="96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</row>
    <row r="828">
      <c r="A828" s="80"/>
      <c r="B828" s="96"/>
      <c r="C828" s="96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</row>
    <row r="829">
      <c r="A829" s="80"/>
      <c r="B829" s="96"/>
      <c r="C829" s="96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</row>
    <row r="830">
      <c r="A830" s="80"/>
      <c r="B830" s="96"/>
      <c r="C830" s="96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</row>
    <row r="831">
      <c r="A831" s="80"/>
      <c r="B831" s="96"/>
      <c r="C831" s="96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</row>
    <row r="832">
      <c r="A832" s="80"/>
      <c r="B832" s="96"/>
      <c r="C832" s="96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</row>
    <row r="833">
      <c r="A833" s="80"/>
      <c r="B833" s="96"/>
      <c r="C833" s="96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</row>
    <row r="834">
      <c r="A834" s="80"/>
      <c r="B834" s="96"/>
      <c r="C834" s="96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</row>
    <row r="835">
      <c r="A835" s="80"/>
      <c r="B835" s="96"/>
      <c r="C835" s="96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</row>
    <row r="836">
      <c r="A836" s="80"/>
      <c r="B836" s="96"/>
      <c r="C836" s="96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</row>
    <row r="837">
      <c r="A837" s="80"/>
      <c r="B837" s="96"/>
      <c r="C837" s="96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</row>
    <row r="838">
      <c r="A838" s="80"/>
      <c r="B838" s="96"/>
      <c r="C838" s="96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</row>
    <row r="839">
      <c r="A839" s="80"/>
      <c r="B839" s="96"/>
      <c r="C839" s="96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</row>
    <row r="840">
      <c r="A840" s="80"/>
      <c r="B840" s="96"/>
      <c r="C840" s="96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</row>
    <row r="841">
      <c r="A841" s="80"/>
      <c r="B841" s="96"/>
      <c r="C841" s="96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</row>
    <row r="842">
      <c r="A842" s="80"/>
      <c r="B842" s="96"/>
      <c r="C842" s="96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</row>
    <row r="843">
      <c r="A843" s="80"/>
      <c r="B843" s="96"/>
      <c r="C843" s="96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</row>
    <row r="844">
      <c r="A844" s="80"/>
      <c r="B844" s="96"/>
      <c r="C844" s="96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</row>
    <row r="845">
      <c r="A845" s="80"/>
      <c r="B845" s="96"/>
      <c r="C845" s="96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</row>
    <row r="846">
      <c r="A846" s="80"/>
      <c r="B846" s="96"/>
      <c r="C846" s="96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</row>
    <row r="847">
      <c r="A847" s="80"/>
      <c r="B847" s="96"/>
      <c r="C847" s="96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</row>
    <row r="848">
      <c r="A848" s="80"/>
      <c r="B848" s="96"/>
      <c r="C848" s="96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</row>
    <row r="849">
      <c r="A849" s="80"/>
      <c r="B849" s="96"/>
      <c r="C849" s="96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</row>
    <row r="850">
      <c r="A850" s="80"/>
      <c r="B850" s="96"/>
      <c r="C850" s="96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</row>
    <row r="851">
      <c r="A851" s="80"/>
      <c r="B851" s="96"/>
      <c r="C851" s="96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</row>
    <row r="852">
      <c r="A852" s="80"/>
      <c r="B852" s="96"/>
      <c r="C852" s="96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</row>
    <row r="853">
      <c r="A853" s="80"/>
      <c r="B853" s="96"/>
      <c r="C853" s="96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</row>
    <row r="854">
      <c r="A854" s="80"/>
      <c r="B854" s="96"/>
      <c r="C854" s="96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</row>
    <row r="855">
      <c r="A855" s="80"/>
      <c r="B855" s="96"/>
      <c r="C855" s="96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</row>
    <row r="856">
      <c r="A856" s="80"/>
      <c r="B856" s="96"/>
      <c r="C856" s="96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</row>
    <row r="857">
      <c r="A857" s="80"/>
      <c r="B857" s="96"/>
      <c r="C857" s="96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</row>
    <row r="858">
      <c r="A858" s="80"/>
      <c r="B858" s="96"/>
      <c r="C858" s="96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</row>
    <row r="859">
      <c r="A859" s="80"/>
      <c r="B859" s="96"/>
      <c r="C859" s="96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</row>
    <row r="860">
      <c r="A860" s="80"/>
      <c r="B860" s="96"/>
      <c r="C860" s="96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</row>
    <row r="861">
      <c r="A861" s="80"/>
      <c r="B861" s="96"/>
      <c r="C861" s="96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</row>
    <row r="862">
      <c r="A862" s="80"/>
      <c r="B862" s="96"/>
      <c r="C862" s="96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</row>
    <row r="863">
      <c r="A863" s="80"/>
      <c r="B863" s="96"/>
      <c r="C863" s="96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</row>
    <row r="864">
      <c r="A864" s="80"/>
      <c r="B864" s="96"/>
      <c r="C864" s="96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</row>
    <row r="865">
      <c r="A865" s="80"/>
      <c r="B865" s="96"/>
      <c r="C865" s="96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</row>
    <row r="866">
      <c r="A866" s="80"/>
      <c r="B866" s="96"/>
      <c r="C866" s="96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</row>
    <row r="867">
      <c r="A867" s="80"/>
      <c r="B867" s="96"/>
      <c r="C867" s="96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</row>
    <row r="868">
      <c r="A868" s="80"/>
      <c r="B868" s="96"/>
      <c r="C868" s="96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</row>
    <row r="869">
      <c r="A869" s="80"/>
      <c r="B869" s="96"/>
      <c r="C869" s="96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</row>
    <row r="870">
      <c r="A870" s="80"/>
      <c r="B870" s="96"/>
      <c r="C870" s="96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</row>
    <row r="871">
      <c r="A871" s="80"/>
      <c r="B871" s="96"/>
      <c r="C871" s="96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</row>
    <row r="872">
      <c r="A872" s="80"/>
      <c r="B872" s="96"/>
      <c r="C872" s="96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</row>
    <row r="873">
      <c r="A873" s="80"/>
      <c r="B873" s="96"/>
      <c r="C873" s="96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</row>
    <row r="874">
      <c r="A874" s="80"/>
      <c r="B874" s="96"/>
      <c r="C874" s="96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</row>
    <row r="875">
      <c r="A875" s="80"/>
      <c r="B875" s="96"/>
      <c r="C875" s="96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</row>
    <row r="876">
      <c r="A876" s="80"/>
      <c r="B876" s="96"/>
      <c r="C876" s="96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</row>
    <row r="877">
      <c r="A877" s="80"/>
      <c r="B877" s="96"/>
      <c r="C877" s="96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</row>
    <row r="878">
      <c r="A878" s="80"/>
      <c r="B878" s="96"/>
      <c r="C878" s="96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</row>
    <row r="879">
      <c r="A879" s="80"/>
      <c r="B879" s="96"/>
      <c r="C879" s="96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</row>
    <row r="880">
      <c r="A880" s="80"/>
      <c r="B880" s="96"/>
      <c r="C880" s="96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</row>
    <row r="881">
      <c r="A881" s="80"/>
      <c r="B881" s="96"/>
      <c r="C881" s="96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</row>
    <row r="882">
      <c r="A882" s="80"/>
      <c r="B882" s="96"/>
      <c r="C882" s="96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</row>
    <row r="883">
      <c r="A883" s="80"/>
      <c r="B883" s="96"/>
      <c r="C883" s="96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</row>
    <row r="884">
      <c r="A884" s="80"/>
      <c r="B884" s="96"/>
      <c r="C884" s="96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</row>
    <row r="885">
      <c r="A885" s="80"/>
      <c r="B885" s="96"/>
      <c r="C885" s="96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</row>
    <row r="886">
      <c r="A886" s="80"/>
      <c r="B886" s="96"/>
      <c r="C886" s="96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</row>
    <row r="887">
      <c r="A887" s="80"/>
      <c r="B887" s="96"/>
      <c r="C887" s="96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</row>
    <row r="888">
      <c r="A888" s="80"/>
      <c r="B888" s="96"/>
      <c r="C888" s="96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</row>
    <row r="889">
      <c r="A889" s="80"/>
      <c r="B889" s="96"/>
      <c r="C889" s="96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</row>
    <row r="890">
      <c r="A890" s="80"/>
      <c r="B890" s="96"/>
      <c r="C890" s="96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</row>
    <row r="891">
      <c r="A891" s="80"/>
      <c r="B891" s="96"/>
      <c r="C891" s="96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</row>
    <row r="892">
      <c r="A892" s="80"/>
      <c r="B892" s="96"/>
      <c r="C892" s="96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</row>
    <row r="893">
      <c r="A893" s="80"/>
      <c r="B893" s="96"/>
      <c r="C893" s="96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</row>
    <row r="894">
      <c r="A894" s="80"/>
      <c r="B894" s="96"/>
      <c r="C894" s="96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</row>
    <row r="895">
      <c r="A895" s="80"/>
      <c r="B895" s="96"/>
      <c r="C895" s="96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</row>
    <row r="896">
      <c r="A896" s="80"/>
      <c r="B896" s="96"/>
      <c r="C896" s="96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</row>
    <row r="897">
      <c r="A897" s="80"/>
      <c r="B897" s="96"/>
      <c r="C897" s="96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</row>
    <row r="898">
      <c r="A898" s="80"/>
      <c r="B898" s="96"/>
      <c r="C898" s="96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</row>
    <row r="899">
      <c r="A899" s="80"/>
      <c r="B899" s="96"/>
      <c r="C899" s="96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</row>
    <row r="900">
      <c r="A900" s="80"/>
      <c r="B900" s="96"/>
      <c r="C900" s="96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</row>
    <row r="901">
      <c r="A901" s="80"/>
      <c r="B901" s="96"/>
      <c r="C901" s="96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</row>
    <row r="902">
      <c r="A902" s="80"/>
      <c r="B902" s="96"/>
      <c r="C902" s="96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</row>
    <row r="903">
      <c r="A903" s="80"/>
      <c r="B903" s="96"/>
      <c r="C903" s="96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</row>
    <row r="904">
      <c r="A904" s="80"/>
      <c r="B904" s="96"/>
      <c r="C904" s="96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</row>
    <row r="905">
      <c r="A905" s="80"/>
      <c r="B905" s="96"/>
      <c r="C905" s="96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</row>
    <row r="906">
      <c r="A906" s="80"/>
      <c r="B906" s="96"/>
      <c r="C906" s="96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</row>
    <row r="907">
      <c r="A907" s="80"/>
      <c r="B907" s="96"/>
      <c r="C907" s="96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</row>
    <row r="908">
      <c r="A908" s="80"/>
      <c r="B908" s="96"/>
      <c r="C908" s="96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</row>
    <row r="909">
      <c r="A909" s="80"/>
      <c r="B909" s="96"/>
      <c r="C909" s="96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</row>
    <row r="910">
      <c r="A910" s="80"/>
      <c r="B910" s="96"/>
      <c r="C910" s="96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</row>
    <row r="911">
      <c r="A911" s="80"/>
      <c r="B911" s="96"/>
      <c r="C911" s="96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</row>
    <row r="912">
      <c r="A912" s="80"/>
      <c r="B912" s="96"/>
      <c r="C912" s="96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</row>
    <row r="913">
      <c r="A913" s="80"/>
      <c r="B913" s="96"/>
      <c r="C913" s="96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</row>
    <row r="914">
      <c r="A914" s="80"/>
      <c r="B914" s="96"/>
      <c r="C914" s="96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</row>
    <row r="915">
      <c r="A915" s="80"/>
      <c r="B915" s="96"/>
      <c r="C915" s="96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</row>
    <row r="916">
      <c r="A916" s="80"/>
      <c r="B916" s="96"/>
      <c r="C916" s="96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</row>
    <row r="917">
      <c r="A917" s="80"/>
      <c r="B917" s="96"/>
      <c r="C917" s="96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</row>
    <row r="918">
      <c r="A918" s="80"/>
      <c r="B918" s="96"/>
      <c r="C918" s="96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</row>
    <row r="919">
      <c r="A919" s="80"/>
      <c r="B919" s="96"/>
      <c r="C919" s="96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</row>
    <row r="920">
      <c r="A920" s="80"/>
      <c r="B920" s="96"/>
      <c r="C920" s="96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</row>
    <row r="921">
      <c r="A921" s="80"/>
      <c r="B921" s="96"/>
      <c r="C921" s="96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</row>
    <row r="922">
      <c r="A922" s="80"/>
      <c r="B922" s="96"/>
      <c r="C922" s="96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</row>
    <row r="923">
      <c r="A923" s="80"/>
      <c r="B923" s="96"/>
      <c r="C923" s="96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</row>
    <row r="924">
      <c r="A924" s="80"/>
      <c r="B924" s="96"/>
      <c r="C924" s="96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</row>
    <row r="925">
      <c r="A925" s="80"/>
      <c r="B925" s="96"/>
      <c r="C925" s="96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</row>
    <row r="926">
      <c r="A926" s="80"/>
      <c r="B926" s="96"/>
      <c r="C926" s="96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</row>
    <row r="927">
      <c r="A927" s="80"/>
      <c r="B927" s="96"/>
      <c r="C927" s="96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</row>
    <row r="928">
      <c r="A928" s="80"/>
      <c r="B928" s="96"/>
      <c r="C928" s="96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</row>
    <row r="929">
      <c r="A929" s="80"/>
      <c r="B929" s="96"/>
      <c r="C929" s="96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</row>
    <row r="930">
      <c r="A930" s="80"/>
      <c r="B930" s="96"/>
      <c r="C930" s="96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</row>
    <row r="931">
      <c r="A931" s="80"/>
      <c r="B931" s="96"/>
      <c r="C931" s="96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</row>
    <row r="932">
      <c r="A932" s="80"/>
      <c r="B932" s="96"/>
      <c r="C932" s="96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</row>
    <row r="933">
      <c r="A933" s="80"/>
      <c r="B933" s="96"/>
      <c r="C933" s="96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</row>
    <row r="934">
      <c r="A934" s="80"/>
      <c r="B934" s="96"/>
      <c r="C934" s="96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</row>
    <row r="935">
      <c r="A935" s="80"/>
      <c r="B935" s="96"/>
      <c r="C935" s="96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</row>
    <row r="936">
      <c r="A936" s="80"/>
      <c r="B936" s="96"/>
      <c r="C936" s="96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</row>
    <row r="937">
      <c r="A937" s="80"/>
      <c r="B937" s="96"/>
      <c r="C937" s="96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</row>
    <row r="938">
      <c r="A938" s="80"/>
      <c r="B938" s="96"/>
      <c r="C938" s="96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</row>
    <row r="939">
      <c r="A939" s="80"/>
      <c r="B939" s="96"/>
      <c r="C939" s="96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</row>
    <row r="940">
      <c r="A940" s="80"/>
      <c r="B940" s="96"/>
      <c r="C940" s="96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</row>
    <row r="941">
      <c r="A941" s="80"/>
      <c r="B941" s="96"/>
      <c r="C941" s="96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</row>
    <row r="942">
      <c r="A942" s="80"/>
      <c r="B942" s="96"/>
      <c r="C942" s="96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</row>
    <row r="943">
      <c r="A943" s="80"/>
      <c r="B943" s="96"/>
      <c r="C943" s="96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</row>
    <row r="944">
      <c r="A944" s="80"/>
      <c r="B944" s="96"/>
      <c r="C944" s="96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</row>
    <row r="945">
      <c r="A945" s="80"/>
      <c r="B945" s="96"/>
      <c r="C945" s="96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</row>
    <row r="946">
      <c r="A946" s="80"/>
      <c r="B946" s="96"/>
      <c r="C946" s="96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</row>
    <row r="947">
      <c r="A947" s="80"/>
      <c r="B947" s="96"/>
      <c r="C947" s="96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</row>
    <row r="948">
      <c r="A948" s="80"/>
      <c r="B948" s="96"/>
      <c r="C948" s="96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</row>
    <row r="949">
      <c r="A949" s="80"/>
      <c r="B949" s="96"/>
      <c r="C949" s="96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</row>
    <row r="950">
      <c r="A950" s="80"/>
      <c r="B950" s="96"/>
      <c r="C950" s="96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</row>
    <row r="951">
      <c r="A951" s="80"/>
      <c r="B951" s="96"/>
      <c r="C951" s="96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</row>
    <row r="952">
      <c r="A952" s="80"/>
      <c r="B952" s="96"/>
      <c r="C952" s="96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</row>
    <row r="953">
      <c r="A953" s="80"/>
      <c r="B953" s="96"/>
      <c r="C953" s="96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</row>
    <row r="954">
      <c r="A954" s="80"/>
      <c r="B954" s="96"/>
      <c r="C954" s="96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</row>
    <row r="955">
      <c r="A955" s="80"/>
      <c r="B955" s="96"/>
      <c r="C955" s="96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</row>
    <row r="956">
      <c r="A956" s="80"/>
      <c r="B956" s="96"/>
      <c r="C956" s="96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</row>
    <row r="957">
      <c r="A957" s="80"/>
      <c r="B957" s="96"/>
      <c r="C957" s="96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</row>
    <row r="958">
      <c r="A958" s="80"/>
      <c r="B958" s="96"/>
      <c r="C958" s="96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</row>
    <row r="959">
      <c r="A959" s="80"/>
      <c r="B959" s="96"/>
      <c r="C959" s="96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</row>
    <row r="960">
      <c r="A960" s="80"/>
      <c r="B960" s="96"/>
      <c r="C960" s="96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</row>
    <row r="961">
      <c r="A961" s="80"/>
      <c r="B961" s="96"/>
      <c r="C961" s="96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</row>
    <row r="962">
      <c r="A962" s="80"/>
      <c r="B962" s="96"/>
      <c r="C962" s="96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</row>
    <row r="963">
      <c r="A963" s="80"/>
      <c r="B963" s="96"/>
      <c r="C963" s="96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</row>
    <row r="964">
      <c r="A964" s="80"/>
      <c r="B964" s="96"/>
      <c r="C964" s="96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</row>
    <row r="965">
      <c r="A965" s="80"/>
      <c r="B965" s="96"/>
      <c r="C965" s="96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</row>
    <row r="966">
      <c r="A966" s="80"/>
      <c r="B966" s="96"/>
      <c r="C966" s="96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</row>
    <row r="967">
      <c r="A967" s="80"/>
      <c r="B967" s="96"/>
      <c r="C967" s="96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</row>
    <row r="968">
      <c r="A968" s="80"/>
      <c r="B968" s="96"/>
      <c r="C968" s="96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</row>
    <row r="969">
      <c r="A969" s="80"/>
      <c r="B969" s="96"/>
      <c r="C969" s="96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</row>
    <row r="970">
      <c r="A970" s="80"/>
      <c r="B970" s="96"/>
      <c r="C970" s="96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</row>
    <row r="971">
      <c r="A971" s="80"/>
      <c r="B971" s="96"/>
      <c r="C971" s="96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</row>
    <row r="972">
      <c r="A972" s="80"/>
      <c r="B972" s="96"/>
      <c r="C972" s="96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</row>
    <row r="973">
      <c r="A973" s="80"/>
      <c r="B973" s="96"/>
      <c r="C973" s="96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</row>
    <row r="974">
      <c r="A974" s="80"/>
      <c r="B974" s="96"/>
      <c r="C974" s="96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</row>
    <row r="975">
      <c r="A975" s="80"/>
      <c r="B975" s="96"/>
      <c r="C975" s="96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</row>
    <row r="976">
      <c r="A976" s="80"/>
      <c r="B976" s="96"/>
      <c r="C976" s="96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</row>
    <row r="977">
      <c r="A977" s="80"/>
      <c r="B977" s="96"/>
      <c r="C977" s="96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</row>
    <row r="978">
      <c r="A978" s="80"/>
      <c r="B978" s="96"/>
      <c r="C978" s="96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</row>
    <row r="979">
      <c r="A979" s="80"/>
      <c r="B979" s="96"/>
      <c r="C979" s="96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</row>
    <row r="980">
      <c r="A980" s="80"/>
      <c r="B980" s="96"/>
      <c r="C980" s="96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</row>
    <row r="981">
      <c r="A981" s="80"/>
      <c r="B981" s="96"/>
      <c r="C981" s="96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</row>
    <row r="982">
      <c r="A982" s="80"/>
      <c r="B982" s="96"/>
      <c r="C982" s="96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</row>
    <row r="983">
      <c r="A983" s="80"/>
      <c r="B983" s="96"/>
      <c r="C983" s="96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</row>
    <row r="984">
      <c r="A984" s="80"/>
      <c r="B984" s="96"/>
      <c r="C984" s="96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</row>
    <row r="985">
      <c r="A985" s="80"/>
      <c r="B985" s="96"/>
      <c r="C985" s="96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</row>
    <row r="986">
      <c r="A986" s="80"/>
      <c r="B986" s="96"/>
      <c r="C986" s="96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</row>
    <row r="987">
      <c r="A987" s="80"/>
      <c r="B987" s="96"/>
      <c r="C987" s="96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</row>
    <row r="988">
      <c r="A988" s="80"/>
      <c r="B988" s="96"/>
      <c r="C988" s="96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</row>
    <row r="989">
      <c r="A989" s="80"/>
      <c r="B989" s="96"/>
      <c r="C989" s="96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</row>
    <row r="990">
      <c r="A990" s="80"/>
      <c r="B990" s="96"/>
      <c r="C990" s="96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</row>
    <row r="991">
      <c r="A991" s="80"/>
      <c r="B991" s="96"/>
      <c r="C991" s="96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</row>
    <row r="992">
      <c r="A992" s="80"/>
      <c r="B992" s="96"/>
      <c r="C992" s="96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</row>
    <row r="993">
      <c r="A993" s="80"/>
      <c r="B993" s="96"/>
      <c r="C993" s="96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</row>
    <row r="994">
      <c r="A994" s="80"/>
      <c r="B994" s="96"/>
      <c r="C994" s="96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</row>
    <row r="995">
      <c r="A995" s="80"/>
      <c r="B995" s="96"/>
      <c r="C995" s="96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</row>
    <row r="996">
      <c r="A996" s="80"/>
      <c r="B996" s="96"/>
      <c r="C996" s="96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</row>
    <row r="997">
      <c r="A997" s="80"/>
      <c r="B997" s="96"/>
      <c r="C997" s="96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</row>
    <row r="998">
      <c r="A998" s="80"/>
      <c r="B998" s="96"/>
      <c r="C998" s="96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</row>
    <row r="999">
      <c r="A999" s="80"/>
      <c r="B999" s="96"/>
      <c r="C999" s="96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3" max="3" width="21.63"/>
    <col customWidth="1" min="4" max="4" width="15.25"/>
    <col customWidth="1" min="5" max="5" width="22.25"/>
    <col customWidth="1" min="6" max="6" width="19.88"/>
    <col customWidth="1" min="7" max="7" width="18.63"/>
    <col customWidth="1" min="13" max="13" width="49.0"/>
  </cols>
  <sheetData>
    <row r="1">
      <c r="A1" s="97" t="s">
        <v>928</v>
      </c>
      <c r="B1" s="98" t="s">
        <v>929</v>
      </c>
      <c r="C1" s="98" t="s">
        <v>930</v>
      </c>
      <c r="D1" s="98" t="s">
        <v>931</v>
      </c>
      <c r="E1" s="98" t="s">
        <v>853</v>
      </c>
      <c r="F1" s="98" t="s">
        <v>932</v>
      </c>
      <c r="G1" s="98" t="s">
        <v>933</v>
      </c>
      <c r="H1" s="98" t="s">
        <v>22</v>
      </c>
      <c r="I1" s="98" t="s">
        <v>934</v>
      </c>
      <c r="J1" s="98" t="s">
        <v>11</v>
      </c>
      <c r="K1" s="98" t="s">
        <v>18</v>
      </c>
      <c r="L1" s="98" t="s">
        <v>854</v>
      </c>
      <c r="M1" s="98" t="s">
        <v>27</v>
      </c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99" t="s">
        <v>128</v>
      </c>
      <c r="B2" s="99" t="s">
        <v>52</v>
      </c>
      <c r="C2" s="99" t="s">
        <v>54</v>
      </c>
      <c r="D2" s="99" t="s">
        <v>127</v>
      </c>
      <c r="E2" s="99" t="s">
        <v>74</v>
      </c>
      <c r="F2" s="99" t="s">
        <v>935</v>
      </c>
      <c r="G2" s="99" t="s">
        <v>936</v>
      </c>
      <c r="H2" s="100" t="s">
        <v>937</v>
      </c>
      <c r="I2" s="100" t="s">
        <v>938</v>
      </c>
      <c r="J2" s="100" t="s">
        <v>32</v>
      </c>
      <c r="K2" s="100">
        <v>1.0</v>
      </c>
      <c r="L2" s="80"/>
      <c r="M2" s="101" t="s">
        <v>887</v>
      </c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102" t="s">
        <v>243</v>
      </c>
      <c r="B3" s="99" t="s">
        <v>59</v>
      </c>
      <c r="C3" s="99" t="s">
        <v>38</v>
      </c>
      <c r="D3" s="99" t="s">
        <v>33</v>
      </c>
      <c r="E3" s="99" t="s">
        <v>87</v>
      </c>
      <c r="F3" s="103" t="s">
        <v>939</v>
      </c>
      <c r="G3" s="99" t="s">
        <v>940</v>
      </c>
      <c r="H3" s="100" t="s">
        <v>105</v>
      </c>
      <c r="I3" s="100" t="s">
        <v>941</v>
      </c>
      <c r="J3" s="100" t="s">
        <v>85</v>
      </c>
      <c r="K3" s="100">
        <v>2.0</v>
      </c>
      <c r="L3" s="80"/>
      <c r="M3" s="101" t="s">
        <v>942</v>
      </c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99" t="s">
        <v>78</v>
      </c>
      <c r="B4" s="99" t="s">
        <v>365</v>
      </c>
      <c r="C4" s="102" t="s">
        <v>943</v>
      </c>
      <c r="D4" s="104" t="s">
        <v>45</v>
      </c>
      <c r="E4" s="99" t="s">
        <v>49</v>
      </c>
      <c r="F4" s="103" t="s">
        <v>944</v>
      </c>
      <c r="G4" s="99" t="s">
        <v>945</v>
      </c>
      <c r="H4" s="100" t="s">
        <v>123</v>
      </c>
      <c r="I4" s="100" t="s">
        <v>946</v>
      </c>
      <c r="J4" s="100" t="s">
        <v>61</v>
      </c>
      <c r="K4" s="100">
        <v>3.0</v>
      </c>
      <c r="L4" s="80"/>
      <c r="M4" s="101" t="s">
        <v>882</v>
      </c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99" t="s">
        <v>125</v>
      </c>
      <c r="B5" s="99" t="s">
        <v>80</v>
      </c>
      <c r="D5" s="80"/>
      <c r="E5" s="99" t="s">
        <v>53</v>
      </c>
      <c r="F5" s="103" t="s">
        <v>947</v>
      </c>
      <c r="G5" s="99" t="s">
        <v>948</v>
      </c>
      <c r="H5" s="100" t="s">
        <v>813</v>
      </c>
      <c r="I5" s="100" t="s">
        <v>949</v>
      </c>
      <c r="J5" s="100" t="s">
        <v>259</v>
      </c>
      <c r="K5" s="100">
        <v>4.0</v>
      </c>
      <c r="L5" s="80"/>
      <c r="M5" s="101" t="s">
        <v>950</v>
      </c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99" t="s">
        <v>71</v>
      </c>
      <c r="B6" s="99" t="s">
        <v>951</v>
      </c>
      <c r="C6" s="80"/>
      <c r="D6" s="80"/>
      <c r="E6" s="99" t="s">
        <v>37</v>
      </c>
      <c r="F6" s="103" t="s">
        <v>952</v>
      </c>
      <c r="G6" s="99" t="s">
        <v>953</v>
      </c>
      <c r="H6" s="100" t="s">
        <v>954</v>
      </c>
      <c r="I6" s="80"/>
      <c r="J6" s="100" t="s">
        <v>481</v>
      </c>
      <c r="K6" s="100">
        <v>5.0</v>
      </c>
      <c r="L6" s="80"/>
      <c r="M6" s="101" t="s">
        <v>955</v>
      </c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99" t="s">
        <v>46</v>
      </c>
      <c r="B7" s="99" t="s">
        <v>299</v>
      </c>
      <c r="C7" s="80"/>
      <c r="D7" s="80"/>
      <c r="E7" s="99" t="s">
        <v>144</v>
      </c>
      <c r="F7" s="99" t="s">
        <v>267</v>
      </c>
      <c r="G7" s="99" t="s">
        <v>956</v>
      </c>
      <c r="H7" s="100">
        <v>1104.0</v>
      </c>
      <c r="I7" s="80"/>
      <c r="J7" s="100" t="s">
        <v>115</v>
      </c>
      <c r="K7" s="100">
        <v>6.0</v>
      </c>
      <c r="L7" s="80"/>
      <c r="M7" s="101" t="s">
        <v>957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99" t="s">
        <v>407</v>
      </c>
      <c r="B8" s="99" t="s">
        <v>36</v>
      </c>
      <c r="C8" s="80"/>
      <c r="D8" s="80"/>
      <c r="E8" s="80"/>
      <c r="F8" s="99" t="s">
        <v>958</v>
      </c>
      <c r="G8" s="99" t="s">
        <v>959</v>
      </c>
      <c r="H8" s="100">
        <v>1105.0</v>
      </c>
      <c r="I8" s="80"/>
      <c r="J8" s="100" t="s">
        <v>415</v>
      </c>
      <c r="K8" s="100">
        <v>7.0</v>
      </c>
      <c r="L8" s="80"/>
      <c r="M8" s="101" t="s">
        <v>960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99" t="s">
        <v>262</v>
      </c>
      <c r="B9" s="99" t="s">
        <v>961</v>
      </c>
      <c r="C9" s="80"/>
      <c r="D9" s="80"/>
      <c r="E9" s="80"/>
      <c r="F9" s="99" t="s">
        <v>962</v>
      </c>
      <c r="G9" s="99" t="s">
        <v>963</v>
      </c>
      <c r="H9" s="100">
        <v>1106.0</v>
      </c>
      <c r="I9" s="80"/>
      <c r="J9" s="100" t="s">
        <v>44</v>
      </c>
      <c r="K9" s="100">
        <v>8.0</v>
      </c>
      <c r="L9" s="80"/>
      <c r="M9" s="101" t="s">
        <v>964</v>
      </c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102" t="s">
        <v>34</v>
      </c>
      <c r="B10" s="99" t="s">
        <v>965</v>
      </c>
      <c r="C10" s="80"/>
      <c r="D10" s="80"/>
      <c r="E10" s="80"/>
      <c r="F10" s="99" t="s">
        <v>966</v>
      </c>
      <c r="G10" s="99" t="s">
        <v>967</v>
      </c>
      <c r="H10" s="100">
        <v>1107.0</v>
      </c>
      <c r="I10" s="80"/>
      <c r="J10" s="80"/>
      <c r="K10" s="100">
        <v>9.0</v>
      </c>
      <c r="L10" s="80"/>
      <c r="M10" s="101" t="s">
        <v>968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105"/>
      <c r="B11" s="99" t="s">
        <v>48</v>
      </c>
      <c r="C11" s="80"/>
      <c r="D11" s="80"/>
      <c r="E11" s="80"/>
      <c r="F11" s="99" t="s">
        <v>678</v>
      </c>
      <c r="G11" s="99" t="s">
        <v>969</v>
      </c>
      <c r="H11" s="100">
        <v>1108.0</v>
      </c>
      <c r="I11" s="80"/>
      <c r="J11" s="80"/>
      <c r="K11" s="100">
        <v>10.0</v>
      </c>
      <c r="L11" s="80"/>
      <c r="M11" s="101" t="s">
        <v>970</v>
      </c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80"/>
      <c r="B12" s="99" t="s">
        <v>88</v>
      </c>
      <c r="C12" s="80"/>
      <c r="D12" s="80"/>
      <c r="E12" s="80"/>
      <c r="F12" s="99" t="s">
        <v>845</v>
      </c>
      <c r="G12" s="99" t="s">
        <v>971</v>
      </c>
      <c r="H12" s="100">
        <v>1109.0</v>
      </c>
      <c r="I12" s="80"/>
      <c r="J12" s="80"/>
      <c r="K12" s="100">
        <v>44.0</v>
      </c>
      <c r="L12" s="80"/>
      <c r="M12" s="101" t="s">
        <v>972</v>
      </c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80"/>
      <c r="B13" s="99" t="s">
        <v>216</v>
      </c>
      <c r="C13" s="80"/>
      <c r="D13" s="80"/>
      <c r="E13" s="80"/>
      <c r="F13" s="99" t="s">
        <v>973</v>
      </c>
      <c r="G13" s="99" t="s">
        <v>974</v>
      </c>
      <c r="H13" s="100">
        <v>1110.0</v>
      </c>
      <c r="I13" s="80"/>
      <c r="J13" s="80"/>
      <c r="K13" s="100">
        <v>12.0</v>
      </c>
      <c r="L13" s="80"/>
      <c r="M13" s="101" t="s">
        <v>975</v>
      </c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99" t="s">
        <v>976</v>
      </c>
      <c r="C14" s="80"/>
      <c r="D14" s="80"/>
      <c r="E14" s="80"/>
      <c r="F14" s="99" t="s">
        <v>91</v>
      </c>
      <c r="G14" s="99" t="s">
        <v>977</v>
      </c>
      <c r="H14" s="100">
        <v>1111.0</v>
      </c>
      <c r="I14" s="80"/>
      <c r="J14" s="80"/>
      <c r="K14" s="100">
        <v>13.0</v>
      </c>
      <c r="L14" s="80"/>
      <c r="M14" s="101" t="s">
        <v>978</v>
      </c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99" t="s">
        <v>73</v>
      </c>
      <c r="C15" s="80"/>
      <c r="D15" s="80"/>
      <c r="E15" s="80"/>
      <c r="F15" s="99" t="s">
        <v>801</v>
      </c>
      <c r="G15" s="99" t="s">
        <v>83</v>
      </c>
      <c r="H15" s="100">
        <v>1112.0</v>
      </c>
      <c r="I15" s="80"/>
      <c r="J15" s="80"/>
      <c r="K15" s="100">
        <v>14.0</v>
      </c>
      <c r="L15" s="80"/>
      <c r="M15" s="85" t="s">
        <v>979</v>
      </c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99" t="s">
        <v>143</v>
      </c>
      <c r="C16" s="80"/>
      <c r="D16" s="80"/>
      <c r="E16" s="80"/>
      <c r="F16" s="99" t="s">
        <v>29</v>
      </c>
      <c r="G16" s="99" t="s">
        <v>980</v>
      </c>
      <c r="H16" s="100">
        <v>1113.0</v>
      </c>
      <c r="I16" s="80"/>
      <c r="J16" s="80"/>
      <c r="K16" s="100">
        <v>15.0</v>
      </c>
      <c r="L16" s="80"/>
      <c r="M16" s="85" t="s">
        <v>981</v>
      </c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99" t="s">
        <v>982</v>
      </c>
      <c r="C17" s="80"/>
      <c r="D17" s="80"/>
      <c r="E17" s="80"/>
      <c r="F17" s="99" t="s">
        <v>81</v>
      </c>
      <c r="G17" s="99" t="s">
        <v>928</v>
      </c>
      <c r="H17" s="100">
        <v>1114.0</v>
      </c>
      <c r="I17" s="80"/>
      <c r="J17" s="80"/>
      <c r="K17" s="100">
        <v>16.0</v>
      </c>
      <c r="L17" s="80"/>
      <c r="M17" s="85" t="s">
        <v>983</v>
      </c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99" t="s">
        <v>984</v>
      </c>
      <c r="C18" s="80"/>
      <c r="D18" s="80"/>
      <c r="E18" s="80"/>
      <c r="F18" s="99" t="s">
        <v>42</v>
      </c>
      <c r="G18" s="99" t="s">
        <v>985</v>
      </c>
      <c r="H18" s="100">
        <v>1115.0</v>
      </c>
      <c r="I18" s="80"/>
      <c r="J18" s="80"/>
      <c r="K18" s="100">
        <v>17.0</v>
      </c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99" t="s">
        <v>986</v>
      </c>
      <c r="C19" s="80"/>
      <c r="D19" s="80"/>
      <c r="E19" s="80"/>
      <c r="F19" s="99" t="s">
        <v>100</v>
      </c>
      <c r="G19" s="99" t="s">
        <v>987</v>
      </c>
      <c r="H19" s="100">
        <v>1116.0</v>
      </c>
      <c r="I19" s="80"/>
      <c r="J19" s="80"/>
      <c r="K19" s="100">
        <v>18.0</v>
      </c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99" t="s">
        <v>433</v>
      </c>
      <c r="C20" s="80"/>
      <c r="D20" s="80"/>
      <c r="E20" s="80"/>
      <c r="F20" s="99" t="s">
        <v>988</v>
      </c>
      <c r="G20" s="99" t="s">
        <v>989</v>
      </c>
      <c r="H20" s="100">
        <v>1117.0</v>
      </c>
      <c r="I20" s="80"/>
      <c r="J20" s="80"/>
      <c r="K20" s="100">
        <v>19.0</v>
      </c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80"/>
      <c r="B21" s="99" t="s">
        <v>443</v>
      </c>
      <c r="C21" s="80"/>
      <c r="D21" s="80"/>
      <c r="E21" s="80"/>
      <c r="F21" s="99" t="s">
        <v>990</v>
      </c>
      <c r="G21" s="99" t="s">
        <v>991</v>
      </c>
      <c r="H21" s="100">
        <v>1118.0</v>
      </c>
      <c r="I21" s="80"/>
      <c r="J21" s="80"/>
      <c r="K21" s="100">
        <v>80.0</v>
      </c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>
      <c r="A22" s="80"/>
      <c r="B22" s="99" t="s">
        <v>992</v>
      </c>
      <c r="C22" s="80"/>
      <c r="D22" s="80"/>
      <c r="E22" s="80"/>
      <c r="F22" s="99" t="s">
        <v>647</v>
      </c>
      <c r="G22" s="99" t="s">
        <v>924</v>
      </c>
      <c r="H22" s="100">
        <v>1119.0</v>
      </c>
      <c r="I22" s="80"/>
      <c r="J22" s="80"/>
      <c r="K22" s="100">
        <v>134.0</v>
      </c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>
      <c r="A23" s="80"/>
      <c r="B23" s="99" t="s">
        <v>993</v>
      </c>
      <c r="C23" s="80"/>
      <c r="D23" s="80"/>
      <c r="E23" s="80"/>
      <c r="F23" s="99" t="s">
        <v>89</v>
      </c>
      <c r="G23" s="99" t="s">
        <v>994</v>
      </c>
      <c r="H23" s="100">
        <v>1120.0</v>
      </c>
      <c r="I23" s="80"/>
      <c r="J23" s="80"/>
      <c r="K23" s="100">
        <v>94.0</v>
      </c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>
      <c r="A24" s="80"/>
      <c r="B24" s="99" t="s">
        <v>995</v>
      </c>
      <c r="C24" s="80"/>
      <c r="D24" s="80"/>
      <c r="E24" s="80"/>
      <c r="F24" s="99" t="s">
        <v>109</v>
      </c>
      <c r="G24" s="99" t="s">
        <v>689</v>
      </c>
      <c r="H24" s="100">
        <v>1121.0</v>
      </c>
      <c r="I24" s="80"/>
      <c r="J24" s="80"/>
      <c r="K24" s="100">
        <v>126.0</v>
      </c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>
      <c r="A25" s="80"/>
      <c r="B25" s="99" t="s">
        <v>996</v>
      </c>
      <c r="C25" s="80"/>
      <c r="D25" s="80"/>
      <c r="E25" s="80"/>
      <c r="F25" s="99" t="s">
        <v>374</v>
      </c>
      <c r="G25" s="99" t="s">
        <v>997</v>
      </c>
      <c r="H25" s="100">
        <v>1122.0</v>
      </c>
      <c r="I25" s="80"/>
      <c r="J25" s="80"/>
      <c r="K25" s="100">
        <v>121.0</v>
      </c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>
      <c r="A26" s="80"/>
      <c r="B26" s="99" t="s">
        <v>998</v>
      </c>
      <c r="C26" s="80"/>
      <c r="D26" s="80"/>
      <c r="E26" s="80"/>
      <c r="F26" s="99" t="s">
        <v>999</v>
      </c>
      <c r="G26" s="99" t="s">
        <v>980</v>
      </c>
      <c r="H26" s="100">
        <v>1123.0</v>
      </c>
      <c r="I26" s="80"/>
      <c r="J26" s="80"/>
      <c r="K26" s="100">
        <v>59.0</v>
      </c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80"/>
      <c r="B27" s="99" t="s">
        <v>1000</v>
      </c>
      <c r="C27" s="80"/>
      <c r="D27" s="80"/>
      <c r="E27" s="80"/>
      <c r="F27" s="99" t="s">
        <v>239</v>
      </c>
      <c r="G27" s="99" t="s">
        <v>1001</v>
      </c>
      <c r="H27" s="100">
        <v>1124.0</v>
      </c>
      <c r="I27" s="80"/>
      <c r="J27" s="80"/>
      <c r="K27" s="100">
        <v>145.0</v>
      </c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80"/>
      <c r="B28" s="99" t="s">
        <v>1002</v>
      </c>
      <c r="C28" s="80"/>
      <c r="D28" s="80"/>
      <c r="E28" s="80"/>
      <c r="F28" s="99" t="s">
        <v>22</v>
      </c>
      <c r="G28" s="99" t="s">
        <v>921</v>
      </c>
      <c r="H28" s="100">
        <v>1125.0</v>
      </c>
      <c r="I28" s="80"/>
      <c r="J28" s="80"/>
      <c r="K28" s="100">
        <v>87.0</v>
      </c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>
      <c r="A29" s="80"/>
      <c r="B29" s="99" t="s">
        <v>1003</v>
      </c>
      <c r="C29" s="80"/>
      <c r="D29" s="80"/>
      <c r="E29" s="80"/>
      <c r="F29" s="99" t="s">
        <v>1004</v>
      </c>
      <c r="G29" s="99" t="s">
        <v>918</v>
      </c>
      <c r="H29" s="100">
        <v>1126.0</v>
      </c>
      <c r="I29" s="80"/>
      <c r="J29" s="80"/>
      <c r="K29" s="100">
        <v>42.0</v>
      </c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>
      <c r="A30" s="80"/>
      <c r="B30" s="99" t="s">
        <v>1005</v>
      </c>
      <c r="C30" s="80"/>
      <c r="D30" s="80"/>
      <c r="E30" s="80"/>
      <c r="F30" s="99" t="s">
        <v>100</v>
      </c>
      <c r="G30" s="103" t="s">
        <v>860</v>
      </c>
      <c r="H30" s="100">
        <v>1127.0</v>
      </c>
      <c r="I30" s="80"/>
      <c r="J30" s="80"/>
      <c r="K30" s="100">
        <v>110.0</v>
      </c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>
      <c r="A31" s="80"/>
      <c r="B31" s="99" t="s">
        <v>1006</v>
      </c>
      <c r="C31" s="80"/>
      <c r="D31" s="80"/>
      <c r="E31" s="80"/>
      <c r="F31" s="99" t="s">
        <v>250</v>
      </c>
      <c r="G31" s="99" t="s">
        <v>76</v>
      </c>
      <c r="H31" s="100">
        <v>1128.0</v>
      </c>
      <c r="I31" s="80"/>
      <c r="J31" s="80"/>
      <c r="K31" s="100">
        <v>45.0</v>
      </c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80"/>
      <c r="B32" s="99" t="s">
        <v>1007</v>
      </c>
      <c r="C32" s="80"/>
      <c r="D32" s="80"/>
      <c r="E32" s="80"/>
      <c r="F32" s="99" t="s">
        <v>63</v>
      </c>
      <c r="G32" s="80"/>
      <c r="H32" s="100">
        <v>1129.0</v>
      </c>
      <c r="I32" s="80"/>
      <c r="J32" s="80"/>
      <c r="K32" s="100">
        <v>175.0</v>
      </c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>
      <c r="A33" s="80"/>
      <c r="B33" s="99" t="s">
        <v>228</v>
      </c>
      <c r="C33" s="80"/>
      <c r="D33" s="80"/>
      <c r="E33" s="80"/>
      <c r="F33" s="94" t="s">
        <v>75</v>
      </c>
      <c r="G33" s="80"/>
      <c r="H33" s="100">
        <v>1130.0</v>
      </c>
      <c r="I33" s="80"/>
      <c r="J33" s="80"/>
      <c r="K33" s="100">
        <v>44.0</v>
      </c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80"/>
      <c r="B34" s="99" t="s">
        <v>1008</v>
      </c>
      <c r="C34" s="80"/>
      <c r="D34" s="80"/>
      <c r="E34" s="80"/>
      <c r="F34" s="94" t="s">
        <v>1009</v>
      </c>
      <c r="G34" s="80"/>
      <c r="H34" s="100">
        <v>1131.0</v>
      </c>
      <c r="I34" s="80"/>
      <c r="J34" s="80"/>
      <c r="K34" s="100">
        <v>70.0</v>
      </c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80"/>
      <c r="B35" s="99" t="s">
        <v>224</v>
      </c>
      <c r="C35" s="80"/>
      <c r="D35" s="80"/>
      <c r="E35" s="80"/>
      <c r="F35" s="99" t="s">
        <v>505</v>
      </c>
      <c r="G35" s="80"/>
      <c r="H35" s="100">
        <v>1132.0</v>
      </c>
      <c r="I35" s="80"/>
      <c r="J35" s="80"/>
      <c r="K35" s="100">
        <v>65.0</v>
      </c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>
      <c r="A36" s="80"/>
      <c r="B36" s="99" t="s">
        <v>1010</v>
      </c>
      <c r="C36" s="80"/>
      <c r="D36" s="80"/>
      <c r="E36" s="80"/>
      <c r="F36" s="99" t="s">
        <v>1011</v>
      </c>
      <c r="G36" s="80"/>
      <c r="H36" s="100">
        <v>1133.0</v>
      </c>
      <c r="I36" s="80"/>
      <c r="J36" s="80"/>
      <c r="K36" s="100">
        <v>252.0</v>
      </c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>
      <c r="A37" s="80"/>
      <c r="B37" s="99" t="s">
        <v>106</v>
      </c>
      <c r="C37" s="80"/>
      <c r="D37" s="80"/>
      <c r="E37" s="80"/>
      <c r="F37" s="99" t="s">
        <v>1012</v>
      </c>
      <c r="G37" s="80"/>
      <c r="H37" s="100">
        <v>1134.0</v>
      </c>
      <c r="I37" s="80"/>
      <c r="J37" s="80"/>
      <c r="K37" s="100">
        <v>125.0</v>
      </c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>
      <c r="A38" s="80"/>
      <c r="B38" s="99" t="s">
        <v>1013</v>
      </c>
      <c r="C38" s="80"/>
      <c r="D38" s="80"/>
      <c r="E38" s="80"/>
      <c r="F38" s="99" t="s">
        <v>1014</v>
      </c>
      <c r="G38" s="80"/>
      <c r="H38" s="100">
        <v>1135.0</v>
      </c>
      <c r="I38" s="80"/>
      <c r="J38" s="80"/>
      <c r="K38" s="100">
        <v>114.0</v>
      </c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>
      <c r="A39" s="80"/>
      <c r="B39" s="99" t="s">
        <v>1015</v>
      </c>
      <c r="C39" s="80"/>
      <c r="D39" s="80"/>
      <c r="E39" s="80"/>
      <c r="F39" s="99" t="s">
        <v>900</v>
      </c>
      <c r="G39" s="80"/>
      <c r="H39" s="100">
        <v>1137.0</v>
      </c>
      <c r="I39" s="80"/>
      <c r="J39" s="80"/>
      <c r="K39" s="100">
        <v>75.0</v>
      </c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>
      <c r="A40" s="80"/>
      <c r="B40" s="99" t="s">
        <v>233</v>
      </c>
      <c r="C40" s="80"/>
      <c r="D40" s="80"/>
      <c r="E40" s="80"/>
      <c r="F40" s="80" t="s">
        <v>1016</v>
      </c>
      <c r="G40" s="80"/>
      <c r="H40" s="100">
        <v>1170.0</v>
      </c>
      <c r="I40" s="80"/>
      <c r="J40" s="80"/>
      <c r="K40" s="100">
        <v>97.0</v>
      </c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80"/>
      <c r="B41" s="99" t="s">
        <v>1017</v>
      </c>
      <c r="C41" s="80"/>
      <c r="D41" s="80"/>
      <c r="E41" s="80"/>
      <c r="F41" s="99" t="s">
        <v>1018</v>
      </c>
      <c r="G41" s="80"/>
      <c r="H41" s="100">
        <v>1171.0</v>
      </c>
      <c r="I41" s="80"/>
      <c r="J41" s="80"/>
      <c r="K41" s="100">
        <v>109.0</v>
      </c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80"/>
      <c r="B42" s="99" t="s">
        <v>1019</v>
      </c>
      <c r="C42" s="80"/>
      <c r="D42" s="80"/>
      <c r="E42" s="80"/>
      <c r="F42" s="85" t="s">
        <v>179</v>
      </c>
      <c r="G42" s="80"/>
      <c r="H42" s="100">
        <v>1172.0</v>
      </c>
      <c r="I42" s="80"/>
      <c r="J42" s="80"/>
      <c r="K42" s="100" t="s">
        <v>1020</v>
      </c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>
      <c r="A43" s="80"/>
      <c r="B43" s="99" t="s">
        <v>1021</v>
      </c>
      <c r="C43" s="80"/>
      <c r="D43" s="80"/>
      <c r="E43" s="80"/>
      <c r="F43" s="80"/>
      <c r="G43" s="80"/>
      <c r="H43" s="100">
        <v>1173.0</v>
      </c>
      <c r="I43" s="80"/>
      <c r="J43" s="80"/>
      <c r="K43" s="100">
        <v>150.0</v>
      </c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>
      <c r="A44" s="80"/>
      <c r="B44" s="99" t="s">
        <v>1022</v>
      </c>
      <c r="C44" s="80"/>
      <c r="D44" s="80"/>
      <c r="E44" s="80"/>
      <c r="F44" s="80"/>
      <c r="G44" s="80"/>
      <c r="H44" s="100">
        <v>1174.0</v>
      </c>
      <c r="I44" s="80"/>
      <c r="J44" s="80"/>
      <c r="K44" s="100">
        <v>70.0</v>
      </c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>
      <c r="A45" s="80"/>
      <c r="B45" s="99" t="s">
        <v>1023</v>
      </c>
      <c r="C45" s="80"/>
      <c r="D45" s="80"/>
      <c r="E45" s="80"/>
      <c r="F45" s="80"/>
      <c r="G45" s="80"/>
      <c r="H45" s="100">
        <v>1175.0</v>
      </c>
      <c r="I45" s="80"/>
      <c r="J45" s="80"/>
      <c r="K45" s="100">
        <v>85.0</v>
      </c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>
      <c r="A46" s="80"/>
      <c r="B46" s="106" t="s">
        <v>1024</v>
      </c>
      <c r="C46" s="80"/>
      <c r="D46" s="80"/>
      <c r="E46" s="80"/>
      <c r="F46" s="80"/>
      <c r="G46" s="80"/>
      <c r="H46" s="100">
        <v>1176.0</v>
      </c>
      <c r="I46" s="80"/>
      <c r="J46" s="80"/>
      <c r="K46" s="100">
        <v>181.0</v>
      </c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>
      <c r="A47" s="80"/>
      <c r="B47" s="99" t="s">
        <v>1025</v>
      </c>
      <c r="C47" s="80"/>
      <c r="D47" s="80"/>
      <c r="E47" s="80"/>
      <c r="F47" s="80"/>
      <c r="G47" s="80"/>
      <c r="H47" s="100" t="s">
        <v>1026</v>
      </c>
      <c r="I47" s="80"/>
      <c r="J47" s="80"/>
      <c r="K47" s="100">
        <v>233.0</v>
      </c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80"/>
      <c r="B48" s="99" t="s">
        <v>1003</v>
      </c>
      <c r="C48" s="80"/>
      <c r="D48" s="80"/>
      <c r="E48" s="80"/>
      <c r="F48" s="80"/>
      <c r="G48" s="80"/>
      <c r="H48" s="100" t="s">
        <v>256</v>
      </c>
      <c r="I48" s="80"/>
      <c r="J48" s="80"/>
      <c r="K48" s="100">
        <v>211.0</v>
      </c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80"/>
      <c r="B49" s="99" t="s">
        <v>1027</v>
      </c>
      <c r="C49" s="80"/>
      <c r="D49" s="80"/>
      <c r="E49" s="80"/>
      <c r="F49" s="80"/>
      <c r="G49" s="80"/>
      <c r="H49" s="100" t="s">
        <v>252</v>
      </c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80"/>
      <c r="B50" s="99" t="s">
        <v>1006</v>
      </c>
      <c r="C50" s="80"/>
      <c r="D50" s="80"/>
      <c r="E50" s="80"/>
      <c r="F50" s="80"/>
      <c r="G50" s="80"/>
      <c r="H50" s="100" t="s">
        <v>263</v>
      </c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>
      <c r="A51" s="80"/>
      <c r="B51" s="99" t="s">
        <v>143</v>
      </c>
      <c r="C51" s="80"/>
      <c r="D51" s="80"/>
      <c r="E51" s="80"/>
      <c r="F51" s="80"/>
      <c r="G51" s="80"/>
      <c r="H51" s="100" t="s">
        <v>181</v>
      </c>
      <c r="I51" s="80"/>
      <c r="J51" s="80"/>
      <c r="K51" s="100">
        <v>225.0</v>
      </c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>
      <c r="A52" s="80"/>
      <c r="B52" s="99" t="s">
        <v>1028</v>
      </c>
      <c r="C52" s="80"/>
      <c r="D52" s="80"/>
      <c r="E52" s="80"/>
      <c r="F52" s="80"/>
      <c r="G52" s="80"/>
      <c r="H52" s="100" t="s">
        <v>139</v>
      </c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>
      <c r="A53" s="80"/>
      <c r="B53" s="99" t="s">
        <v>485</v>
      </c>
      <c r="C53" s="80"/>
      <c r="D53" s="80"/>
      <c r="E53" s="80"/>
      <c r="F53" s="80"/>
      <c r="G53" s="80"/>
      <c r="H53" s="100" t="s">
        <v>244</v>
      </c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>
      <c r="A54" s="80"/>
      <c r="B54" s="80" t="s">
        <v>1029</v>
      </c>
      <c r="C54" s="80"/>
      <c r="D54" s="80"/>
      <c r="E54" s="80"/>
      <c r="F54" s="80"/>
      <c r="G54" s="80"/>
      <c r="H54" s="100" t="s">
        <v>79</v>
      </c>
      <c r="I54" s="80"/>
      <c r="J54" s="80"/>
      <c r="K54" s="100">
        <v>52.0</v>
      </c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80"/>
      <c r="B55" s="99" t="s">
        <v>1030</v>
      </c>
      <c r="C55" s="80"/>
      <c r="D55" s="80"/>
      <c r="E55" s="80"/>
      <c r="F55" s="80"/>
      <c r="G55" s="80"/>
      <c r="H55" s="100" t="s">
        <v>62</v>
      </c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80"/>
      <c r="B56" s="99" t="s">
        <v>1031</v>
      </c>
      <c r="C56" s="80"/>
      <c r="D56" s="80"/>
      <c r="E56" s="80"/>
      <c r="F56" s="80"/>
      <c r="G56" s="80"/>
      <c r="H56" s="100" t="s">
        <v>126</v>
      </c>
      <c r="I56" s="80"/>
      <c r="J56" s="80"/>
      <c r="K56" s="100">
        <v>115.0</v>
      </c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80"/>
      <c r="B57" s="99" t="s">
        <v>1032</v>
      </c>
      <c r="C57" s="80"/>
      <c r="D57" s="80"/>
      <c r="E57" s="80"/>
      <c r="F57" s="80"/>
      <c r="G57" s="80"/>
      <c r="H57" s="100" t="s">
        <v>249</v>
      </c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>
      <c r="A58" s="80"/>
      <c r="B58" s="99" t="s">
        <v>1033</v>
      </c>
      <c r="C58" s="80"/>
      <c r="D58" s="80"/>
      <c r="E58" s="80"/>
      <c r="F58" s="80"/>
      <c r="G58" s="80"/>
      <c r="H58" s="100" t="s">
        <v>47</v>
      </c>
      <c r="I58" s="80"/>
      <c r="J58" s="80"/>
      <c r="K58" s="100">
        <v>60.0</v>
      </c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80"/>
      <c r="B59" s="99" t="s">
        <v>1034</v>
      </c>
      <c r="C59" s="80"/>
      <c r="D59" s="80"/>
      <c r="E59" s="80"/>
      <c r="F59" s="80"/>
      <c r="G59" s="80"/>
      <c r="H59" s="100" t="s">
        <v>167</v>
      </c>
      <c r="I59" s="80"/>
      <c r="J59" s="80"/>
      <c r="K59" s="100">
        <v>103.0</v>
      </c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80"/>
      <c r="B60" s="94" t="s">
        <v>1035</v>
      </c>
      <c r="C60" s="80"/>
      <c r="D60" s="80"/>
      <c r="E60" s="80"/>
      <c r="F60" s="80"/>
      <c r="G60" s="80"/>
      <c r="H60" s="100" t="s">
        <v>58</v>
      </c>
      <c r="I60" s="80"/>
      <c r="J60" s="80"/>
      <c r="K60" s="100">
        <v>41.0</v>
      </c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80"/>
      <c r="B61" s="94" t="s">
        <v>1036</v>
      </c>
      <c r="C61" s="80"/>
      <c r="D61" s="80"/>
      <c r="E61" s="80"/>
      <c r="F61" s="80"/>
      <c r="G61" s="80"/>
      <c r="H61" s="100" t="s">
        <v>408</v>
      </c>
      <c r="I61" s="80"/>
      <c r="J61" s="80"/>
      <c r="K61" s="100">
        <v>85.0</v>
      </c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80"/>
      <c r="B62" s="94" t="s">
        <v>1037</v>
      </c>
      <c r="C62" s="80"/>
      <c r="D62" s="80"/>
      <c r="E62" s="80"/>
      <c r="F62" s="80"/>
      <c r="G62" s="80"/>
      <c r="H62" s="100" t="s">
        <v>35</v>
      </c>
      <c r="I62" s="80"/>
      <c r="J62" s="80"/>
      <c r="K62" s="100">
        <v>125.0</v>
      </c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80"/>
      <c r="B63" s="85" t="s">
        <v>691</v>
      </c>
      <c r="C63" s="80"/>
      <c r="D63" s="80"/>
      <c r="E63" s="80"/>
      <c r="F63" s="80"/>
      <c r="G63" s="80"/>
      <c r="H63" s="100" t="s">
        <v>129</v>
      </c>
      <c r="I63" s="80"/>
      <c r="J63" s="80"/>
      <c r="K63" s="100">
        <v>87.0</v>
      </c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80"/>
      <c r="B64" s="85" t="s">
        <v>1038</v>
      </c>
      <c r="C64" s="80"/>
      <c r="D64" s="80"/>
      <c r="E64" s="80"/>
      <c r="F64" s="80"/>
      <c r="G64" s="80"/>
      <c r="H64" s="100" t="s">
        <v>173</v>
      </c>
      <c r="I64" s="80"/>
      <c r="J64" s="80"/>
      <c r="K64" s="100">
        <v>27.0</v>
      </c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80"/>
      <c r="B65" s="85" t="s">
        <v>1039</v>
      </c>
      <c r="C65" s="80"/>
      <c r="D65" s="80"/>
      <c r="E65" s="80"/>
      <c r="F65" s="80"/>
      <c r="G65" s="80"/>
      <c r="H65" s="100" t="s">
        <v>51</v>
      </c>
      <c r="I65" s="80"/>
      <c r="J65" s="80"/>
      <c r="K65" s="100">
        <v>28.0</v>
      </c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80"/>
      <c r="B66" s="85" t="s">
        <v>1040</v>
      </c>
      <c r="C66" s="80"/>
      <c r="D66" s="80"/>
      <c r="E66" s="80"/>
      <c r="F66" s="80"/>
      <c r="G66" s="80"/>
      <c r="H66" s="100" t="s">
        <v>1041</v>
      </c>
      <c r="I66" s="80"/>
      <c r="J66" s="80"/>
      <c r="K66" s="100">
        <v>135.0</v>
      </c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80"/>
      <c r="B67" s="80"/>
      <c r="C67" s="80"/>
      <c r="D67" s="80"/>
      <c r="E67" s="80"/>
      <c r="F67" s="80"/>
      <c r="G67" s="80"/>
      <c r="H67" s="100" t="s">
        <v>870</v>
      </c>
      <c r="I67" s="80"/>
      <c r="J67" s="80"/>
      <c r="K67" s="100">
        <v>140.0</v>
      </c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80"/>
      <c r="B68" s="80"/>
      <c r="C68" s="80"/>
      <c r="D68" s="80"/>
      <c r="E68" s="80"/>
      <c r="F68" s="80"/>
      <c r="G68" s="80"/>
      <c r="H68" s="100" t="s">
        <v>150</v>
      </c>
      <c r="I68" s="80"/>
      <c r="J68" s="80"/>
      <c r="K68" s="100">
        <v>75.0</v>
      </c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80"/>
      <c r="B69" s="80"/>
      <c r="C69" s="80"/>
      <c r="D69" s="80"/>
      <c r="E69" s="80"/>
      <c r="F69" s="80"/>
      <c r="G69" s="80"/>
      <c r="H69" s="100" t="s">
        <v>72</v>
      </c>
      <c r="I69" s="80"/>
      <c r="J69" s="80"/>
      <c r="K69" s="100">
        <v>133.0</v>
      </c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80"/>
      <c r="B70" s="80"/>
      <c r="C70" s="80"/>
      <c r="D70" s="80"/>
      <c r="E70" s="80"/>
      <c r="F70" s="80"/>
      <c r="G70" s="80"/>
      <c r="H70" s="107">
        <v>1139.0</v>
      </c>
      <c r="I70" s="80"/>
      <c r="J70" s="80"/>
      <c r="K70" s="100">
        <v>227.0</v>
      </c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80"/>
      <c r="B71" s="80"/>
      <c r="C71" s="80"/>
      <c r="D71" s="80"/>
      <c r="E71" s="80"/>
      <c r="F71" s="80"/>
      <c r="G71" s="80"/>
      <c r="H71" s="107">
        <v>1138.0</v>
      </c>
      <c r="I71" s="80"/>
      <c r="J71" s="80"/>
      <c r="K71" s="100">
        <v>153.0</v>
      </c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80"/>
      <c r="B72" s="80"/>
      <c r="C72" s="80"/>
      <c r="D72" s="80"/>
      <c r="E72" s="80"/>
      <c r="F72" s="80"/>
      <c r="G72" s="80"/>
      <c r="H72" s="100">
        <v>1137.0</v>
      </c>
      <c r="I72" s="80"/>
      <c r="J72" s="80"/>
      <c r="K72" s="100">
        <v>128.0</v>
      </c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80"/>
      <c r="B73" s="80"/>
      <c r="C73" s="80"/>
      <c r="D73" s="80"/>
      <c r="E73" s="80"/>
      <c r="F73" s="80"/>
      <c r="G73" s="80"/>
      <c r="H73" s="100" t="s">
        <v>94</v>
      </c>
      <c r="I73" s="80"/>
      <c r="J73" s="80"/>
      <c r="K73" s="100">
        <v>102.0</v>
      </c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80"/>
      <c r="B74" s="80"/>
      <c r="C74" s="80"/>
      <c r="D74" s="80"/>
      <c r="E74" s="80"/>
      <c r="F74" s="80"/>
      <c r="G74" s="80"/>
      <c r="H74" s="100" t="s">
        <v>96</v>
      </c>
      <c r="I74" s="80"/>
      <c r="J74" s="80"/>
      <c r="K74" s="100">
        <v>374.0</v>
      </c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80"/>
      <c r="B75" s="80"/>
      <c r="C75" s="80"/>
      <c r="D75" s="80"/>
      <c r="E75" s="80"/>
      <c r="F75" s="80"/>
      <c r="G75" s="80"/>
      <c r="H75" s="100" t="s">
        <v>97</v>
      </c>
      <c r="I75" s="80"/>
      <c r="J75" s="80"/>
      <c r="K75" s="100">
        <v>124.0</v>
      </c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80"/>
      <c r="B76" s="80"/>
      <c r="C76" s="80"/>
      <c r="D76" s="80"/>
      <c r="E76" s="80"/>
      <c r="F76" s="80"/>
      <c r="G76" s="80"/>
      <c r="H76" s="100" t="s">
        <v>98</v>
      </c>
      <c r="I76" s="80"/>
      <c r="J76" s="80"/>
      <c r="K76" s="100">
        <v>79.0</v>
      </c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80"/>
      <c r="B77" s="80"/>
      <c r="C77" s="80"/>
      <c r="D77" s="80"/>
      <c r="E77" s="80"/>
      <c r="F77" s="80"/>
      <c r="G77" s="80"/>
      <c r="H77" s="100" t="s">
        <v>99</v>
      </c>
      <c r="I77" s="80"/>
      <c r="J77" s="80"/>
      <c r="K77" s="100">
        <v>100.0</v>
      </c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80"/>
      <c r="B78" s="80"/>
      <c r="C78" s="80"/>
      <c r="D78" s="80"/>
      <c r="E78" s="80"/>
      <c r="F78" s="80"/>
      <c r="G78" s="80"/>
      <c r="H78" s="100" t="s">
        <v>66</v>
      </c>
      <c r="I78" s="80"/>
      <c r="J78" s="80"/>
      <c r="K78" s="100">
        <v>65.0</v>
      </c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80"/>
      <c r="B79" s="80"/>
      <c r="C79" s="80"/>
      <c r="D79" s="80"/>
      <c r="E79" s="80"/>
      <c r="F79" s="80"/>
      <c r="G79" s="80"/>
      <c r="H79" s="100" t="s">
        <v>147</v>
      </c>
      <c r="I79" s="80"/>
      <c r="J79" s="80"/>
      <c r="K79" s="100">
        <v>162.0</v>
      </c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80"/>
      <c r="B80" s="80"/>
      <c r="C80" s="80"/>
      <c r="D80" s="80"/>
      <c r="E80" s="80"/>
      <c r="F80" s="80"/>
      <c r="G80" s="80"/>
      <c r="H80" s="100" t="s">
        <v>1042</v>
      </c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</row>
  </sheetData>
  <dataValidations>
    <dataValidation type="custom" allowBlank="1" showDropDown="1" sqref="D67">
      <formula1>NOT(ISERROR(SEARCH((INDIRECT(B67)),(D67))))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</cols>
  <sheetData>
    <row r="5">
      <c r="C5" s="25" t="s">
        <v>1043</v>
      </c>
    </row>
    <row r="6">
      <c r="C6" s="64" t="str">
        <f t="array" ref="C6:C8"> unique(DESPLEGABLES1!B2:B79)</f>
        <v>ASISTENCIA VIAL</v>
      </c>
    </row>
    <row r="7">
      <c r="C7" s="64" t="s">
        <v>38</v>
      </c>
    </row>
    <row r="8">
      <c r="C8" s="64" t="s">
        <v>323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8" t="s">
        <v>894</v>
      </c>
      <c r="C2" s="108" t="s">
        <v>1044</v>
      </c>
    </row>
    <row r="3">
      <c r="B3" s="64" t="str">
        <f t="array" ref="B3:B647">'PROCEDIMIENTOS EN RUTA'!L3:L1511</f>
        <v/>
      </c>
      <c r="C3" s="64" t="str">
        <f>IFERROR(__xludf.DUMMYFUNCTION(" TRANSPOSE( unique ( QUERY(DATOPRO,""select Col2 where Col1 = '""&amp;B3&amp;""'"")))"),"")</f>
        <v/>
      </c>
    </row>
    <row r="4">
      <c r="B4" s="64" t="s">
        <v>38</v>
      </c>
      <c r="C4" s="64" t="str">
        <f>IFERROR(__xludf.DUMMYFUNCTION(" TRANSPOSE( unique ( QUERY(DATOPRO,""select Col2 where Col1 = '""&amp;B4&amp;""'"")))"),"ATAQUE ARMADO")</f>
        <v>ATAQUE ARMADO</v>
      </c>
      <c r="D4" s="64" t="str">
        <f>IFERROR(__xludf.DUMMYFUNCTION("""COMPUTED_VALUE"""),"DESBALANCE DE CARGA")</f>
        <v>DESBALANCE DE CARGA</v>
      </c>
      <c r="E4" s="64" t="str">
        <f>IFERROR(__xludf.DUMMYFUNCTION("""COMPUTED_VALUE"""),"PERSONA FALLECIDA")</f>
        <v>PERSONA FALLECIDA</v>
      </c>
      <c r="F4" s="64" t="str">
        <f>IFERROR(__xludf.DUMMYFUNCTION("""COMPUTED_VALUE"""),"DESPRENDIMIENTO DE NEUMATICO")</f>
        <v>DESPRENDIMIENTO DE NEUMATICO</v>
      </c>
      <c r="G4" s="64" t="str">
        <f>IFERROR(__xludf.DUMMYFUNCTION("""COMPUTED_VALUE"""),"SALIDA DE PISTA")</f>
        <v>SALIDA DE PISTA</v>
      </c>
      <c r="H4" s="64" t="str">
        <f>IFERROR(__xludf.DUMMYFUNCTION("""COMPUTED_VALUE"""),"DESPRENDIMIENTO DE CONTENEDOR")</f>
        <v>DESPRENDIMIENTO DE CONTENEDOR</v>
      </c>
      <c r="I4" s="64" t="str">
        <f>IFERROR(__xludf.DUMMYFUNCTION("""COMPUTED_VALUE"""),"CAÍDA DE CARGA")</f>
        <v>CAÍDA DE CARGA</v>
      </c>
      <c r="J4" s="64" t="str">
        <f>IFERROR(__xludf.DUMMYFUNCTION("""COMPUTED_VALUE"""),"CHOQUE")</f>
        <v>CHOQUE</v>
      </c>
      <c r="K4" s="64" t="str">
        <f>IFERROR(__xludf.DUMMYFUNCTION("""COMPUTED_VALUE"""),"COLISIÓN")</f>
        <v>COLISIÓN</v>
      </c>
      <c r="L4" s="64" t="str">
        <f>IFERROR(__xludf.DUMMYFUNCTION("""COMPUTED_VALUE"""),"COLISIÓN MÚLTIPLE")</f>
        <v>COLISIÓN MÚLTIPLE</v>
      </c>
      <c r="M4" s="64" t="str">
        <f>IFERROR(__xludf.DUMMYFUNCTION("""COMPUTED_VALUE"""),"DERRAPE")</f>
        <v>DERRAPE</v>
      </c>
      <c r="N4" s="64" t="str">
        <f>IFERROR(__xludf.DUMMYFUNCTION("""COMPUTED_VALUE"""),"VEHÍCULO INCENDIADO")</f>
        <v>VEHÍCULO INCENDIADO</v>
      </c>
      <c r="O4" s="64" t="str">
        <f>IFERROR(__xludf.DUMMYFUNCTION("""COMPUTED_VALUE"""),"VUELCO")</f>
        <v>VUELCO</v>
      </c>
      <c r="P4" s="64" t="str">
        <f>IFERROR(__xludf.DUMMYFUNCTION("""COMPUTED_VALUE"""),"DESPRENDIMIENTO")</f>
        <v>DESPRENDIMIENTO</v>
      </c>
      <c r="Q4" s="64" t="str">
        <f>IFERROR(__xludf.DUMMYFUNCTION("""COMPUTED_VALUE"""),"CAÍDA DE ÁRBOL")</f>
        <v>CAÍDA DE ÁRBOL</v>
      </c>
      <c r="R4" s="64" t="str">
        <f>IFERROR(__xludf.DUMMYFUNCTION("""COMPUTED_VALUE"""),"DESPRENDIMIENTO DE EJE")</f>
        <v>DESPRENDIMIENTO DE EJE</v>
      </c>
      <c r="S4" s="64" t="str">
        <f>IFERROR(__xludf.DUMMYFUNCTION("""COMPUTED_VALUE"""),"PERSONA ATROPELLADA")</f>
        <v>PERSONA ATROPELLADA</v>
      </c>
    </row>
    <row r="5">
      <c r="B5" s="64"/>
      <c r="C5" s="64" t="str">
        <f>IFERROR(__xludf.DUMMYFUNCTION(" TRANSPOSE( unique ( QUERY(DATOPRO,""select Col2 where Col1 = '""&amp;B5&amp;""'"")))"),"")</f>
        <v/>
      </c>
    </row>
    <row r="6">
      <c r="B6" s="64" t="s">
        <v>38</v>
      </c>
      <c r="C6" s="64" t="str">
        <f>IFERROR(__xludf.DUMMYFUNCTION(" TRANSPOSE( unique ( QUERY(DATOPRO,""select Col2 where Col1 = '""&amp;B6&amp;""'"")))"),"ATAQUE ARMADO")</f>
        <v>ATAQUE ARMADO</v>
      </c>
      <c r="D6" s="64" t="str">
        <f>IFERROR(__xludf.DUMMYFUNCTION("""COMPUTED_VALUE"""),"DESBALANCE DE CARGA")</f>
        <v>DESBALANCE DE CARGA</v>
      </c>
      <c r="E6" s="64" t="str">
        <f>IFERROR(__xludf.DUMMYFUNCTION("""COMPUTED_VALUE"""),"PERSONA FALLECIDA")</f>
        <v>PERSONA FALLECIDA</v>
      </c>
      <c r="F6" s="64" t="str">
        <f>IFERROR(__xludf.DUMMYFUNCTION("""COMPUTED_VALUE"""),"DESPRENDIMIENTO DE NEUMATICO")</f>
        <v>DESPRENDIMIENTO DE NEUMATICO</v>
      </c>
      <c r="G6" s="64" t="str">
        <f>IFERROR(__xludf.DUMMYFUNCTION("""COMPUTED_VALUE"""),"SALIDA DE PISTA")</f>
        <v>SALIDA DE PISTA</v>
      </c>
      <c r="H6" s="64" t="str">
        <f>IFERROR(__xludf.DUMMYFUNCTION("""COMPUTED_VALUE"""),"DESPRENDIMIENTO DE CONTENEDOR")</f>
        <v>DESPRENDIMIENTO DE CONTENEDOR</v>
      </c>
      <c r="I6" s="64" t="str">
        <f>IFERROR(__xludf.DUMMYFUNCTION("""COMPUTED_VALUE"""),"CAÍDA DE CARGA")</f>
        <v>CAÍDA DE CARGA</v>
      </c>
      <c r="J6" s="64" t="str">
        <f>IFERROR(__xludf.DUMMYFUNCTION("""COMPUTED_VALUE"""),"CHOQUE")</f>
        <v>CHOQUE</v>
      </c>
      <c r="K6" s="64" t="str">
        <f>IFERROR(__xludf.DUMMYFUNCTION("""COMPUTED_VALUE"""),"COLISIÓN")</f>
        <v>COLISIÓN</v>
      </c>
      <c r="L6" s="64" t="str">
        <f>IFERROR(__xludf.DUMMYFUNCTION("""COMPUTED_VALUE"""),"COLISIÓN MÚLTIPLE")</f>
        <v>COLISIÓN MÚLTIPLE</v>
      </c>
      <c r="M6" s="64" t="str">
        <f>IFERROR(__xludf.DUMMYFUNCTION("""COMPUTED_VALUE"""),"DERRAPE")</f>
        <v>DERRAPE</v>
      </c>
      <c r="N6" s="64" t="str">
        <f>IFERROR(__xludf.DUMMYFUNCTION("""COMPUTED_VALUE"""),"VEHÍCULO INCENDIADO")</f>
        <v>VEHÍCULO INCENDIADO</v>
      </c>
      <c r="O6" s="64" t="str">
        <f>IFERROR(__xludf.DUMMYFUNCTION("""COMPUTED_VALUE"""),"VUELCO")</f>
        <v>VUELCO</v>
      </c>
      <c r="P6" s="64" t="str">
        <f>IFERROR(__xludf.DUMMYFUNCTION("""COMPUTED_VALUE"""),"DESPRENDIMIENTO")</f>
        <v>DESPRENDIMIENTO</v>
      </c>
      <c r="Q6" s="64" t="str">
        <f>IFERROR(__xludf.DUMMYFUNCTION("""COMPUTED_VALUE"""),"CAÍDA DE ÁRBOL")</f>
        <v>CAÍDA DE ÁRBOL</v>
      </c>
      <c r="R6" s="64" t="str">
        <f>IFERROR(__xludf.DUMMYFUNCTION("""COMPUTED_VALUE"""),"DESPRENDIMIENTO DE EJE")</f>
        <v>DESPRENDIMIENTO DE EJE</v>
      </c>
      <c r="S6" s="64" t="str">
        <f>IFERROR(__xludf.DUMMYFUNCTION("""COMPUTED_VALUE"""),"PERSONA ATROPELLADA")</f>
        <v>PERSONA ATROPELLADA</v>
      </c>
    </row>
    <row r="7">
      <c r="B7" s="64" t="s">
        <v>54</v>
      </c>
      <c r="C7" s="64" t="str">
        <f>IFERROR(__xludf.DUMMYFUNCTION(" TRANSPOSE( unique ( QUERY(DATOPRO,""select Col2 where Col1 = '""&amp;B7&amp;""'"")))"),"PINCHAZO")</f>
        <v>PINCHAZO</v>
      </c>
      <c r="D7" s="64" t="str">
        <f>IFERROR(__xludf.DUMMYFUNCTION("""COMPUTED_VALUE"""),"TRABAJOS DE CARRETERA")</f>
        <v>TRABAJOS DE CARRETERA</v>
      </c>
      <c r="E7" s="64" t="str">
        <f>IFERROR(__xludf.DUMMYFUNCTION("""COMPUTED_VALUE"""),"CONSIGNACIÓN")</f>
        <v>CONSIGNACIÓN</v>
      </c>
      <c r="F7" s="64" t="str">
        <f>IFERROR(__xludf.DUMMYFUNCTION("""COMPUTED_VALUE"""),"DERRAME")</f>
        <v>DERRAME</v>
      </c>
      <c r="G7" s="64" t="str">
        <f>IFERROR(__xludf.DUMMYFUNCTION("""COMPUTED_VALUE"""),"CALENTAMIENTO")</f>
        <v>CALENTAMIENTO</v>
      </c>
      <c r="H7" s="64" t="str">
        <f>IFERROR(__xludf.DUMMYFUNCTION("""COMPUTED_VALUE"""),"ESCOLTANDO")</f>
        <v>ESCOLTANDO</v>
      </c>
      <c r="I7" s="64" t="str">
        <f>IFERROR(__xludf.DUMMYFUNCTION("""COMPUTED_VALUE"""),"FALTA DE COMBUSTIBLE")</f>
        <v>FALTA DE COMBUSTIBLE</v>
      </c>
      <c r="J7" s="64" t="str">
        <f>IFERROR(__xludf.DUMMYFUNCTION("""COMPUTED_VALUE"""),"DESPERFECTOS MECÁNICOS")</f>
        <v>DESPERFECTOS MECÁNICOS</v>
      </c>
      <c r="K7" s="64" t="str">
        <f>IFERROR(__xludf.DUMMYFUNCTION("""COMPUTED_VALUE"""),"LLAMADA DE ATENCIÓN")</f>
        <v>LLAMADA DE ATENCIÓN</v>
      </c>
      <c r="L7" s="64" t="str">
        <f>IFERROR(__xludf.DUMMYFUNCTION("""COMPUTED_VALUE"""),"OPERATIVOS")</f>
        <v>OPERATIVOS</v>
      </c>
      <c r="M7" s="64" t="str">
        <f>IFERROR(__xludf.DUMMYFUNCTION("""COMPUTED_VALUE"""),"SANCIÓN")</f>
        <v>SANCIÓN</v>
      </c>
      <c r="N7" s="64" t="str">
        <f>IFERROR(__xludf.DUMMYFUNCTION("""COMPUTED_VALUE"""),"SISTEMA ELECTRICO")</f>
        <v>SISTEMA ELECTRICO</v>
      </c>
      <c r="O7" s="64" t="str">
        <f>IFERROR(__xludf.DUMMYFUNCTION("""COMPUTED_VALUE"""),"ASISTENCIA AL USUARIO")</f>
        <v>ASISTENCIA AL USUARIO</v>
      </c>
      <c r="P7" s="64" t="str">
        <f>IFERROR(__xludf.DUMMYFUNCTION("""COMPUTED_VALUE"""),"DOBLE REMOLQUE")</f>
        <v>DOBLE REMOLQUE</v>
      </c>
      <c r="Q7" s="64" t="str">
        <f>IFERROR(__xludf.DUMMYFUNCTION("""COMPUTED_VALUE"""),"SINAPRESE")</f>
        <v>SINAPRESE</v>
      </c>
      <c r="R7" s="64" t="str">
        <f>IFERROR(__xludf.DUMMYFUNCTION("""COMPUTED_VALUE"""),"APOYO ATLETISMO")</f>
        <v>APOYO ATLETISMO</v>
      </c>
      <c r="S7" s="64" t="str">
        <f>IFERROR(__xludf.DUMMYFUNCTION("""COMPUTED_VALUE"""),"APOYO A CICLISMO")</f>
        <v>APOYO A CICLISMO</v>
      </c>
      <c r="T7" s="64" t="str">
        <f>IFERROR(__xludf.DUMMYFUNCTION("""COMPUTED_VALUE"""),"DESCARGA DE BATERÍA")</f>
        <v>DESCARGA DE BATERÍA</v>
      </c>
      <c r="U7" s="64" t="str">
        <f>IFERROR(__xludf.DUMMYFUNCTION("""COMPUTED_VALUE"""),"PROBLEMAS DE SALUD")</f>
        <v>PROBLEMAS DE SALUD</v>
      </c>
      <c r="V7" s="64" t="str">
        <f>IFERROR(__xludf.DUMMYFUNCTION("""COMPUTED_VALUE"""),"OLVIDO LA LLAVE")</f>
        <v>OLVIDO LA LLAVE</v>
      </c>
      <c r="W7" s="64" t="str">
        <f>IFERROR(__xludf.DUMMYFUNCTION("""COMPUTED_VALUE"""),"CARGA SOBREDIMENSIONADA")</f>
        <v>CARGA SOBREDIMENSIONADA</v>
      </c>
      <c r="X7" s="64" t="str">
        <f>IFERROR(__xludf.DUMMYFUNCTION("""COMPUTED_VALUE"""),"VEHÍCULO ABANDONADO")</f>
        <v>VEHÍCULO ABANDONADO</v>
      </c>
      <c r="Y7" s="64" t="str">
        <f>IFERROR(__xludf.DUMMYFUNCTION("""COMPUTED_VALUE"""),"DESPRENDIMIENTO")</f>
        <v>DESPRENDIMIENTO</v>
      </c>
      <c r="Z7" s="64" t="str">
        <f>IFERROR(__xludf.DUMMYFUNCTION("""COMPUTED_VALUE"""),"CAÍDA DE POSTE")</f>
        <v>CAÍDA DE POSTE</v>
      </c>
      <c r="AA7" s="64" t="str">
        <f>IFERROR(__xludf.DUMMYFUNCTION("""COMPUTED_VALUE"""),"CAÍDA DE RAMA")</f>
        <v>CAÍDA DE RAMA</v>
      </c>
      <c r="AB7" s="64" t="str">
        <f>IFERROR(__xludf.DUMMYFUNCTION("""COMPUTED_VALUE"""),"OPERATIVO DGT")</f>
        <v>OPERATIVO DGT</v>
      </c>
      <c r="AC7" s="64" t="str">
        <f>IFERROR(__xludf.DUMMYFUNCTION("""COMPUTED_VALUE"""),"OPERATIVO PMT")</f>
        <v>OPERATIVO PMT</v>
      </c>
      <c r="AD7" s="64" t="str">
        <f>IFERROR(__xludf.DUMMYFUNCTION("""COMPUTED_VALUE"""),"APOYO A DIGEF")</f>
        <v>APOYO A DIGEF</v>
      </c>
      <c r="AE7" s="64" t="str">
        <f>IFERROR(__xludf.DUMMYFUNCTION("""COMPUTED_VALUE"""),"OPERATIVO PNC TRANSITO")</f>
        <v>OPERATIVO PNC TRANSITO</v>
      </c>
      <c r="AF7" s="64" t="str">
        <f>IFERROR(__xludf.DUMMYFUNCTION("""COMPUTED_VALUE"""),"SOBRECARGA ")</f>
        <v>SOBRECARGA </v>
      </c>
      <c r="AG7" s="64" t="str">
        <f>IFERROR(__xludf.DUMMYFUNCTION("""COMPUTED_VALUE"""),"OPERATIVO EN CONJUNTO")</f>
        <v>OPERATIVO EN CONJUNTO</v>
      </c>
      <c r="AH7" s="64" t="str">
        <f>IFERROR(__xludf.DUMMYFUNCTION("""COMPUTED_VALUE"""),"PUESTO DE ATENCION AL USUARIO")</f>
        <v>PUESTO DE ATENCION AL USUARIO</v>
      </c>
      <c r="AI7" s="64" t="str">
        <f>IFERROR(__xludf.DUMMYFUNCTION("""COMPUTED_VALUE"""),"INCENDIO EN RUTA")</f>
        <v>INCENDIO EN RUTA</v>
      </c>
      <c r="AJ7" s="64" t="str">
        <f>IFERROR(__xludf.DUMMYFUNCTION("""COMPUTED_VALUE"""),"APOYO ANTORCHA ")</f>
        <v>APOYO ANTORCHA </v>
      </c>
    </row>
    <row r="8">
      <c r="B8" s="64" t="s">
        <v>38</v>
      </c>
      <c r="C8" s="64" t="str">
        <f>IFERROR(__xludf.DUMMYFUNCTION(" TRANSPOSE( unique ( QUERY(DATOPRO,""select Col2 where Col1 = '""&amp;B8&amp;""'"")))"),"ATAQUE ARMADO")</f>
        <v>ATAQUE ARMADO</v>
      </c>
      <c r="D8" s="64" t="str">
        <f>IFERROR(__xludf.DUMMYFUNCTION("""COMPUTED_VALUE"""),"DESBALANCE DE CARGA")</f>
        <v>DESBALANCE DE CARGA</v>
      </c>
      <c r="E8" s="64" t="str">
        <f>IFERROR(__xludf.DUMMYFUNCTION("""COMPUTED_VALUE"""),"PERSONA FALLECIDA")</f>
        <v>PERSONA FALLECIDA</v>
      </c>
      <c r="F8" s="64" t="str">
        <f>IFERROR(__xludf.DUMMYFUNCTION("""COMPUTED_VALUE"""),"DESPRENDIMIENTO DE NEUMATICO")</f>
        <v>DESPRENDIMIENTO DE NEUMATICO</v>
      </c>
      <c r="G8" s="64" t="str">
        <f>IFERROR(__xludf.DUMMYFUNCTION("""COMPUTED_VALUE"""),"SALIDA DE PISTA")</f>
        <v>SALIDA DE PISTA</v>
      </c>
      <c r="H8" s="64" t="str">
        <f>IFERROR(__xludf.DUMMYFUNCTION("""COMPUTED_VALUE"""),"DESPRENDIMIENTO DE CONTENEDOR")</f>
        <v>DESPRENDIMIENTO DE CONTENEDOR</v>
      </c>
      <c r="I8" s="64" t="str">
        <f>IFERROR(__xludf.DUMMYFUNCTION("""COMPUTED_VALUE"""),"CAÍDA DE CARGA")</f>
        <v>CAÍDA DE CARGA</v>
      </c>
      <c r="J8" s="64" t="str">
        <f>IFERROR(__xludf.DUMMYFUNCTION("""COMPUTED_VALUE"""),"CHOQUE")</f>
        <v>CHOQUE</v>
      </c>
      <c r="K8" s="64" t="str">
        <f>IFERROR(__xludf.DUMMYFUNCTION("""COMPUTED_VALUE"""),"COLISIÓN")</f>
        <v>COLISIÓN</v>
      </c>
      <c r="L8" s="64" t="str">
        <f>IFERROR(__xludf.DUMMYFUNCTION("""COMPUTED_VALUE"""),"COLISIÓN MÚLTIPLE")</f>
        <v>COLISIÓN MÚLTIPLE</v>
      </c>
      <c r="M8" s="64" t="str">
        <f>IFERROR(__xludf.DUMMYFUNCTION("""COMPUTED_VALUE"""),"DERRAPE")</f>
        <v>DERRAPE</v>
      </c>
      <c r="N8" s="64" t="str">
        <f>IFERROR(__xludf.DUMMYFUNCTION("""COMPUTED_VALUE"""),"VEHÍCULO INCENDIADO")</f>
        <v>VEHÍCULO INCENDIADO</v>
      </c>
      <c r="O8" s="64" t="str">
        <f>IFERROR(__xludf.DUMMYFUNCTION("""COMPUTED_VALUE"""),"VUELCO")</f>
        <v>VUELCO</v>
      </c>
      <c r="P8" s="64" t="str">
        <f>IFERROR(__xludf.DUMMYFUNCTION("""COMPUTED_VALUE"""),"DESPRENDIMIENTO")</f>
        <v>DESPRENDIMIENTO</v>
      </c>
      <c r="Q8" s="64" t="str">
        <f>IFERROR(__xludf.DUMMYFUNCTION("""COMPUTED_VALUE"""),"CAÍDA DE ÁRBOL")</f>
        <v>CAÍDA DE ÁRBOL</v>
      </c>
      <c r="R8" s="64" t="str">
        <f>IFERROR(__xludf.DUMMYFUNCTION("""COMPUTED_VALUE"""),"DESPRENDIMIENTO DE EJE")</f>
        <v>DESPRENDIMIENTO DE EJE</v>
      </c>
      <c r="S8" s="64" t="str">
        <f>IFERROR(__xludf.DUMMYFUNCTION("""COMPUTED_VALUE"""),"PERSONA ATROPELLADA")</f>
        <v>PERSONA ATROPELLADA</v>
      </c>
    </row>
    <row r="9">
      <c r="B9" s="64" t="s">
        <v>54</v>
      </c>
      <c r="C9" s="64" t="str">
        <f>IFERROR(__xludf.DUMMYFUNCTION(" TRANSPOSE( unique ( QUERY(DATOPRO,""select Col2 where Col1 = '""&amp;B9&amp;""'"")))"),"PINCHAZO")</f>
        <v>PINCHAZO</v>
      </c>
      <c r="D9" s="64" t="str">
        <f>IFERROR(__xludf.DUMMYFUNCTION("""COMPUTED_VALUE"""),"TRABAJOS DE CARRETERA")</f>
        <v>TRABAJOS DE CARRETERA</v>
      </c>
      <c r="E9" s="64" t="str">
        <f>IFERROR(__xludf.DUMMYFUNCTION("""COMPUTED_VALUE"""),"CONSIGNACIÓN")</f>
        <v>CONSIGNACIÓN</v>
      </c>
      <c r="F9" s="64" t="str">
        <f>IFERROR(__xludf.DUMMYFUNCTION("""COMPUTED_VALUE"""),"DERRAME")</f>
        <v>DERRAME</v>
      </c>
      <c r="G9" s="64" t="str">
        <f>IFERROR(__xludf.DUMMYFUNCTION("""COMPUTED_VALUE"""),"CALENTAMIENTO")</f>
        <v>CALENTAMIENTO</v>
      </c>
      <c r="H9" s="64" t="str">
        <f>IFERROR(__xludf.DUMMYFUNCTION("""COMPUTED_VALUE"""),"ESCOLTANDO")</f>
        <v>ESCOLTANDO</v>
      </c>
      <c r="I9" s="64" t="str">
        <f>IFERROR(__xludf.DUMMYFUNCTION("""COMPUTED_VALUE"""),"FALTA DE COMBUSTIBLE")</f>
        <v>FALTA DE COMBUSTIBLE</v>
      </c>
      <c r="J9" s="64" t="str">
        <f>IFERROR(__xludf.DUMMYFUNCTION("""COMPUTED_VALUE"""),"DESPERFECTOS MECÁNICOS")</f>
        <v>DESPERFECTOS MECÁNICOS</v>
      </c>
      <c r="K9" s="64" t="str">
        <f>IFERROR(__xludf.DUMMYFUNCTION("""COMPUTED_VALUE"""),"LLAMADA DE ATENCIÓN")</f>
        <v>LLAMADA DE ATENCIÓN</v>
      </c>
      <c r="L9" s="64" t="str">
        <f>IFERROR(__xludf.DUMMYFUNCTION("""COMPUTED_VALUE"""),"OPERATIVOS")</f>
        <v>OPERATIVOS</v>
      </c>
      <c r="M9" s="64" t="str">
        <f>IFERROR(__xludf.DUMMYFUNCTION("""COMPUTED_VALUE"""),"SANCIÓN")</f>
        <v>SANCIÓN</v>
      </c>
      <c r="N9" s="64" t="str">
        <f>IFERROR(__xludf.DUMMYFUNCTION("""COMPUTED_VALUE"""),"SISTEMA ELECTRICO")</f>
        <v>SISTEMA ELECTRICO</v>
      </c>
      <c r="O9" s="64" t="str">
        <f>IFERROR(__xludf.DUMMYFUNCTION("""COMPUTED_VALUE"""),"ASISTENCIA AL USUARIO")</f>
        <v>ASISTENCIA AL USUARIO</v>
      </c>
      <c r="P9" s="64" t="str">
        <f>IFERROR(__xludf.DUMMYFUNCTION("""COMPUTED_VALUE"""),"DOBLE REMOLQUE")</f>
        <v>DOBLE REMOLQUE</v>
      </c>
      <c r="Q9" s="64" t="str">
        <f>IFERROR(__xludf.DUMMYFUNCTION("""COMPUTED_VALUE"""),"SINAPRESE")</f>
        <v>SINAPRESE</v>
      </c>
      <c r="R9" s="64" t="str">
        <f>IFERROR(__xludf.DUMMYFUNCTION("""COMPUTED_VALUE"""),"APOYO ATLETISMO")</f>
        <v>APOYO ATLETISMO</v>
      </c>
      <c r="S9" s="64" t="str">
        <f>IFERROR(__xludf.DUMMYFUNCTION("""COMPUTED_VALUE"""),"APOYO A CICLISMO")</f>
        <v>APOYO A CICLISMO</v>
      </c>
      <c r="T9" s="64" t="str">
        <f>IFERROR(__xludf.DUMMYFUNCTION("""COMPUTED_VALUE"""),"DESCARGA DE BATERÍA")</f>
        <v>DESCARGA DE BATERÍA</v>
      </c>
      <c r="U9" s="64" t="str">
        <f>IFERROR(__xludf.DUMMYFUNCTION("""COMPUTED_VALUE"""),"PROBLEMAS DE SALUD")</f>
        <v>PROBLEMAS DE SALUD</v>
      </c>
      <c r="V9" s="64" t="str">
        <f>IFERROR(__xludf.DUMMYFUNCTION("""COMPUTED_VALUE"""),"OLVIDO LA LLAVE")</f>
        <v>OLVIDO LA LLAVE</v>
      </c>
      <c r="W9" s="64" t="str">
        <f>IFERROR(__xludf.DUMMYFUNCTION("""COMPUTED_VALUE"""),"CARGA SOBREDIMENSIONADA")</f>
        <v>CARGA SOBREDIMENSIONADA</v>
      </c>
      <c r="X9" s="64" t="str">
        <f>IFERROR(__xludf.DUMMYFUNCTION("""COMPUTED_VALUE"""),"VEHÍCULO ABANDONADO")</f>
        <v>VEHÍCULO ABANDONADO</v>
      </c>
      <c r="Y9" s="64" t="str">
        <f>IFERROR(__xludf.DUMMYFUNCTION("""COMPUTED_VALUE"""),"DESPRENDIMIENTO")</f>
        <v>DESPRENDIMIENTO</v>
      </c>
      <c r="Z9" s="64" t="str">
        <f>IFERROR(__xludf.DUMMYFUNCTION("""COMPUTED_VALUE"""),"CAÍDA DE POSTE")</f>
        <v>CAÍDA DE POSTE</v>
      </c>
      <c r="AA9" s="64" t="str">
        <f>IFERROR(__xludf.DUMMYFUNCTION("""COMPUTED_VALUE"""),"CAÍDA DE RAMA")</f>
        <v>CAÍDA DE RAMA</v>
      </c>
      <c r="AB9" s="64" t="str">
        <f>IFERROR(__xludf.DUMMYFUNCTION("""COMPUTED_VALUE"""),"OPERATIVO DGT")</f>
        <v>OPERATIVO DGT</v>
      </c>
      <c r="AC9" s="64" t="str">
        <f>IFERROR(__xludf.DUMMYFUNCTION("""COMPUTED_VALUE"""),"OPERATIVO PMT")</f>
        <v>OPERATIVO PMT</v>
      </c>
      <c r="AD9" s="64" t="str">
        <f>IFERROR(__xludf.DUMMYFUNCTION("""COMPUTED_VALUE"""),"APOYO A DIGEF")</f>
        <v>APOYO A DIGEF</v>
      </c>
      <c r="AE9" s="64" t="str">
        <f>IFERROR(__xludf.DUMMYFUNCTION("""COMPUTED_VALUE"""),"OPERATIVO PNC TRANSITO")</f>
        <v>OPERATIVO PNC TRANSITO</v>
      </c>
      <c r="AF9" s="64" t="str">
        <f>IFERROR(__xludf.DUMMYFUNCTION("""COMPUTED_VALUE"""),"SOBRECARGA ")</f>
        <v>SOBRECARGA </v>
      </c>
      <c r="AG9" s="64" t="str">
        <f>IFERROR(__xludf.DUMMYFUNCTION("""COMPUTED_VALUE"""),"OPERATIVO EN CONJUNTO")</f>
        <v>OPERATIVO EN CONJUNTO</v>
      </c>
      <c r="AH9" s="64" t="str">
        <f>IFERROR(__xludf.DUMMYFUNCTION("""COMPUTED_VALUE"""),"PUESTO DE ATENCION AL USUARIO")</f>
        <v>PUESTO DE ATENCION AL USUARIO</v>
      </c>
      <c r="AI9" s="64" t="str">
        <f>IFERROR(__xludf.DUMMYFUNCTION("""COMPUTED_VALUE"""),"INCENDIO EN RUTA")</f>
        <v>INCENDIO EN RUTA</v>
      </c>
      <c r="AJ9" s="64" t="str">
        <f>IFERROR(__xludf.DUMMYFUNCTION("""COMPUTED_VALUE"""),"APOYO ANTORCHA ")</f>
        <v>APOYO ANTORCHA </v>
      </c>
    </row>
    <row r="10">
      <c r="B10" s="64" t="s">
        <v>54</v>
      </c>
      <c r="C10" s="64" t="str">
        <f>IFERROR(__xludf.DUMMYFUNCTION(" TRANSPOSE( unique ( QUERY(DATOPRO,""select Col2 where Col1 = '""&amp;B10&amp;""'"")))"),"PINCHAZO")</f>
        <v>PINCHAZO</v>
      </c>
      <c r="D10" s="64" t="str">
        <f>IFERROR(__xludf.DUMMYFUNCTION("""COMPUTED_VALUE"""),"TRABAJOS DE CARRETERA")</f>
        <v>TRABAJOS DE CARRETERA</v>
      </c>
      <c r="E10" s="64" t="str">
        <f>IFERROR(__xludf.DUMMYFUNCTION("""COMPUTED_VALUE"""),"CONSIGNACIÓN")</f>
        <v>CONSIGNACIÓN</v>
      </c>
      <c r="F10" s="64" t="str">
        <f>IFERROR(__xludf.DUMMYFUNCTION("""COMPUTED_VALUE"""),"DERRAME")</f>
        <v>DERRAME</v>
      </c>
      <c r="G10" s="64" t="str">
        <f>IFERROR(__xludf.DUMMYFUNCTION("""COMPUTED_VALUE"""),"CALENTAMIENTO")</f>
        <v>CALENTAMIENTO</v>
      </c>
      <c r="H10" s="64" t="str">
        <f>IFERROR(__xludf.DUMMYFUNCTION("""COMPUTED_VALUE"""),"ESCOLTANDO")</f>
        <v>ESCOLTANDO</v>
      </c>
      <c r="I10" s="64" t="str">
        <f>IFERROR(__xludf.DUMMYFUNCTION("""COMPUTED_VALUE"""),"FALTA DE COMBUSTIBLE")</f>
        <v>FALTA DE COMBUSTIBLE</v>
      </c>
      <c r="J10" s="64" t="str">
        <f>IFERROR(__xludf.DUMMYFUNCTION("""COMPUTED_VALUE"""),"DESPERFECTOS MECÁNICOS")</f>
        <v>DESPERFECTOS MECÁNICOS</v>
      </c>
      <c r="K10" s="64" t="str">
        <f>IFERROR(__xludf.DUMMYFUNCTION("""COMPUTED_VALUE"""),"LLAMADA DE ATENCIÓN")</f>
        <v>LLAMADA DE ATENCIÓN</v>
      </c>
      <c r="L10" s="64" t="str">
        <f>IFERROR(__xludf.DUMMYFUNCTION("""COMPUTED_VALUE"""),"OPERATIVOS")</f>
        <v>OPERATIVOS</v>
      </c>
      <c r="M10" s="64" t="str">
        <f>IFERROR(__xludf.DUMMYFUNCTION("""COMPUTED_VALUE"""),"SANCIÓN")</f>
        <v>SANCIÓN</v>
      </c>
      <c r="N10" s="64" t="str">
        <f>IFERROR(__xludf.DUMMYFUNCTION("""COMPUTED_VALUE"""),"SISTEMA ELECTRICO")</f>
        <v>SISTEMA ELECTRICO</v>
      </c>
      <c r="O10" s="64" t="str">
        <f>IFERROR(__xludf.DUMMYFUNCTION("""COMPUTED_VALUE"""),"ASISTENCIA AL USUARIO")</f>
        <v>ASISTENCIA AL USUARIO</v>
      </c>
      <c r="P10" s="64" t="str">
        <f>IFERROR(__xludf.DUMMYFUNCTION("""COMPUTED_VALUE"""),"DOBLE REMOLQUE")</f>
        <v>DOBLE REMOLQUE</v>
      </c>
      <c r="Q10" s="64" t="str">
        <f>IFERROR(__xludf.DUMMYFUNCTION("""COMPUTED_VALUE"""),"SINAPRESE")</f>
        <v>SINAPRESE</v>
      </c>
      <c r="R10" s="64" t="str">
        <f>IFERROR(__xludf.DUMMYFUNCTION("""COMPUTED_VALUE"""),"APOYO ATLETISMO")</f>
        <v>APOYO ATLETISMO</v>
      </c>
      <c r="S10" s="64" t="str">
        <f>IFERROR(__xludf.DUMMYFUNCTION("""COMPUTED_VALUE"""),"APOYO A CICLISMO")</f>
        <v>APOYO A CICLISMO</v>
      </c>
      <c r="T10" s="64" t="str">
        <f>IFERROR(__xludf.DUMMYFUNCTION("""COMPUTED_VALUE"""),"DESCARGA DE BATERÍA")</f>
        <v>DESCARGA DE BATERÍA</v>
      </c>
      <c r="U10" s="64" t="str">
        <f>IFERROR(__xludf.DUMMYFUNCTION("""COMPUTED_VALUE"""),"PROBLEMAS DE SALUD")</f>
        <v>PROBLEMAS DE SALUD</v>
      </c>
      <c r="V10" s="64" t="str">
        <f>IFERROR(__xludf.DUMMYFUNCTION("""COMPUTED_VALUE"""),"OLVIDO LA LLAVE")</f>
        <v>OLVIDO LA LLAVE</v>
      </c>
      <c r="W10" s="64" t="str">
        <f>IFERROR(__xludf.DUMMYFUNCTION("""COMPUTED_VALUE"""),"CARGA SOBREDIMENSIONADA")</f>
        <v>CARGA SOBREDIMENSIONADA</v>
      </c>
      <c r="X10" s="64" t="str">
        <f>IFERROR(__xludf.DUMMYFUNCTION("""COMPUTED_VALUE"""),"VEHÍCULO ABANDONADO")</f>
        <v>VEHÍCULO ABANDONADO</v>
      </c>
      <c r="Y10" s="64" t="str">
        <f>IFERROR(__xludf.DUMMYFUNCTION("""COMPUTED_VALUE"""),"DESPRENDIMIENTO")</f>
        <v>DESPRENDIMIENTO</v>
      </c>
      <c r="Z10" s="64" t="str">
        <f>IFERROR(__xludf.DUMMYFUNCTION("""COMPUTED_VALUE"""),"CAÍDA DE POSTE")</f>
        <v>CAÍDA DE POSTE</v>
      </c>
      <c r="AA10" s="64" t="str">
        <f>IFERROR(__xludf.DUMMYFUNCTION("""COMPUTED_VALUE"""),"CAÍDA DE RAMA")</f>
        <v>CAÍDA DE RAMA</v>
      </c>
      <c r="AB10" s="64" t="str">
        <f>IFERROR(__xludf.DUMMYFUNCTION("""COMPUTED_VALUE"""),"OPERATIVO DGT")</f>
        <v>OPERATIVO DGT</v>
      </c>
      <c r="AC10" s="64" t="str">
        <f>IFERROR(__xludf.DUMMYFUNCTION("""COMPUTED_VALUE"""),"OPERATIVO PMT")</f>
        <v>OPERATIVO PMT</v>
      </c>
      <c r="AD10" s="64" t="str">
        <f>IFERROR(__xludf.DUMMYFUNCTION("""COMPUTED_VALUE"""),"APOYO A DIGEF")</f>
        <v>APOYO A DIGEF</v>
      </c>
      <c r="AE10" s="64" t="str">
        <f>IFERROR(__xludf.DUMMYFUNCTION("""COMPUTED_VALUE"""),"OPERATIVO PNC TRANSITO")</f>
        <v>OPERATIVO PNC TRANSITO</v>
      </c>
      <c r="AF10" s="64" t="str">
        <f>IFERROR(__xludf.DUMMYFUNCTION("""COMPUTED_VALUE"""),"SOBRECARGA ")</f>
        <v>SOBRECARGA </v>
      </c>
      <c r="AG10" s="64" t="str">
        <f>IFERROR(__xludf.DUMMYFUNCTION("""COMPUTED_VALUE"""),"OPERATIVO EN CONJUNTO")</f>
        <v>OPERATIVO EN CONJUNTO</v>
      </c>
      <c r="AH10" s="64" t="str">
        <f>IFERROR(__xludf.DUMMYFUNCTION("""COMPUTED_VALUE"""),"PUESTO DE ATENCION AL USUARIO")</f>
        <v>PUESTO DE ATENCION AL USUARIO</v>
      </c>
      <c r="AI10" s="64" t="str">
        <f>IFERROR(__xludf.DUMMYFUNCTION("""COMPUTED_VALUE"""),"INCENDIO EN RUTA")</f>
        <v>INCENDIO EN RUTA</v>
      </c>
      <c r="AJ10" s="64" t="str">
        <f>IFERROR(__xludf.DUMMYFUNCTION("""COMPUTED_VALUE"""),"APOYO ANTORCHA ")</f>
        <v>APOYO ANTORCHA </v>
      </c>
    </row>
    <row r="11">
      <c r="B11" s="64" t="s">
        <v>54</v>
      </c>
      <c r="C11" s="64" t="str">
        <f>IFERROR(__xludf.DUMMYFUNCTION(" TRANSPOSE( unique ( QUERY(DATOPRO,""select Col2 where Col1 = '""&amp;B11&amp;""'"")))"),"PINCHAZO")</f>
        <v>PINCHAZO</v>
      </c>
      <c r="D11" s="64" t="str">
        <f>IFERROR(__xludf.DUMMYFUNCTION("""COMPUTED_VALUE"""),"TRABAJOS DE CARRETERA")</f>
        <v>TRABAJOS DE CARRETERA</v>
      </c>
      <c r="E11" s="64" t="str">
        <f>IFERROR(__xludf.DUMMYFUNCTION("""COMPUTED_VALUE"""),"CONSIGNACIÓN")</f>
        <v>CONSIGNACIÓN</v>
      </c>
      <c r="F11" s="64" t="str">
        <f>IFERROR(__xludf.DUMMYFUNCTION("""COMPUTED_VALUE"""),"DERRAME")</f>
        <v>DERRAME</v>
      </c>
      <c r="G11" s="64" t="str">
        <f>IFERROR(__xludf.DUMMYFUNCTION("""COMPUTED_VALUE"""),"CALENTAMIENTO")</f>
        <v>CALENTAMIENTO</v>
      </c>
      <c r="H11" s="64" t="str">
        <f>IFERROR(__xludf.DUMMYFUNCTION("""COMPUTED_VALUE"""),"ESCOLTANDO")</f>
        <v>ESCOLTANDO</v>
      </c>
      <c r="I11" s="64" t="str">
        <f>IFERROR(__xludf.DUMMYFUNCTION("""COMPUTED_VALUE"""),"FALTA DE COMBUSTIBLE")</f>
        <v>FALTA DE COMBUSTIBLE</v>
      </c>
      <c r="J11" s="64" t="str">
        <f>IFERROR(__xludf.DUMMYFUNCTION("""COMPUTED_VALUE"""),"DESPERFECTOS MECÁNICOS")</f>
        <v>DESPERFECTOS MECÁNICOS</v>
      </c>
      <c r="K11" s="64" t="str">
        <f>IFERROR(__xludf.DUMMYFUNCTION("""COMPUTED_VALUE"""),"LLAMADA DE ATENCIÓN")</f>
        <v>LLAMADA DE ATENCIÓN</v>
      </c>
      <c r="L11" s="64" t="str">
        <f>IFERROR(__xludf.DUMMYFUNCTION("""COMPUTED_VALUE"""),"OPERATIVOS")</f>
        <v>OPERATIVOS</v>
      </c>
      <c r="M11" s="64" t="str">
        <f>IFERROR(__xludf.DUMMYFUNCTION("""COMPUTED_VALUE"""),"SANCIÓN")</f>
        <v>SANCIÓN</v>
      </c>
      <c r="N11" s="64" t="str">
        <f>IFERROR(__xludf.DUMMYFUNCTION("""COMPUTED_VALUE"""),"SISTEMA ELECTRICO")</f>
        <v>SISTEMA ELECTRICO</v>
      </c>
      <c r="O11" s="64" t="str">
        <f>IFERROR(__xludf.DUMMYFUNCTION("""COMPUTED_VALUE"""),"ASISTENCIA AL USUARIO")</f>
        <v>ASISTENCIA AL USUARIO</v>
      </c>
      <c r="P11" s="64" t="str">
        <f>IFERROR(__xludf.DUMMYFUNCTION("""COMPUTED_VALUE"""),"DOBLE REMOLQUE")</f>
        <v>DOBLE REMOLQUE</v>
      </c>
      <c r="Q11" s="64" t="str">
        <f>IFERROR(__xludf.DUMMYFUNCTION("""COMPUTED_VALUE"""),"SINAPRESE")</f>
        <v>SINAPRESE</v>
      </c>
      <c r="R11" s="64" t="str">
        <f>IFERROR(__xludf.DUMMYFUNCTION("""COMPUTED_VALUE"""),"APOYO ATLETISMO")</f>
        <v>APOYO ATLETISMO</v>
      </c>
      <c r="S11" s="64" t="str">
        <f>IFERROR(__xludf.DUMMYFUNCTION("""COMPUTED_VALUE"""),"APOYO A CICLISMO")</f>
        <v>APOYO A CICLISMO</v>
      </c>
      <c r="T11" s="64" t="str">
        <f>IFERROR(__xludf.DUMMYFUNCTION("""COMPUTED_VALUE"""),"DESCARGA DE BATERÍA")</f>
        <v>DESCARGA DE BATERÍA</v>
      </c>
      <c r="U11" s="64" t="str">
        <f>IFERROR(__xludf.DUMMYFUNCTION("""COMPUTED_VALUE"""),"PROBLEMAS DE SALUD")</f>
        <v>PROBLEMAS DE SALUD</v>
      </c>
      <c r="V11" s="64" t="str">
        <f>IFERROR(__xludf.DUMMYFUNCTION("""COMPUTED_VALUE"""),"OLVIDO LA LLAVE")</f>
        <v>OLVIDO LA LLAVE</v>
      </c>
      <c r="W11" s="64" t="str">
        <f>IFERROR(__xludf.DUMMYFUNCTION("""COMPUTED_VALUE"""),"CARGA SOBREDIMENSIONADA")</f>
        <v>CARGA SOBREDIMENSIONADA</v>
      </c>
      <c r="X11" s="64" t="str">
        <f>IFERROR(__xludf.DUMMYFUNCTION("""COMPUTED_VALUE"""),"VEHÍCULO ABANDONADO")</f>
        <v>VEHÍCULO ABANDONADO</v>
      </c>
      <c r="Y11" s="64" t="str">
        <f>IFERROR(__xludf.DUMMYFUNCTION("""COMPUTED_VALUE"""),"DESPRENDIMIENTO")</f>
        <v>DESPRENDIMIENTO</v>
      </c>
      <c r="Z11" s="64" t="str">
        <f>IFERROR(__xludf.DUMMYFUNCTION("""COMPUTED_VALUE"""),"CAÍDA DE POSTE")</f>
        <v>CAÍDA DE POSTE</v>
      </c>
      <c r="AA11" s="64" t="str">
        <f>IFERROR(__xludf.DUMMYFUNCTION("""COMPUTED_VALUE"""),"CAÍDA DE RAMA")</f>
        <v>CAÍDA DE RAMA</v>
      </c>
      <c r="AB11" s="64" t="str">
        <f>IFERROR(__xludf.DUMMYFUNCTION("""COMPUTED_VALUE"""),"OPERATIVO DGT")</f>
        <v>OPERATIVO DGT</v>
      </c>
      <c r="AC11" s="64" t="str">
        <f>IFERROR(__xludf.DUMMYFUNCTION("""COMPUTED_VALUE"""),"OPERATIVO PMT")</f>
        <v>OPERATIVO PMT</v>
      </c>
      <c r="AD11" s="64" t="str">
        <f>IFERROR(__xludf.DUMMYFUNCTION("""COMPUTED_VALUE"""),"APOYO A DIGEF")</f>
        <v>APOYO A DIGEF</v>
      </c>
      <c r="AE11" s="64" t="str">
        <f>IFERROR(__xludf.DUMMYFUNCTION("""COMPUTED_VALUE"""),"OPERATIVO PNC TRANSITO")</f>
        <v>OPERATIVO PNC TRANSITO</v>
      </c>
      <c r="AF11" s="64" t="str">
        <f>IFERROR(__xludf.DUMMYFUNCTION("""COMPUTED_VALUE"""),"SOBRECARGA ")</f>
        <v>SOBRECARGA </v>
      </c>
      <c r="AG11" s="64" t="str">
        <f>IFERROR(__xludf.DUMMYFUNCTION("""COMPUTED_VALUE"""),"OPERATIVO EN CONJUNTO")</f>
        <v>OPERATIVO EN CONJUNTO</v>
      </c>
      <c r="AH11" s="64" t="str">
        <f>IFERROR(__xludf.DUMMYFUNCTION("""COMPUTED_VALUE"""),"PUESTO DE ATENCION AL USUARIO")</f>
        <v>PUESTO DE ATENCION AL USUARIO</v>
      </c>
      <c r="AI11" s="64" t="str">
        <f>IFERROR(__xludf.DUMMYFUNCTION("""COMPUTED_VALUE"""),"INCENDIO EN RUTA")</f>
        <v>INCENDIO EN RUTA</v>
      </c>
      <c r="AJ11" s="64" t="str">
        <f>IFERROR(__xludf.DUMMYFUNCTION("""COMPUTED_VALUE"""),"APOYO ANTORCHA ")</f>
        <v>APOYO ANTORCHA </v>
      </c>
    </row>
    <row r="12">
      <c r="B12" s="64" t="s">
        <v>38</v>
      </c>
      <c r="C12" s="64" t="str">
        <f>IFERROR(__xludf.DUMMYFUNCTION(" TRANSPOSE( unique ( QUERY(DATOPRO,""select Col2 where Col1 = '""&amp;B12&amp;""'"")))"),"ATAQUE ARMADO")</f>
        <v>ATAQUE ARMADO</v>
      </c>
      <c r="D12" s="64" t="str">
        <f>IFERROR(__xludf.DUMMYFUNCTION("""COMPUTED_VALUE"""),"DESBALANCE DE CARGA")</f>
        <v>DESBALANCE DE CARGA</v>
      </c>
      <c r="E12" s="64" t="str">
        <f>IFERROR(__xludf.DUMMYFUNCTION("""COMPUTED_VALUE"""),"PERSONA FALLECIDA")</f>
        <v>PERSONA FALLECIDA</v>
      </c>
      <c r="F12" s="64" t="str">
        <f>IFERROR(__xludf.DUMMYFUNCTION("""COMPUTED_VALUE"""),"DESPRENDIMIENTO DE NEUMATICO")</f>
        <v>DESPRENDIMIENTO DE NEUMATICO</v>
      </c>
      <c r="G12" s="64" t="str">
        <f>IFERROR(__xludf.DUMMYFUNCTION("""COMPUTED_VALUE"""),"SALIDA DE PISTA")</f>
        <v>SALIDA DE PISTA</v>
      </c>
      <c r="H12" s="64" t="str">
        <f>IFERROR(__xludf.DUMMYFUNCTION("""COMPUTED_VALUE"""),"DESPRENDIMIENTO DE CONTENEDOR")</f>
        <v>DESPRENDIMIENTO DE CONTENEDOR</v>
      </c>
      <c r="I12" s="64" t="str">
        <f>IFERROR(__xludf.DUMMYFUNCTION("""COMPUTED_VALUE"""),"CAÍDA DE CARGA")</f>
        <v>CAÍDA DE CARGA</v>
      </c>
      <c r="J12" s="64" t="str">
        <f>IFERROR(__xludf.DUMMYFUNCTION("""COMPUTED_VALUE"""),"CHOQUE")</f>
        <v>CHOQUE</v>
      </c>
      <c r="K12" s="64" t="str">
        <f>IFERROR(__xludf.DUMMYFUNCTION("""COMPUTED_VALUE"""),"COLISIÓN")</f>
        <v>COLISIÓN</v>
      </c>
      <c r="L12" s="64" t="str">
        <f>IFERROR(__xludf.DUMMYFUNCTION("""COMPUTED_VALUE"""),"COLISIÓN MÚLTIPLE")</f>
        <v>COLISIÓN MÚLTIPLE</v>
      </c>
      <c r="M12" s="64" t="str">
        <f>IFERROR(__xludf.DUMMYFUNCTION("""COMPUTED_VALUE"""),"DERRAPE")</f>
        <v>DERRAPE</v>
      </c>
      <c r="N12" s="64" t="str">
        <f>IFERROR(__xludf.DUMMYFUNCTION("""COMPUTED_VALUE"""),"VEHÍCULO INCENDIADO")</f>
        <v>VEHÍCULO INCENDIADO</v>
      </c>
      <c r="O12" s="64" t="str">
        <f>IFERROR(__xludf.DUMMYFUNCTION("""COMPUTED_VALUE"""),"VUELCO")</f>
        <v>VUELCO</v>
      </c>
      <c r="P12" s="64" t="str">
        <f>IFERROR(__xludf.DUMMYFUNCTION("""COMPUTED_VALUE"""),"DESPRENDIMIENTO")</f>
        <v>DESPRENDIMIENTO</v>
      </c>
      <c r="Q12" s="64" t="str">
        <f>IFERROR(__xludf.DUMMYFUNCTION("""COMPUTED_VALUE"""),"CAÍDA DE ÁRBOL")</f>
        <v>CAÍDA DE ÁRBOL</v>
      </c>
      <c r="R12" s="64" t="str">
        <f>IFERROR(__xludf.DUMMYFUNCTION("""COMPUTED_VALUE"""),"DESPRENDIMIENTO DE EJE")</f>
        <v>DESPRENDIMIENTO DE EJE</v>
      </c>
      <c r="S12" s="64" t="str">
        <f>IFERROR(__xludf.DUMMYFUNCTION("""COMPUTED_VALUE"""),"PERSONA ATROPELLADA")</f>
        <v>PERSONA ATROPELLADA</v>
      </c>
    </row>
    <row r="13">
      <c r="B13" s="64" t="s">
        <v>54</v>
      </c>
      <c r="C13" s="64" t="str">
        <f>IFERROR(__xludf.DUMMYFUNCTION(" TRANSPOSE( unique ( QUERY(DATOPRO,""select Col2 where Col1 = '""&amp;B13&amp;""'"")))"),"PINCHAZO")</f>
        <v>PINCHAZO</v>
      </c>
      <c r="D13" s="64" t="str">
        <f>IFERROR(__xludf.DUMMYFUNCTION("""COMPUTED_VALUE"""),"TRABAJOS DE CARRETERA")</f>
        <v>TRABAJOS DE CARRETERA</v>
      </c>
      <c r="E13" s="64" t="str">
        <f>IFERROR(__xludf.DUMMYFUNCTION("""COMPUTED_VALUE"""),"CONSIGNACIÓN")</f>
        <v>CONSIGNACIÓN</v>
      </c>
      <c r="F13" s="64" t="str">
        <f>IFERROR(__xludf.DUMMYFUNCTION("""COMPUTED_VALUE"""),"DERRAME")</f>
        <v>DERRAME</v>
      </c>
      <c r="G13" s="64" t="str">
        <f>IFERROR(__xludf.DUMMYFUNCTION("""COMPUTED_VALUE"""),"CALENTAMIENTO")</f>
        <v>CALENTAMIENTO</v>
      </c>
      <c r="H13" s="64" t="str">
        <f>IFERROR(__xludf.DUMMYFUNCTION("""COMPUTED_VALUE"""),"ESCOLTANDO")</f>
        <v>ESCOLTANDO</v>
      </c>
      <c r="I13" s="64" t="str">
        <f>IFERROR(__xludf.DUMMYFUNCTION("""COMPUTED_VALUE"""),"FALTA DE COMBUSTIBLE")</f>
        <v>FALTA DE COMBUSTIBLE</v>
      </c>
      <c r="J13" s="64" t="str">
        <f>IFERROR(__xludf.DUMMYFUNCTION("""COMPUTED_VALUE"""),"DESPERFECTOS MECÁNICOS")</f>
        <v>DESPERFECTOS MECÁNICOS</v>
      </c>
      <c r="K13" s="64" t="str">
        <f>IFERROR(__xludf.DUMMYFUNCTION("""COMPUTED_VALUE"""),"LLAMADA DE ATENCIÓN")</f>
        <v>LLAMADA DE ATENCIÓN</v>
      </c>
      <c r="L13" s="64" t="str">
        <f>IFERROR(__xludf.DUMMYFUNCTION("""COMPUTED_VALUE"""),"OPERATIVOS")</f>
        <v>OPERATIVOS</v>
      </c>
      <c r="M13" s="64" t="str">
        <f>IFERROR(__xludf.DUMMYFUNCTION("""COMPUTED_VALUE"""),"SANCIÓN")</f>
        <v>SANCIÓN</v>
      </c>
      <c r="N13" s="64" t="str">
        <f>IFERROR(__xludf.DUMMYFUNCTION("""COMPUTED_VALUE"""),"SISTEMA ELECTRICO")</f>
        <v>SISTEMA ELECTRICO</v>
      </c>
      <c r="O13" s="64" t="str">
        <f>IFERROR(__xludf.DUMMYFUNCTION("""COMPUTED_VALUE"""),"ASISTENCIA AL USUARIO")</f>
        <v>ASISTENCIA AL USUARIO</v>
      </c>
      <c r="P13" s="64" t="str">
        <f>IFERROR(__xludf.DUMMYFUNCTION("""COMPUTED_VALUE"""),"DOBLE REMOLQUE")</f>
        <v>DOBLE REMOLQUE</v>
      </c>
      <c r="Q13" s="64" t="str">
        <f>IFERROR(__xludf.DUMMYFUNCTION("""COMPUTED_VALUE"""),"SINAPRESE")</f>
        <v>SINAPRESE</v>
      </c>
      <c r="R13" s="64" t="str">
        <f>IFERROR(__xludf.DUMMYFUNCTION("""COMPUTED_VALUE"""),"APOYO ATLETISMO")</f>
        <v>APOYO ATLETISMO</v>
      </c>
      <c r="S13" s="64" t="str">
        <f>IFERROR(__xludf.DUMMYFUNCTION("""COMPUTED_VALUE"""),"APOYO A CICLISMO")</f>
        <v>APOYO A CICLISMO</v>
      </c>
      <c r="T13" s="64" t="str">
        <f>IFERROR(__xludf.DUMMYFUNCTION("""COMPUTED_VALUE"""),"DESCARGA DE BATERÍA")</f>
        <v>DESCARGA DE BATERÍA</v>
      </c>
      <c r="U13" s="64" t="str">
        <f>IFERROR(__xludf.DUMMYFUNCTION("""COMPUTED_VALUE"""),"PROBLEMAS DE SALUD")</f>
        <v>PROBLEMAS DE SALUD</v>
      </c>
      <c r="V13" s="64" t="str">
        <f>IFERROR(__xludf.DUMMYFUNCTION("""COMPUTED_VALUE"""),"OLVIDO LA LLAVE")</f>
        <v>OLVIDO LA LLAVE</v>
      </c>
      <c r="W13" s="64" t="str">
        <f>IFERROR(__xludf.DUMMYFUNCTION("""COMPUTED_VALUE"""),"CARGA SOBREDIMENSIONADA")</f>
        <v>CARGA SOBREDIMENSIONADA</v>
      </c>
      <c r="X13" s="64" t="str">
        <f>IFERROR(__xludf.DUMMYFUNCTION("""COMPUTED_VALUE"""),"VEHÍCULO ABANDONADO")</f>
        <v>VEHÍCULO ABANDONADO</v>
      </c>
      <c r="Y13" s="64" t="str">
        <f>IFERROR(__xludf.DUMMYFUNCTION("""COMPUTED_VALUE"""),"DESPRENDIMIENTO")</f>
        <v>DESPRENDIMIENTO</v>
      </c>
      <c r="Z13" s="64" t="str">
        <f>IFERROR(__xludf.DUMMYFUNCTION("""COMPUTED_VALUE"""),"CAÍDA DE POSTE")</f>
        <v>CAÍDA DE POSTE</v>
      </c>
      <c r="AA13" s="64" t="str">
        <f>IFERROR(__xludf.DUMMYFUNCTION("""COMPUTED_VALUE"""),"CAÍDA DE RAMA")</f>
        <v>CAÍDA DE RAMA</v>
      </c>
      <c r="AB13" s="64" t="str">
        <f>IFERROR(__xludf.DUMMYFUNCTION("""COMPUTED_VALUE"""),"OPERATIVO DGT")</f>
        <v>OPERATIVO DGT</v>
      </c>
      <c r="AC13" s="64" t="str">
        <f>IFERROR(__xludf.DUMMYFUNCTION("""COMPUTED_VALUE"""),"OPERATIVO PMT")</f>
        <v>OPERATIVO PMT</v>
      </c>
      <c r="AD13" s="64" t="str">
        <f>IFERROR(__xludf.DUMMYFUNCTION("""COMPUTED_VALUE"""),"APOYO A DIGEF")</f>
        <v>APOYO A DIGEF</v>
      </c>
      <c r="AE13" s="64" t="str">
        <f>IFERROR(__xludf.DUMMYFUNCTION("""COMPUTED_VALUE"""),"OPERATIVO PNC TRANSITO")</f>
        <v>OPERATIVO PNC TRANSITO</v>
      </c>
      <c r="AF13" s="64" t="str">
        <f>IFERROR(__xludf.DUMMYFUNCTION("""COMPUTED_VALUE"""),"SOBRECARGA ")</f>
        <v>SOBRECARGA </v>
      </c>
      <c r="AG13" s="64" t="str">
        <f>IFERROR(__xludf.DUMMYFUNCTION("""COMPUTED_VALUE"""),"OPERATIVO EN CONJUNTO")</f>
        <v>OPERATIVO EN CONJUNTO</v>
      </c>
      <c r="AH13" s="64" t="str">
        <f>IFERROR(__xludf.DUMMYFUNCTION("""COMPUTED_VALUE"""),"PUESTO DE ATENCION AL USUARIO")</f>
        <v>PUESTO DE ATENCION AL USUARIO</v>
      </c>
      <c r="AI13" s="64" t="str">
        <f>IFERROR(__xludf.DUMMYFUNCTION("""COMPUTED_VALUE"""),"INCENDIO EN RUTA")</f>
        <v>INCENDIO EN RUTA</v>
      </c>
      <c r="AJ13" s="64" t="str">
        <f>IFERROR(__xludf.DUMMYFUNCTION("""COMPUTED_VALUE"""),"APOYO ANTORCHA ")</f>
        <v>APOYO ANTORCHA </v>
      </c>
    </row>
    <row r="14">
      <c r="B14" s="64" t="s">
        <v>54</v>
      </c>
      <c r="C14" s="64" t="str">
        <f>IFERROR(__xludf.DUMMYFUNCTION(" TRANSPOSE( unique ( QUERY(DATOPRO,""select Col2 where Col1 = '""&amp;B14&amp;""'"")))"),"PINCHAZO")</f>
        <v>PINCHAZO</v>
      </c>
      <c r="D14" s="64" t="str">
        <f>IFERROR(__xludf.DUMMYFUNCTION("""COMPUTED_VALUE"""),"TRABAJOS DE CARRETERA")</f>
        <v>TRABAJOS DE CARRETERA</v>
      </c>
      <c r="E14" s="64" t="str">
        <f>IFERROR(__xludf.DUMMYFUNCTION("""COMPUTED_VALUE"""),"CONSIGNACIÓN")</f>
        <v>CONSIGNACIÓN</v>
      </c>
      <c r="F14" s="64" t="str">
        <f>IFERROR(__xludf.DUMMYFUNCTION("""COMPUTED_VALUE"""),"DERRAME")</f>
        <v>DERRAME</v>
      </c>
      <c r="G14" s="64" t="str">
        <f>IFERROR(__xludf.DUMMYFUNCTION("""COMPUTED_VALUE"""),"CALENTAMIENTO")</f>
        <v>CALENTAMIENTO</v>
      </c>
      <c r="H14" s="64" t="str">
        <f>IFERROR(__xludf.DUMMYFUNCTION("""COMPUTED_VALUE"""),"ESCOLTANDO")</f>
        <v>ESCOLTANDO</v>
      </c>
      <c r="I14" s="64" t="str">
        <f>IFERROR(__xludf.DUMMYFUNCTION("""COMPUTED_VALUE"""),"FALTA DE COMBUSTIBLE")</f>
        <v>FALTA DE COMBUSTIBLE</v>
      </c>
      <c r="J14" s="64" t="str">
        <f>IFERROR(__xludf.DUMMYFUNCTION("""COMPUTED_VALUE"""),"DESPERFECTOS MECÁNICOS")</f>
        <v>DESPERFECTOS MECÁNICOS</v>
      </c>
      <c r="K14" s="64" t="str">
        <f>IFERROR(__xludf.DUMMYFUNCTION("""COMPUTED_VALUE"""),"LLAMADA DE ATENCIÓN")</f>
        <v>LLAMADA DE ATENCIÓN</v>
      </c>
      <c r="L14" s="64" t="str">
        <f>IFERROR(__xludf.DUMMYFUNCTION("""COMPUTED_VALUE"""),"OPERATIVOS")</f>
        <v>OPERATIVOS</v>
      </c>
      <c r="M14" s="64" t="str">
        <f>IFERROR(__xludf.DUMMYFUNCTION("""COMPUTED_VALUE"""),"SANCIÓN")</f>
        <v>SANCIÓN</v>
      </c>
      <c r="N14" s="64" t="str">
        <f>IFERROR(__xludf.DUMMYFUNCTION("""COMPUTED_VALUE"""),"SISTEMA ELECTRICO")</f>
        <v>SISTEMA ELECTRICO</v>
      </c>
      <c r="O14" s="64" t="str">
        <f>IFERROR(__xludf.DUMMYFUNCTION("""COMPUTED_VALUE"""),"ASISTENCIA AL USUARIO")</f>
        <v>ASISTENCIA AL USUARIO</v>
      </c>
      <c r="P14" s="64" t="str">
        <f>IFERROR(__xludf.DUMMYFUNCTION("""COMPUTED_VALUE"""),"DOBLE REMOLQUE")</f>
        <v>DOBLE REMOLQUE</v>
      </c>
      <c r="Q14" s="64" t="str">
        <f>IFERROR(__xludf.DUMMYFUNCTION("""COMPUTED_VALUE"""),"SINAPRESE")</f>
        <v>SINAPRESE</v>
      </c>
      <c r="R14" s="64" t="str">
        <f>IFERROR(__xludf.DUMMYFUNCTION("""COMPUTED_VALUE"""),"APOYO ATLETISMO")</f>
        <v>APOYO ATLETISMO</v>
      </c>
      <c r="S14" s="64" t="str">
        <f>IFERROR(__xludf.DUMMYFUNCTION("""COMPUTED_VALUE"""),"APOYO A CICLISMO")</f>
        <v>APOYO A CICLISMO</v>
      </c>
      <c r="T14" s="64" t="str">
        <f>IFERROR(__xludf.DUMMYFUNCTION("""COMPUTED_VALUE"""),"DESCARGA DE BATERÍA")</f>
        <v>DESCARGA DE BATERÍA</v>
      </c>
      <c r="U14" s="64" t="str">
        <f>IFERROR(__xludf.DUMMYFUNCTION("""COMPUTED_VALUE"""),"PROBLEMAS DE SALUD")</f>
        <v>PROBLEMAS DE SALUD</v>
      </c>
      <c r="V14" s="64" t="str">
        <f>IFERROR(__xludf.DUMMYFUNCTION("""COMPUTED_VALUE"""),"OLVIDO LA LLAVE")</f>
        <v>OLVIDO LA LLAVE</v>
      </c>
      <c r="W14" s="64" t="str">
        <f>IFERROR(__xludf.DUMMYFUNCTION("""COMPUTED_VALUE"""),"CARGA SOBREDIMENSIONADA")</f>
        <v>CARGA SOBREDIMENSIONADA</v>
      </c>
      <c r="X14" s="64" t="str">
        <f>IFERROR(__xludf.DUMMYFUNCTION("""COMPUTED_VALUE"""),"VEHÍCULO ABANDONADO")</f>
        <v>VEHÍCULO ABANDONADO</v>
      </c>
      <c r="Y14" s="64" t="str">
        <f>IFERROR(__xludf.DUMMYFUNCTION("""COMPUTED_VALUE"""),"DESPRENDIMIENTO")</f>
        <v>DESPRENDIMIENTO</v>
      </c>
      <c r="Z14" s="64" t="str">
        <f>IFERROR(__xludf.DUMMYFUNCTION("""COMPUTED_VALUE"""),"CAÍDA DE POSTE")</f>
        <v>CAÍDA DE POSTE</v>
      </c>
      <c r="AA14" s="64" t="str">
        <f>IFERROR(__xludf.DUMMYFUNCTION("""COMPUTED_VALUE"""),"CAÍDA DE RAMA")</f>
        <v>CAÍDA DE RAMA</v>
      </c>
      <c r="AB14" s="64" t="str">
        <f>IFERROR(__xludf.DUMMYFUNCTION("""COMPUTED_VALUE"""),"OPERATIVO DGT")</f>
        <v>OPERATIVO DGT</v>
      </c>
      <c r="AC14" s="64" t="str">
        <f>IFERROR(__xludf.DUMMYFUNCTION("""COMPUTED_VALUE"""),"OPERATIVO PMT")</f>
        <v>OPERATIVO PMT</v>
      </c>
      <c r="AD14" s="64" t="str">
        <f>IFERROR(__xludf.DUMMYFUNCTION("""COMPUTED_VALUE"""),"APOYO A DIGEF")</f>
        <v>APOYO A DIGEF</v>
      </c>
      <c r="AE14" s="64" t="str">
        <f>IFERROR(__xludf.DUMMYFUNCTION("""COMPUTED_VALUE"""),"OPERATIVO PNC TRANSITO")</f>
        <v>OPERATIVO PNC TRANSITO</v>
      </c>
      <c r="AF14" s="64" t="str">
        <f>IFERROR(__xludf.DUMMYFUNCTION("""COMPUTED_VALUE"""),"SOBRECARGA ")</f>
        <v>SOBRECARGA </v>
      </c>
      <c r="AG14" s="64" t="str">
        <f>IFERROR(__xludf.DUMMYFUNCTION("""COMPUTED_VALUE"""),"OPERATIVO EN CONJUNTO")</f>
        <v>OPERATIVO EN CONJUNTO</v>
      </c>
      <c r="AH14" s="64" t="str">
        <f>IFERROR(__xludf.DUMMYFUNCTION("""COMPUTED_VALUE"""),"PUESTO DE ATENCION AL USUARIO")</f>
        <v>PUESTO DE ATENCION AL USUARIO</v>
      </c>
      <c r="AI14" s="64" t="str">
        <f>IFERROR(__xludf.DUMMYFUNCTION("""COMPUTED_VALUE"""),"INCENDIO EN RUTA")</f>
        <v>INCENDIO EN RUTA</v>
      </c>
      <c r="AJ14" s="64" t="str">
        <f>IFERROR(__xludf.DUMMYFUNCTION("""COMPUTED_VALUE"""),"APOYO ANTORCHA ")</f>
        <v>APOYO ANTORCHA </v>
      </c>
    </row>
    <row r="15">
      <c r="B15" s="64" t="s">
        <v>54</v>
      </c>
      <c r="C15" s="64" t="str">
        <f>IFERROR(__xludf.DUMMYFUNCTION(" TRANSPOSE( unique ( QUERY(DATOPRO,""select Col2 where Col1 = '""&amp;B15&amp;""'"")))"),"PINCHAZO")</f>
        <v>PINCHAZO</v>
      </c>
      <c r="D15" s="64" t="str">
        <f>IFERROR(__xludf.DUMMYFUNCTION("""COMPUTED_VALUE"""),"TRABAJOS DE CARRETERA")</f>
        <v>TRABAJOS DE CARRETERA</v>
      </c>
      <c r="E15" s="64" t="str">
        <f>IFERROR(__xludf.DUMMYFUNCTION("""COMPUTED_VALUE"""),"CONSIGNACIÓN")</f>
        <v>CONSIGNACIÓN</v>
      </c>
      <c r="F15" s="64" t="str">
        <f>IFERROR(__xludf.DUMMYFUNCTION("""COMPUTED_VALUE"""),"DERRAME")</f>
        <v>DERRAME</v>
      </c>
      <c r="G15" s="64" t="str">
        <f>IFERROR(__xludf.DUMMYFUNCTION("""COMPUTED_VALUE"""),"CALENTAMIENTO")</f>
        <v>CALENTAMIENTO</v>
      </c>
      <c r="H15" s="64" t="str">
        <f>IFERROR(__xludf.DUMMYFUNCTION("""COMPUTED_VALUE"""),"ESCOLTANDO")</f>
        <v>ESCOLTANDO</v>
      </c>
      <c r="I15" s="64" t="str">
        <f>IFERROR(__xludf.DUMMYFUNCTION("""COMPUTED_VALUE"""),"FALTA DE COMBUSTIBLE")</f>
        <v>FALTA DE COMBUSTIBLE</v>
      </c>
      <c r="J15" s="64" t="str">
        <f>IFERROR(__xludf.DUMMYFUNCTION("""COMPUTED_VALUE"""),"DESPERFECTOS MECÁNICOS")</f>
        <v>DESPERFECTOS MECÁNICOS</v>
      </c>
      <c r="K15" s="64" t="str">
        <f>IFERROR(__xludf.DUMMYFUNCTION("""COMPUTED_VALUE"""),"LLAMADA DE ATENCIÓN")</f>
        <v>LLAMADA DE ATENCIÓN</v>
      </c>
      <c r="L15" s="64" t="str">
        <f>IFERROR(__xludf.DUMMYFUNCTION("""COMPUTED_VALUE"""),"OPERATIVOS")</f>
        <v>OPERATIVOS</v>
      </c>
      <c r="M15" s="64" t="str">
        <f>IFERROR(__xludf.DUMMYFUNCTION("""COMPUTED_VALUE"""),"SANCIÓN")</f>
        <v>SANCIÓN</v>
      </c>
      <c r="N15" s="64" t="str">
        <f>IFERROR(__xludf.DUMMYFUNCTION("""COMPUTED_VALUE"""),"SISTEMA ELECTRICO")</f>
        <v>SISTEMA ELECTRICO</v>
      </c>
      <c r="O15" s="64" t="str">
        <f>IFERROR(__xludf.DUMMYFUNCTION("""COMPUTED_VALUE"""),"ASISTENCIA AL USUARIO")</f>
        <v>ASISTENCIA AL USUARIO</v>
      </c>
      <c r="P15" s="64" t="str">
        <f>IFERROR(__xludf.DUMMYFUNCTION("""COMPUTED_VALUE"""),"DOBLE REMOLQUE")</f>
        <v>DOBLE REMOLQUE</v>
      </c>
      <c r="Q15" s="64" t="str">
        <f>IFERROR(__xludf.DUMMYFUNCTION("""COMPUTED_VALUE"""),"SINAPRESE")</f>
        <v>SINAPRESE</v>
      </c>
      <c r="R15" s="64" t="str">
        <f>IFERROR(__xludf.DUMMYFUNCTION("""COMPUTED_VALUE"""),"APOYO ATLETISMO")</f>
        <v>APOYO ATLETISMO</v>
      </c>
      <c r="S15" s="64" t="str">
        <f>IFERROR(__xludf.DUMMYFUNCTION("""COMPUTED_VALUE"""),"APOYO A CICLISMO")</f>
        <v>APOYO A CICLISMO</v>
      </c>
      <c r="T15" s="64" t="str">
        <f>IFERROR(__xludf.DUMMYFUNCTION("""COMPUTED_VALUE"""),"DESCARGA DE BATERÍA")</f>
        <v>DESCARGA DE BATERÍA</v>
      </c>
      <c r="U15" s="64" t="str">
        <f>IFERROR(__xludf.DUMMYFUNCTION("""COMPUTED_VALUE"""),"PROBLEMAS DE SALUD")</f>
        <v>PROBLEMAS DE SALUD</v>
      </c>
      <c r="V15" s="64" t="str">
        <f>IFERROR(__xludf.DUMMYFUNCTION("""COMPUTED_VALUE"""),"OLVIDO LA LLAVE")</f>
        <v>OLVIDO LA LLAVE</v>
      </c>
      <c r="W15" s="64" t="str">
        <f>IFERROR(__xludf.DUMMYFUNCTION("""COMPUTED_VALUE"""),"CARGA SOBREDIMENSIONADA")</f>
        <v>CARGA SOBREDIMENSIONADA</v>
      </c>
      <c r="X15" s="64" t="str">
        <f>IFERROR(__xludf.DUMMYFUNCTION("""COMPUTED_VALUE"""),"VEHÍCULO ABANDONADO")</f>
        <v>VEHÍCULO ABANDONADO</v>
      </c>
      <c r="Y15" s="64" t="str">
        <f>IFERROR(__xludf.DUMMYFUNCTION("""COMPUTED_VALUE"""),"DESPRENDIMIENTO")</f>
        <v>DESPRENDIMIENTO</v>
      </c>
      <c r="Z15" s="64" t="str">
        <f>IFERROR(__xludf.DUMMYFUNCTION("""COMPUTED_VALUE"""),"CAÍDA DE POSTE")</f>
        <v>CAÍDA DE POSTE</v>
      </c>
      <c r="AA15" s="64" t="str">
        <f>IFERROR(__xludf.DUMMYFUNCTION("""COMPUTED_VALUE"""),"CAÍDA DE RAMA")</f>
        <v>CAÍDA DE RAMA</v>
      </c>
      <c r="AB15" s="64" t="str">
        <f>IFERROR(__xludf.DUMMYFUNCTION("""COMPUTED_VALUE"""),"OPERATIVO DGT")</f>
        <v>OPERATIVO DGT</v>
      </c>
      <c r="AC15" s="64" t="str">
        <f>IFERROR(__xludf.DUMMYFUNCTION("""COMPUTED_VALUE"""),"OPERATIVO PMT")</f>
        <v>OPERATIVO PMT</v>
      </c>
      <c r="AD15" s="64" t="str">
        <f>IFERROR(__xludf.DUMMYFUNCTION("""COMPUTED_VALUE"""),"APOYO A DIGEF")</f>
        <v>APOYO A DIGEF</v>
      </c>
      <c r="AE15" s="64" t="str">
        <f>IFERROR(__xludf.DUMMYFUNCTION("""COMPUTED_VALUE"""),"OPERATIVO PNC TRANSITO")</f>
        <v>OPERATIVO PNC TRANSITO</v>
      </c>
      <c r="AF15" s="64" t="str">
        <f>IFERROR(__xludf.DUMMYFUNCTION("""COMPUTED_VALUE"""),"SOBRECARGA ")</f>
        <v>SOBRECARGA </v>
      </c>
      <c r="AG15" s="64" t="str">
        <f>IFERROR(__xludf.DUMMYFUNCTION("""COMPUTED_VALUE"""),"OPERATIVO EN CONJUNTO")</f>
        <v>OPERATIVO EN CONJUNTO</v>
      </c>
      <c r="AH15" s="64" t="str">
        <f>IFERROR(__xludf.DUMMYFUNCTION("""COMPUTED_VALUE"""),"PUESTO DE ATENCION AL USUARIO")</f>
        <v>PUESTO DE ATENCION AL USUARIO</v>
      </c>
      <c r="AI15" s="64" t="str">
        <f>IFERROR(__xludf.DUMMYFUNCTION("""COMPUTED_VALUE"""),"INCENDIO EN RUTA")</f>
        <v>INCENDIO EN RUTA</v>
      </c>
      <c r="AJ15" s="64" t="str">
        <f>IFERROR(__xludf.DUMMYFUNCTION("""COMPUTED_VALUE"""),"APOYO ANTORCHA ")</f>
        <v>APOYO ANTORCHA </v>
      </c>
    </row>
    <row r="16">
      <c r="B16" s="64" t="s">
        <v>38</v>
      </c>
      <c r="C16" s="64" t="str">
        <f>IFERROR(__xludf.DUMMYFUNCTION(" TRANSPOSE( unique ( QUERY(DATOPRO,""select Col2 where Col1 = '""&amp;B16&amp;""'"")))"),"ATAQUE ARMADO")</f>
        <v>ATAQUE ARMADO</v>
      </c>
      <c r="D16" s="64" t="str">
        <f>IFERROR(__xludf.DUMMYFUNCTION("""COMPUTED_VALUE"""),"DESBALANCE DE CARGA")</f>
        <v>DESBALANCE DE CARGA</v>
      </c>
      <c r="E16" s="64" t="str">
        <f>IFERROR(__xludf.DUMMYFUNCTION("""COMPUTED_VALUE"""),"PERSONA FALLECIDA")</f>
        <v>PERSONA FALLECIDA</v>
      </c>
      <c r="F16" s="64" t="str">
        <f>IFERROR(__xludf.DUMMYFUNCTION("""COMPUTED_VALUE"""),"DESPRENDIMIENTO DE NEUMATICO")</f>
        <v>DESPRENDIMIENTO DE NEUMATICO</v>
      </c>
      <c r="G16" s="64" t="str">
        <f>IFERROR(__xludf.DUMMYFUNCTION("""COMPUTED_VALUE"""),"SALIDA DE PISTA")</f>
        <v>SALIDA DE PISTA</v>
      </c>
      <c r="H16" s="64" t="str">
        <f>IFERROR(__xludf.DUMMYFUNCTION("""COMPUTED_VALUE"""),"DESPRENDIMIENTO DE CONTENEDOR")</f>
        <v>DESPRENDIMIENTO DE CONTENEDOR</v>
      </c>
      <c r="I16" s="64" t="str">
        <f>IFERROR(__xludf.DUMMYFUNCTION("""COMPUTED_VALUE"""),"CAÍDA DE CARGA")</f>
        <v>CAÍDA DE CARGA</v>
      </c>
      <c r="J16" s="64" t="str">
        <f>IFERROR(__xludf.DUMMYFUNCTION("""COMPUTED_VALUE"""),"CHOQUE")</f>
        <v>CHOQUE</v>
      </c>
      <c r="K16" s="64" t="str">
        <f>IFERROR(__xludf.DUMMYFUNCTION("""COMPUTED_VALUE"""),"COLISIÓN")</f>
        <v>COLISIÓN</v>
      </c>
      <c r="L16" s="64" t="str">
        <f>IFERROR(__xludf.DUMMYFUNCTION("""COMPUTED_VALUE"""),"COLISIÓN MÚLTIPLE")</f>
        <v>COLISIÓN MÚLTIPLE</v>
      </c>
      <c r="M16" s="64" t="str">
        <f>IFERROR(__xludf.DUMMYFUNCTION("""COMPUTED_VALUE"""),"DERRAPE")</f>
        <v>DERRAPE</v>
      </c>
      <c r="N16" s="64" t="str">
        <f>IFERROR(__xludf.DUMMYFUNCTION("""COMPUTED_VALUE"""),"VEHÍCULO INCENDIADO")</f>
        <v>VEHÍCULO INCENDIADO</v>
      </c>
      <c r="O16" s="64" t="str">
        <f>IFERROR(__xludf.DUMMYFUNCTION("""COMPUTED_VALUE"""),"VUELCO")</f>
        <v>VUELCO</v>
      </c>
      <c r="P16" s="64" t="str">
        <f>IFERROR(__xludf.DUMMYFUNCTION("""COMPUTED_VALUE"""),"DESPRENDIMIENTO")</f>
        <v>DESPRENDIMIENTO</v>
      </c>
      <c r="Q16" s="64" t="str">
        <f>IFERROR(__xludf.DUMMYFUNCTION("""COMPUTED_VALUE"""),"CAÍDA DE ÁRBOL")</f>
        <v>CAÍDA DE ÁRBOL</v>
      </c>
      <c r="R16" s="64" t="str">
        <f>IFERROR(__xludf.DUMMYFUNCTION("""COMPUTED_VALUE"""),"DESPRENDIMIENTO DE EJE")</f>
        <v>DESPRENDIMIENTO DE EJE</v>
      </c>
      <c r="S16" s="64" t="str">
        <f>IFERROR(__xludf.DUMMYFUNCTION("""COMPUTED_VALUE"""),"PERSONA ATROPELLADA")</f>
        <v>PERSONA ATROPELLADA</v>
      </c>
    </row>
    <row r="17">
      <c r="B17" s="64" t="s">
        <v>54</v>
      </c>
      <c r="C17" s="64" t="str">
        <f>IFERROR(__xludf.DUMMYFUNCTION(" TRANSPOSE( unique ( QUERY(DATOPRO,""select Col2 where Col1 = '""&amp;B17&amp;""'"")))"),"PINCHAZO")</f>
        <v>PINCHAZO</v>
      </c>
      <c r="D17" s="64" t="str">
        <f>IFERROR(__xludf.DUMMYFUNCTION("""COMPUTED_VALUE"""),"TRABAJOS DE CARRETERA")</f>
        <v>TRABAJOS DE CARRETERA</v>
      </c>
      <c r="E17" s="64" t="str">
        <f>IFERROR(__xludf.DUMMYFUNCTION("""COMPUTED_VALUE"""),"CONSIGNACIÓN")</f>
        <v>CONSIGNACIÓN</v>
      </c>
      <c r="F17" s="64" t="str">
        <f>IFERROR(__xludf.DUMMYFUNCTION("""COMPUTED_VALUE"""),"DERRAME")</f>
        <v>DERRAME</v>
      </c>
      <c r="G17" s="64" t="str">
        <f>IFERROR(__xludf.DUMMYFUNCTION("""COMPUTED_VALUE"""),"CALENTAMIENTO")</f>
        <v>CALENTAMIENTO</v>
      </c>
      <c r="H17" s="64" t="str">
        <f>IFERROR(__xludf.DUMMYFUNCTION("""COMPUTED_VALUE"""),"ESCOLTANDO")</f>
        <v>ESCOLTANDO</v>
      </c>
      <c r="I17" s="64" t="str">
        <f>IFERROR(__xludf.DUMMYFUNCTION("""COMPUTED_VALUE"""),"FALTA DE COMBUSTIBLE")</f>
        <v>FALTA DE COMBUSTIBLE</v>
      </c>
      <c r="J17" s="64" t="str">
        <f>IFERROR(__xludf.DUMMYFUNCTION("""COMPUTED_VALUE"""),"DESPERFECTOS MECÁNICOS")</f>
        <v>DESPERFECTOS MECÁNICOS</v>
      </c>
      <c r="K17" s="64" t="str">
        <f>IFERROR(__xludf.DUMMYFUNCTION("""COMPUTED_VALUE"""),"LLAMADA DE ATENCIÓN")</f>
        <v>LLAMADA DE ATENCIÓN</v>
      </c>
      <c r="L17" s="64" t="str">
        <f>IFERROR(__xludf.DUMMYFUNCTION("""COMPUTED_VALUE"""),"OPERATIVOS")</f>
        <v>OPERATIVOS</v>
      </c>
      <c r="M17" s="64" t="str">
        <f>IFERROR(__xludf.DUMMYFUNCTION("""COMPUTED_VALUE"""),"SANCIÓN")</f>
        <v>SANCIÓN</v>
      </c>
      <c r="N17" s="64" t="str">
        <f>IFERROR(__xludf.DUMMYFUNCTION("""COMPUTED_VALUE"""),"SISTEMA ELECTRICO")</f>
        <v>SISTEMA ELECTRICO</v>
      </c>
      <c r="O17" s="64" t="str">
        <f>IFERROR(__xludf.DUMMYFUNCTION("""COMPUTED_VALUE"""),"ASISTENCIA AL USUARIO")</f>
        <v>ASISTENCIA AL USUARIO</v>
      </c>
      <c r="P17" s="64" t="str">
        <f>IFERROR(__xludf.DUMMYFUNCTION("""COMPUTED_VALUE"""),"DOBLE REMOLQUE")</f>
        <v>DOBLE REMOLQUE</v>
      </c>
      <c r="Q17" s="64" t="str">
        <f>IFERROR(__xludf.DUMMYFUNCTION("""COMPUTED_VALUE"""),"SINAPRESE")</f>
        <v>SINAPRESE</v>
      </c>
      <c r="R17" s="64" t="str">
        <f>IFERROR(__xludf.DUMMYFUNCTION("""COMPUTED_VALUE"""),"APOYO ATLETISMO")</f>
        <v>APOYO ATLETISMO</v>
      </c>
      <c r="S17" s="64" t="str">
        <f>IFERROR(__xludf.DUMMYFUNCTION("""COMPUTED_VALUE"""),"APOYO A CICLISMO")</f>
        <v>APOYO A CICLISMO</v>
      </c>
      <c r="T17" s="64" t="str">
        <f>IFERROR(__xludf.DUMMYFUNCTION("""COMPUTED_VALUE"""),"DESCARGA DE BATERÍA")</f>
        <v>DESCARGA DE BATERÍA</v>
      </c>
      <c r="U17" s="64" t="str">
        <f>IFERROR(__xludf.DUMMYFUNCTION("""COMPUTED_VALUE"""),"PROBLEMAS DE SALUD")</f>
        <v>PROBLEMAS DE SALUD</v>
      </c>
      <c r="V17" s="64" t="str">
        <f>IFERROR(__xludf.DUMMYFUNCTION("""COMPUTED_VALUE"""),"OLVIDO LA LLAVE")</f>
        <v>OLVIDO LA LLAVE</v>
      </c>
      <c r="W17" s="64" t="str">
        <f>IFERROR(__xludf.DUMMYFUNCTION("""COMPUTED_VALUE"""),"CARGA SOBREDIMENSIONADA")</f>
        <v>CARGA SOBREDIMENSIONADA</v>
      </c>
      <c r="X17" s="64" t="str">
        <f>IFERROR(__xludf.DUMMYFUNCTION("""COMPUTED_VALUE"""),"VEHÍCULO ABANDONADO")</f>
        <v>VEHÍCULO ABANDONADO</v>
      </c>
      <c r="Y17" s="64" t="str">
        <f>IFERROR(__xludf.DUMMYFUNCTION("""COMPUTED_VALUE"""),"DESPRENDIMIENTO")</f>
        <v>DESPRENDIMIENTO</v>
      </c>
      <c r="Z17" s="64" t="str">
        <f>IFERROR(__xludf.DUMMYFUNCTION("""COMPUTED_VALUE"""),"CAÍDA DE POSTE")</f>
        <v>CAÍDA DE POSTE</v>
      </c>
      <c r="AA17" s="64" t="str">
        <f>IFERROR(__xludf.DUMMYFUNCTION("""COMPUTED_VALUE"""),"CAÍDA DE RAMA")</f>
        <v>CAÍDA DE RAMA</v>
      </c>
      <c r="AB17" s="64" t="str">
        <f>IFERROR(__xludf.DUMMYFUNCTION("""COMPUTED_VALUE"""),"OPERATIVO DGT")</f>
        <v>OPERATIVO DGT</v>
      </c>
      <c r="AC17" s="64" t="str">
        <f>IFERROR(__xludf.DUMMYFUNCTION("""COMPUTED_VALUE"""),"OPERATIVO PMT")</f>
        <v>OPERATIVO PMT</v>
      </c>
      <c r="AD17" s="64" t="str">
        <f>IFERROR(__xludf.DUMMYFUNCTION("""COMPUTED_VALUE"""),"APOYO A DIGEF")</f>
        <v>APOYO A DIGEF</v>
      </c>
      <c r="AE17" s="64" t="str">
        <f>IFERROR(__xludf.DUMMYFUNCTION("""COMPUTED_VALUE"""),"OPERATIVO PNC TRANSITO")</f>
        <v>OPERATIVO PNC TRANSITO</v>
      </c>
      <c r="AF17" s="64" t="str">
        <f>IFERROR(__xludf.DUMMYFUNCTION("""COMPUTED_VALUE"""),"SOBRECARGA ")</f>
        <v>SOBRECARGA </v>
      </c>
      <c r="AG17" s="64" t="str">
        <f>IFERROR(__xludf.DUMMYFUNCTION("""COMPUTED_VALUE"""),"OPERATIVO EN CONJUNTO")</f>
        <v>OPERATIVO EN CONJUNTO</v>
      </c>
      <c r="AH17" s="64" t="str">
        <f>IFERROR(__xludf.DUMMYFUNCTION("""COMPUTED_VALUE"""),"PUESTO DE ATENCION AL USUARIO")</f>
        <v>PUESTO DE ATENCION AL USUARIO</v>
      </c>
      <c r="AI17" s="64" t="str">
        <f>IFERROR(__xludf.DUMMYFUNCTION("""COMPUTED_VALUE"""),"INCENDIO EN RUTA")</f>
        <v>INCENDIO EN RUTA</v>
      </c>
      <c r="AJ17" s="64" t="str">
        <f>IFERROR(__xludf.DUMMYFUNCTION("""COMPUTED_VALUE"""),"APOYO ANTORCHA ")</f>
        <v>APOYO ANTORCHA </v>
      </c>
    </row>
    <row r="18">
      <c r="B18" s="64" t="s">
        <v>54</v>
      </c>
      <c r="C18" s="64" t="str">
        <f>IFERROR(__xludf.DUMMYFUNCTION(" TRANSPOSE( unique ( QUERY(DATOPRO,""select Col2 where Col1 = '""&amp;B18&amp;""'"")))"),"PINCHAZO")</f>
        <v>PINCHAZO</v>
      </c>
      <c r="D18" s="64" t="str">
        <f>IFERROR(__xludf.DUMMYFUNCTION("""COMPUTED_VALUE"""),"TRABAJOS DE CARRETERA")</f>
        <v>TRABAJOS DE CARRETERA</v>
      </c>
      <c r="E18" s="64" t="str">
        <f>IFERROR(__xludf.DUMMYFUNCTION("""COMPUTED_VALUE"""),"CONSIGNACIÓN")</f>
        <v>CONSIGNACIÓN</v>
      </c>
      <c r="F18" s="64" t="str">
        <f>IFERROR(__xludf.DUMMYFUNCTION("""COMPUTED_VALUE"""),"DERRAME")</f>
        <v>DERRAME</v>
      </c>
      <c r="G18" s="64" t="str">
        <f>IFERROR(__xludf.DUMMYFUNCTION("""COMPUTED_VALUE"""),"CALENTAMIENTO")</f>
        <v>CALENTAMIENTO</v>
      </c>
      <c r="H18" s="64" t="str">
        <f>IFERROR(__xludf.DUMMYFUNCTION("""COMPUTED_VALUE"""),"ESCOLTANDO")</f>
        <v>ESCOLTANDO</v>
      </c>
      <c r="I18" s="64" t="str">
        <f>IFERROR(__xludf.DUMMYFUNCTION("""COMPUTED_VALUE"""),"FALTA DE COMBUSTIBLE")</f>
        <v>FALTA DE COMBUSTIBLE</v>
      </c>
      <c r="J18" s="64" t="str">
        <f>IFERROR(__xludf.DUMMYFUNCTION("""COMPUTED_VALUE"""),"DESPERFECTOS MECÁNICOS")</f>
        <v>DESPERFECTOS MECÁNICOS</v>
      </c>
      <c r="K18" s="64" t="str">
        <f>IFERROR(__xludf.DUMMYFUNCTION("""COMPUTED_VALUE"""),"LLAMADA DE ATENCIÓN")</f>
        <v>LLAMADA DE ATENCIÓN</v>
      </c>
      <c r="L18" s="64" t="str">
        <f>IFERROR(__xludf.DUMMYFUNCTION("""COMPUTED_VALUE"""),"OPERATIVOS")</f>
        <v>OPERATIVOS</v>
      </c>
      <c r="M18" s="64" t="str">
        <f>IFERROR(__xludf.DUMMYFUNCTION("""COMPUTED_VALUE"""),"SANCIÓN")</f>
        <v>SANCIÓN</v>
      </c>
      <c r="N18" s="64" t="str">
        <f>IFERROR(__xludf.DUMMYFUNCTION("""COMPUTED_VALUE"""),"SISTEMA ELECTRICO")</f>
        <v>SISTEMA ELECTRICO</v>
      </c>
      <c r="O18" s="64" t="str">
        <f>IFERROR(__xludf.DUMMYFUNCTION("""COMPUTED_VALUE"""),"ASISTENCIA AL USUARIO")</f>
        <v>ASISTENCIA AL USUARIO</v>
      </c>
      <c r="P18" s="64" t="str">
        <f>IFERROR(__xludf.DUMMYFUNCTION("""COMPUTED_VALUE"""),"DOBLE REMOLQUE")</f>
        <v>DOBLE REMOLQUE</v>
      </c>
      <c r="Q18" s="64" t="str">
        <f>IFERROR(__xludf.DUMMYFUNCTION("""COMPUTED_VALUE"""),"SINAPRESE")</f>
        <v>SINAPRESE</v>
      </c>
      <c r="R18" s="64" t="str">
        <f>IFERROR(__xludf.DUMMYFUNCTION("""COMPUTED_VALUE"""),"APOYO ATLETISMO")</f>
        <v>APOYO ATLETISMO</v>
      </c>
      <c r="S18" s="64" t="str">
        <f>IFERROR(__xludf.DUMMYFUNCTION("""COMPUTED_VALUE"""),"APOYO A CICLISMO")</f>
        <v>APOYO A CICLISMO</v>
      </c>
      <c r="T18" s="64" t="str">
        <f>IFERROR(__xludf.DUMMYFUNCTION("""COMPUTED_VALUE"""),"DESCARGA DE BATERÍA")</f>
        <v>DESCARGA DE BATERÍA</v>
      </c>
      <c r="U18" s="64" t="str">
        <f>IFERROR(__xludf.DUMMYFUNCTION("""COMPUTED_VALUE"""),"PROBLEMAS DE SALUD")</f>
        <v>PROBLEMAS DE SALUD</v>
      </c>
      <c r="V18" s="64" t="str">
        <f>IFERROR(__xludf.DUMMYFUNCTION("""COMPUTED_VALUE"""),"OLVIDO LA LLAVE")</f>
        <v>OLVIDO LA LLAVE</v>
      </c>
      <c r="W18" s="64" t="str">
        <f>IFERROR(__xludf.DUMMYFUNCTION("""COMPUTED_VALUE"""),"CARGA SOBREDIMENSIONADA")</f>
        <v>CARGA SOBREDIMENSIONADA</v>
      </c>
      <c r="X18" s="64" t="str">
        <f>IFERROR(__xludf.DUMMYFUNCTION("""COMPUTED_VALUE"""),"VEHÍCULO ABANDONADO")</f>
        <v>VEHÍCULO ABANDONADO</v>
      </c>
      <c r="Y18" s="64" t="str">
        <f>IFERROR(__xludf.DUMMYFUNCTION("""COMPUTED_VALUE"""),"DESPRENDIMIENTO")</f>
        <v>DESPRENDIMIENTO</v>
      </c>
      <c r="Z18" s="64" t="str">
        <f>IFERROR(__xludf.DUMMYFUNCTION("""COMPUTED_VALUE"""),"CAÍDA DE POSTE")</f>
        <v>CAÍDA DE POSTE</v>
      </c>
      <c r="AA18" s="64" t="str">
        <f>IFERROR(__xludf.DUMMYFUNCTION("""COMPUTED_VALUE"""),"CAÍDA DE RAMA")</f>
        <v>CAÍDA DE RAMA</v>
      </c>
      <c r="AB18" s="64" t="str">
        <f>IFERROR(__xludf.DUMMYFUNCTION("""COMPUTED_VALUE"""),"OPERATIVO DGT")</f>
        <v>OPERATIVO DGT</v>
      </c>
      <c r="AC18" s="64" t="str">
        <f>IFERROR(__xludf.DUMMYFUNCTION("""COMPUTED_VALUE"""),"OPERATIVO PMT")</f>
        <v>OPERATIVO PMT</v>
      </c>
      <c r="AD18" s="64" t="str">
        <f>IFERROR(__xludf.DUMMYFUNCTION("""COMPUTED_VALUE"""),"APOYO A DIGEF")</f>
        <v>APOYO A DIGEF</v>
      </c>
      <c r="AE18" s="64" t="str">
        <f>IFERROR(__xludf.DUMMYFUNCTION("""COMPUTED_VALUE"""),"OPERATIVO PNC TRANSITO")</f>
        <v>OPERATIVO PNC TRANSITO</v>
      </c>
      <c r="AF18" s="64" t="str">
        <f>IFERROR(__xludf.DUMMYFUNCTION("""COMPUTED_VALUE"""),"SOBRECARGA ")</f>
        <v>SOBRECARGA </v>
      </c>
      <c r="AG18" s="64" t="str">
        <f>IFERROR(__xludf.DUMMYFUNCTION("""COMPUTED_VALUE"""),"OPERATIVO EN CONJUNTO")</f>
        <v>OPERATIVO EN CONJUNTO</v>
      </c>
      <c r="AH18" s="64" t="str">
        <f>IFERROR(__xludf.DUMMYFUNCTION("""COMPUTED_VALUE"""),"PUESTO DE ATENCION AL USUARIO")</f>
        <v>PUESTO DE ATENCION AL USUARIO</v>
      </c>
      <c r="AI18" s="64" t="str">
        <f>IFERROR(__xludf.DUMMYFUNCTION("""COMPUTED_VALUE"""),"INCENDIO EN RUTA")</f>
        <v>INCENDIO EN RUTA</v>
      </c>
      <c r="AJ18" s="64" t="str">
        <f>IFERROR(__xludf.DUMMYFUNCTION("""COMPUTED_VALUE"""),"APOYO ANTORCHA ")</f>
        <v>APOYO ANTORCHA </v>
      </c>
    </row>
    <row r="19">
      <c r="B19" s="64" t="s">
        <v>54</v>
      </c>
      <c r="C19" s="64" t="str">
        <f>IFERROR(__xludf.DUMMYFUNCTION(" TRANSPOSE( unique ( QUERY(DATOPRO,""select Col2 where Col1 = '""&amp;B19&amp;""'"")))"),"PINCHAZO")</f>
        <v>PINCHAZO</v>
      </c>
      <c r="D19" s="64" t="str">
        <f>IFERROR(__xludf.DUMMYFUNCTION("""COMPUTED_VALUE"""),"TRABAJOS DE CARRETERA")</f>
        <v>TRABAJOS DE CARRETERA</v>
      </c>
      <c r="E19" s="64" t="str">
        <f>IFERROR(__xludf.DUMMYFUNCTION("""COMPUTED_VALUE"""),"CONSIGNACIÓN")</f>
        <v>CONSIGNACIÓN</v>
      </c>
      <c r="F19" s="64" t="str">
        <f>IFERROR(__xludf.DUMMYFUNCTION("""COMPUTED_VALUE"""),"DERRAME")</f>
        <v>DERRAME</v>
      </c>
      <c r="G19" s="64" t="str">
        <f>IFERROR(__xludf.DUMMYFUNCTION("""COMPUTED_VALUE"""),"CALENTAMIENTO")</f>
        <v>CALENTAMIENTO</v>
      </c>
      <c r="H19" s="64" t="str">
        <f>IFERROR(__xludf.DUMMYFUNCTION("""COMPUTED_VALUE"""),"ESCOLTANDO")</f>
        <v>ESCOLTANDO</v>
      </c>
      <c r="I19" s="64" t="str">
        <f>IFERROR(__xludf.DUMMYFUNCTION("""COMPUTED_VALUE"""),"FALTA DE COMBUSTIBLE")</f>
        <v>FALTA DE COMBUSTIBLE</v>
      </c>
      <c r="J19" s="64" t="str">
        <f>IFERROR(__xludf.DUMMYFUNCTION("""COMPUTED_VALUE"""),"DESPERFECTOS MECÁNICOS")</f>
        <v>DESPERFECTOS MECÁNICOS</v>
      </c>
      <c r="K19" s="64" t="str">
        <f>IFERROR(__xludf.DUMMYFUNCTION("""COMPUTED_VALUE"""),"LLAMADA DE ATENCIÓN")</f>
        <v>LLAMADA DE ATENCIÓN</v>
      </c>
      <c r="L19" s="64" t="str">
        <f>IFERROR(__xludf.DUMMYFUNCTION("""COMPUTED_VALUE"""),"OPERATIVOS")</f>
        <v>OPERATIVOS</v>
      </c>
      <c r="M19" s="64" t="str">
        <f>IFERROR(__xludf.DUMMYFUNCTION("""COMPUTED_VALUE"""),"SANCIÓN")</f>
        <v>SANCIÓN</v>
      </c>
      <c r="N19" s="64" t="str">
        <f>IFERROR(__xludf.DUMMYFUNCTION("""COMPUTED_VALUE"""),"SISTEMA ELECTRICO")</f>
        <v>SISTEMA ELECTRICO</v>
      </c>
      <c r="O19" s="64" t="str">
        <f>IFERROR(__xludf.DUMMYFUNCTION("""COMPUTED_VALUE"""),"ASISTENCIA AL USUARIO")</f>
        <v>ASISTENCIA AL USUARIO</v>
      </c>
      <c r="P19" s="64" t="str">
        <f>IFERROR(__xludf.DUMMYFUNCTION("""COMPUTED_VALUE"""),"DOBLE REMOLQUE")</f>
        <v>DOBLE REMOLQUE</v>
      </c>
      <c r="Q19" s="64" t="str">
        <f>IFERROR(__xludf.DUMMYFUNCTION("""COMPUTED_VALUE"""),"SINAPRESE")</f>
        <v>SINAPRESE</v>
      </c>
      <c r="R19" s="64" t="str">
        <f>IFERROR(__xludf.DUMMYFUNCTION("""COMPUTED_VALUE"""),"APOYO ATLETISMO")</f>
        <v>APOYO ATLETISMO</v>
      </c>
      <c r="S19" s="64" t="str">
        <f>IFERROR(__xludf.DUMMYFUNCTION("""COMPUTED_VALUE"""),"APOYO A CICLISMO")</f>
        <v>APOYO A CICLISMO</v>
      </c>
      <c r="T19" s="64" t="str">
        <f>IFERROR(__xludf.DUMMYFUNCTION("""COMPUTED_VALUE"""),"DESCARGA DE BATERÍA")</f>
        <v>DESCARGA DE BATERÍA</v>
      </c>
      <c r="U19" s="64" t="str">
        <f>IFERROR(__xludf.DUMMYFUNCTION("""COMPUTED_VALUE"""),"PROBLEMAS DE SALUD")</f>
        <v>PROBLEMAS DE SALUD</v>
      </c>
      <c r="V19" s="64" t="str">
        <f>IFERROR(__xludf.DUMMYFUNCTION("""COMPUTED_VALUE"""),"OLVIDO LA LLAVE")</f>
        <v>OLVIDO LA LLAVE</v>
      </c>
      <c r="W19" s="64" t="str">
        <f>IFERROR(__xludf.DUMMYFUNCTION("""COMPUTED_VALUE"""),"CARGA SOBREDIMENSIONADA")</f>
        <v>CARGA SOBREDIMENSIONADA</v>
      </c>
      <c r="X19" s="64" t="str">
        <f>IFERROR(__xludf.DUMMYFUNCTION("""COMPUTED_VALUE"""),"VEHÍCULO ABANDONADO")</f>
        <v>VEHÍCULO ABANDONADO</v>
      </c>
      <c r="Y19" s="64" t="str">
        <f>IFERROR(__xludf.DUMMYFUNCTION("""COMPUTED_VALUE"""),"DESPRENDIMIENTO")</f>
        <v>DESPRENDIMIENTO</v>
      </c>
      <c r="Z19" s="64" t="str">
        <f>IFERROR(__xludf.DUMMYFUNCTION("""COMPUTED_VALUE"""),"CAÍDA DE POSTE")</f>
        <v>CAÍDA DE POSTE</v>
      </c>
      <c r="AA19" s="64" t="str">
        <f>IFERROR(__xludf.DUMMYFUNCTION("""COMPUTED_VALUE"""),"CAÍDA DE RAMA")</f>
        <v>CAÍDA DE RAMA</v>
      </c>
      <c r="AB19" s="64" t="str">
        <f>IFERROR(__xludf.DUMMYFUNCTION("""COMPUTED_VALUE"""),"OPERATIVO DGT")</f>
        <v>OPERATIVO DGT</v>
      </c>
      <c r="AC19" s="64" t="str">
        <f>IFERROR(__xludf.DUMMYFUNCTION("""COMPUTED_VALUE"""),"OPERATIVO PMT")</f>
        <v>OPERATIVO PMT</v>
      </c>
      <c r="AD19" s="64" t="str">
        <f>IFERROR(__xludf.DUMMYFUNCTION("""COMPUTED_VALUE"""),"APOYO A DIGEF")</f>
        <v>APOYO A DIGEF</v>
      </c>
      <c r="AE19" s="64" t="str">
        <f>IFERROR(__xludf.DUMMYFUNCTION("""COMPUTED_VALUE"""),"OPERATIVO PNC TRANSITO")</f>
        <v>OPERATIVO PNC TRANSITO</v>
      </c>
      <c r="AF19" s="64" t="str">
        <f>IFERROR(__xludf.DUMMYFUNCTION("""COMPUTED_VALUE"""),"SOBRECARGA ")</f>
        <v>SOBRECARGA </v>
      </c>
      <c r="AG19" s="64" t="str">
        <f>IFERROR(__xludf.DUMMYFUNCTION("""COMPUTED_VALUE"""),"OPERATIVO EN CONJUNTO")</f>
        <v>OPERATIVO EN CONJUNTO</v>
      </c>
      <c r="AH19" s="64" t="str">
        <f>IFERROR(__xludf.DUMMYFUNCTION("""COMPUTED_VALUE"""),"PUESTO DE ATENCION AL USUARIO")</f>
        <v>PUESTO DE ATENCION AL USUARIO</v>
      </c>
      <c r="AI19" s="64" t="str">
        <f>IFERROR(__xludf.DUMMYFUNCTION("""COMPUTED_VALUE"""),"INCENDIO EN RUTA")</f>
        <v>INCENDIO EN RUTA</v>
      </c>
      <c r="AJ19" s="64" t="str">
        <f>IFERROR(__xludf.DUMMYFUNCTION("""COMPUTED_VALUE"""),"APOYO ANTORCHA ")</f>
        <v>APOYO ANTORCHA </v>
      </c>
    </row>
    <row r="20">
      <c r="B20" s="64" t="s">
        <v>54</v>
      </c>
      <c r="C20" s="64" t="str">
        <f>IFERROR(__xludf.DUMMYFUNCTION(" TRANSPOSE( unique ( QUERY(DATOPRO,""select Col2 where Col1 = '""&amp;B20&amp;""'"")))"),"PINCHAZO")</f>
        <v>PINCHAZO</v>
      </c>
      <c r="D20" s="64" t="str">
        <f>IFERROR(__xludf.DUMMYFUNCTION("""COMPUTED_VALUE"""),"TRABAJOS DE CARRETERA")</f>
        <v>TRABAJOS DE CARRETERA</v>
      </c>
      <c r="E20" s="64" t="str">
        <f>IFERROR(__xludf.DUMMYFUNCTION("""COMPUTED_VALUE"""),"CONSIGNACIÓN")</f>
        <v>CONSIGNACIÓN</v>
      </c>
      <c r="F20" s="64" t="str">
        <f>IFERROR(__xludf.DUMMYFUNCTION("""COMPUTED_VALUE"""),"DERRAME")</f>
        <v>DERRAME</v>
      </c>
      <c r="G20" s="64" t="str">
        <f>IFERROR(__xludf.DUMMYFUNCTION("""COMPUTED_VALUE"""),"CALENTAMIENTO")</f>
        <v>CALENTAMIENTO</v>
      </c>
      <c r="H20" s="64" t="str">
        <f>IFERROR(__xludf.DUMMYFUNCTION("""COMPUTED_VALUE"""),"ESCOLTANDO")</f>
        <v>ESCOLTANDO</v>
      </c>
      <c r="I20" s="64" t="str">
        <f>IFERROR(__xludf.DUMMYFUNCTION("""COMPUTED_VALUE"""),"FALTA DE COMBUSTIBLE")</f>
        <v>FALTA DE COMBUSTIBLE</v>
      </c>
      <c r="J20" s="64" t="str">
        <f>IFERROR(__xludf.DUMMYFUNCTION("""COMPUTED_VALUE"""),"DESPERFECTOS MECÁNICOS")</f>
        <v>DESPERFECTOS MECÁNICOS</v>
      </c>
      <c r="K20" s="64" t="str">
        <f>IFERROR(__xludf.DUMMYFUNCTION("""COMPUTED_VALUE"""),"LLAMADA DE ATENCIÓN")</f>
        <v>LLAMADA DE ATENCIÓN</v>
      </c>
      <c r="L20" s="64" t="str">
        <f>IFERROR(__xludf.DUMMYFUNCTION("""COMPUTED_VALUE"""),"OPERATIVOS")</f>
        <v>OPERATIVOS</v>
      </c>
      <c r="M20" s="64" t="str">
        <f>IFERROR(__xludf.DUMMYFUNCTION("""COMPUTED_VALUE"""),"SANCIÓN")</f>
        <v>SANCIÓN</v>
      </c>
      <c r="N20" s="64" t="str">
        <f>IFERROR(__xludf.DUMMYFUNCTION("""COMPUTED_VALUE"""),"SISTEMA ELECTRICO")</f>
        <v>SISTEMA ELECTRICO</v>
      </c>
      <c r="O20" s="64" t="str">
        <f>IFERROR(__xludf.DUMMYFUNCTION("""COMPUTED_VALUE"""),"ASISTENCIA AL USUARIO")</f>
        <v>ASISTENCIA AL USUARIO</v>
      </c>
      <c r="P20" s="64" t="str">
        <f>IFERROR(__xludf.DUMMYFUNCTION("""COMPUTED_VALUE"""),"DOBLE REMOLQUE")</f>
        <v>DOBLE REMOLQUE</v>
      </c>
      <c r="Q20" s="64" t="str">
        <f>IFERROR(__xludf.DUMMYFUNCTION("""COMPUTED_VALUE"""),"SINAPRESE")</f>
        <v>SINAPRESE</v>
      </c>
      <c r="R20" s="64" t="str">
        <f>IFERROR(__xludf.DUMMYFUNCTION("""COMPUTED_VALUE"""),"APOYO ATLETISMO")</f>
        <v>APOYO ATLETISMO</v>
      </c>
      <c r="S20" s="64" t="str">
        <f>IFERROR(__xludf.DUMMYFUNCTION("""COMPUTED_VALUE"""),"APOYO A CICLISMO")</f>
        <v>APOYO A CICLISMO</v>
      </c>
      <c r="T20" s="64" t="str">
        <f>IFERROR(__xludf.DUMMYFUNCTION("""COMPUTED_VALUE"""),"DESCARGA DE BATERÍA")</f>
        <v>DESCARGA DE BATERÍA</v>
      </c>
      <c r="U20" s="64" t="str">
        <f>IFERROR(__xludf.DUMMYFUNCTION("""COMPUTED_VALUE"""),"PROBLEMAS DE SALUD")</f>
        <v>PROBLEMAS DE SALUD</v>
      </c>
      <c r="V20" s="64" t="str">
        <f>IFERROR(__xludf.DUMMYFUNCTION("""COMPUTED_VALUE"""),"OLVIDO LA LLAVE")</f>
        <v>OLVIDO LA LLAVE</v>
      </c>
      <c r="W20" s="64" t="str">
        <f>IFERROR(__xludf.DUMMYFUNCTION("""COMPUTED_VALUE"""),"CARGA SOBREDIMENSIONADA")</f>
        <v>CARGA SOBREDIMENSIONADA</v>
      </c>
      <c r="X20" s="64" t="str">
        <f>IFERROR(__xludf.DUMMYFUNCTION("""COMPUTED_VALUE"""),"VEHÍCULO ABANDONADO")</f>
        <v>VEHÍCULO ABANDONADO</v>
      </c>
      <c r="Y20" s="64" t="str">
        <f>IFERROR(__xludf.DUMMYFUNCTION("""COMPUTED_VALUE"""),"DESPRENDIMIENTO")</f>
        <v>DESPRENDIMIENTO</v>
      </c>
      <c r="Z20" s="64" t="str">
        <f>IFERROR(__xludf.DUMMYFUNCTION("""COMPUTED_VALUE"""),"CAÍDA DE POSTE")</f>
        <v>CAÍDA DE POSTE</v>
      </c>
      <c r="AA20" s="64" t="str">
        <f>IFERROR(__xludf.DUMMYFUNCTION("""COMPUTED_VALUE"""),"CAÍDA DE RAMA")</f>
        <v>CAÍDA DE RAMA</v>
      </c>
      <c r="AB20" s="64" t="str">
        <f>IFERROR(__xludf.DUMMYFUNCTION("""COMPUTED_VALUE"""),"OPERATIVO DGT")</f>
        <v>OPERATIVO DGT</v>
      </c>
      <c r="AC20" s="64" t="str">
        <f>IFERROR(__xludf.DUMMYFUNCTION("""COMPUTED_VALUE"""),"OPERATIVO PMT")</f>
        <v>OPERATIVO PMT</v>
      </c>
      <c r="AD20" s="64" t="str">
        <f>IFERROR(__xludf.DUMMYFUNCTION("""COMPUTED_VALUE"""),"APOYO A DIGEF")</f>
        <v>APOYO A DIGEF</v>
      </c>
      <c r="AE20" s="64" t="str">
        <f>IFERROR(__xludf.DUMMYFUNCTION("""COMPUTED_VALUE"""),"OPERATIVO PNC TRANSITO")</f>
        <v>OPERATIVO PNC TRANSITO</v>
      </c>
      <c r="AF20" s="64" t="str">
        <f>IFERROR(__xludf.DUMMYFUNCTION("""COMPUTED_VALUE"""),"SOBRECARGA ")</f>
        <v>SOBRECARGA </v>
      </c>
      <c r="AG20" s="64" t="str">
        <f>IFERROR(__xludf.DUMMYFUNCTION("""COMPUTED_VALUE"""),"OPERATIVO EN CONJUNTO")</f>
        <v>OPERATIVO EN CONJUNTO</v>
      </c>
      <c r="AH20" s="64" t="str">
        <f>IFERROR(__xludf.DUMMYFUNCTION("""COMPUTED_VALUE"""),"PUESTO DE ATENCION AL USUARIO")</f>
        <v>PUESTO DE ATENCION AL USUARIO</v>
      </c>
      <c r="AI20" s="64" t="str">
        <f>IFERROR(__xludf.DUMMYFUNCTION("""COMPUTED_VALUE"""),"INCENDIO EN RUTA")</f>
        <v>INCENDIO EN RUTA</v>
      </c>
      <c r="AJ20" s="64" t="str">
        <f>IFERROR(__xludf.DUMMYFUNCTION("""COMPUTED_VALUE"""),"APOYO ANTORCHA ")</f>
        <v>APOYO ANTORCHA </v>
      </c>
    </row>
    <row r="21">
      <c r="B21" s="64" t="s">
        <v>54</v>
      </c>
      <c r="C21" s="64" t="str">
        <f>IFERROR(__xludf.DUMMYFUNCTION(" TRANSPOSE( unique ( QUERY(DATOPRO,""select Col2 where Col1 = '""&amp;B21&amp;""'"")))"),"PINCHAZO")</f>
        <v>PINCHAZO</v>
      </c>
      <c r="D21" s="64" t="str">
        <f>IFERROR(__xludf.DUMMYFUNCTION("""COMPUTED_VALUE"""),"TRABAJOS DE CARRETERA")</f>
        <v>TRABAJOS DE CARRETERA</v>
      </c>
      <c r="E21" s="64" t="str">
        <f>IFERROR(__xludf.DUMMYFUNCTION("""COMPUTED_VALUE"""),"CONSIGNACIÓN")</f>
        <v>CONSIGNACIÓN</v>
      </c>
      <c r="F21" s="64" t="str">
        <f>IFERROR(__xludf.DUMMYFUNCTION("""COMPUTED_VALUE"""),"DERRAME")</f>
        <v>DERRAME</v>
      </c>
      <c r="G21" s="64" t="str">
        <f>IFERROR(__xludf.DUMMYFUNCTION("""COMPUTED_VALUE"""),"CALENTAMIENTO")</f>
        <v>CALENTAMIENTO</v>
      </c>
      <c r="H21" s="64" t="str">
        <f>IFERROR(__xludf.DUMMYFUNCTION("""COMPUTED_VALUE"""),"ESCOLTANDO")</f>
        <v>ESCOLTANDO</v>
      </c>
      <c r="I21" s="64" t="str">
        <f>IFERROR(__xludf.DUMMYFUNCTION("""COMPUTED_VALUE"""),"FALTA DE COMBUSTIBLE")</f>
        <v>FALTA DE COMBUSTIBLE</v>
      </c>
      <c r="J21" s="64" t="str">
        <f>IFERROR(__xludf.DUMMYFUNCTION("""COMPUTED_VALUE"""),"DESPERFECTOS MECÁNICOS")</f>
        <v>DESPERFECTOS MECÁNICOS</v>
      </c>
      <c r="K21" s="64" t="str">
        <f>IFERROR(__xludf.DUMMYFUNCTION("""COMPUTED_VALUE"""),"LLAMADA DE ATENCIÓN")</f>
        <v>LLAMADA DE ATENCIÓN</v>
      </c>
      <c r="L21" s="64" t="str">
        <f>IFERROR(__xludf.DUMMYFUNCTION("""COMPUTED_VALUE"""),"OPERATIVOS")</f>
        <v>OPERATIVOS</v>
      </c>
      <c r="M21" s="64" t="str">
        <f>IFERROR(__xludf.DUMMYFUNCTION("""COMPUTED_VALUE"""),"SANCIÓN")</f>
        <v>SANCIÓN</v>
      </c>
      <c r="N21" s="64" t="str">
        <f>IFERROR(__xludf.DUMMYFUNCTION("""COMPUTED_VALUE"""),"SISTEMA ELECTRICO")</f>
        <v>SISTEMA ELECTRICO</v>
      </c>
      <c r="O21" s="64" t="str">
        <f>IFERROR(__xludf.DUMMYFUNCTION("""COMPUTED_VALUE"""),"ASISTENCIA AL USUARIO")</f>
        <v>ASISTENCIA AL USUARIO</v>
      </c>
      <c r="P21" s="64" t="str">
        <f>IFERROR(__xludf.DUMMYFUNCTION("""COMPUTED_VALUE"""),"DOBLE REMOLQUE")</f>
        <v>DOBLE REMOLQUE</v>
      </c>
      <c r="Q21" s="64" t="str">
        <f>IFERROR(__xludf.DUMMYFUNCTION("""COMPUTED_VALUE"""),"SINAPRESE")</f>
        <v>SINAPRESE</v>
      </c>
      <c r="R21" s="64" t="str">
        <f>IFERROR(__xludf.DUMMYFUNCTION("""COMPUTED_VALUE"""),"APOYO ATLETISMO")</f>
        <v>APOYO ATLETISMO</v>
      </c>
      <c r="S21" s="64" t="str">
        <f>IFERROR(__xludf.DUMMYFUNCTION("""COMPUTED_VALUE"""),"APOYO A CICLISMO")</f>
        <v>APOYO A CICLISMO</v>
      </c>
      <c r="T21" s="64" t="str">
        <f>IFERROR(__xludf.DUMMYFUNCTION("""COMPUTED_VALUE"""),"DESCARGA DE BATERÍA")</f>
        <v>DESCARGA DE BATERÍA</v>
      </c>
      <c r="U21" s="64" t="str">
        <f>IFERROR(__xludf.DUMMYFUNCTION("""COMPUTED_VALUE"""),"PROBLEMAS DE SALUD")</f>
        <v>PROBLEMAS DE SALUD</v>
      </c>
      <c r="V21" s="64" t="str">
        <f>IFERROR(__xludf.DUMMYFUNCTION("""COMPUTED_VALUE"""),"OLVIDO LA LLAVE")</f>
        <v>OLVIDO LA LLAVE</v>
      </c>
      <c r="W21" s="64" t="str">
        <f>IFERROR(__xludf.DUMMYFUNCTION("""COMPUTED_VALUE"""),"CARGA SOBREDIMENSIONADA")</f>
        <v>CARGA SOBREDIMENSIONADA</v>
      </c>
      <c r="X21" s="64" t="str">
        <f>IFERROR(__xludf.DUMMYFUNCTION("""COMPUTED_VALUE"""),"VEHÍCULO ABANDONADO")</f>
        <v>VEHÍCULO ABANDONADO</v>
      </c>
      <c r="Y21" s="64" t="str">
        <f>IFERROR(__xludf.DUMMYFUNCTION("""COMPUTED_VALUE"""),"DESPRENDIMIENTO")</f>
        <v>DESPRENDIMIENTO</v>
      </c>
      <c r="Z21" s="64" t="str">
        <f>IFERROR(__xludf.DUMMYFUNCTION("""COMPUTED_VALUE"""),"CAÍDA DE POSTE")</f>
        <v>CAÍDA DE POSTE</v>
      </c>
      <c r="AA21" s="64" t="str">
        <f>IFERROR(__xludf.DUMMYFUNCTION("""COMPUTED_VALUE"""),"CAÍDA DE RAMA")</f>
        <v>CAÍDA DE RAMA</v>
      </c>
      <c r="AB21" s="64" t="str">
        <f>IFERROR(__xludf.DUMMYFUNCTION("""COMPUTED_VALUE"""),"OPERATIVO DGT")</f>
        <v>OPERATIVO DGT</v>
      </c>
      <c r="AC21" s="64" t="str">
        <f>IFERROR(__xludf.DUMMYFUNCTION("""COMPUTED_VALUE"""),"OPERATIVO PMT")</f>
        <v>OPERATIVO PMT</v>
      </c>
      <c r="AD21" s="64" t="str">
        <f>IFERROR(__xludf.DUMMYFUNCTION("""COMPUTED_VALUE"""),"APOYO A DIGEF")</f>
        <v>APOYO A DIGEF</v>
      </c>
      <c r="AE21" s="64" t="str">
        <f>IFERROR(__xludf.DUMMYFUNCTION("""COMPUTED_VALUE"""),"OPERATIVO PNC TRANSITO")</f>
        <v>OPERATIVO PNC TRANSITO</v>
      </c>
      <c r="AF21" s="64" t="str">
        <f>IFERROR(__xludf.DUMMYFUNCTION("""COMPUTED_VALUE"""),"SOBRECARGA ")</f>
        <v>SOBRECARGA </v>
      </c>
      <c r="AG21" s="64" t="str">
        <f>IFERROR(__xludf.DUMMYFUNCTION("""COMPUTED_VALUE"""),"OPERATIVO EN CONJUNTO")</f>
        <v>OPERATIVO EN CONJUNTO</v>
      </c>
      <c r="AH21" s="64" t="str">
        <f>IFERROR(__xludf.DUMMYFUNCTION("""COMPUTED_VALUE"""),"PUESTO DE ATENCION AL USUARIO")</f>
        <v>PUESTO DE ATENCION AL USUARIO</v>
      </c>
      <c r="AI21" s="64" t="str">
        <f>IFERROR(__xludf.DUMMYFUNCTION("""COMPUTED_VALUE"""),"INCENDIO EN RUTA")</f>
        <v>INCENDIO EN RUTA</v>
      </c>
      <c r="AJ21" s="64" t="str">
        <f>IFERROR(__xludf.DUMMYFUNCTION("""COMPUTED_VALUE"""),"APOYO ANTORCHA ")</f>
        <v>APOYO ANTORCHA </v>
      </c>
    </row>
    <row r="22">
      <c r="B22" s="64" t="s">
        <v>54</v>
      </c>
      <c r="C22" s="64" t="str">
        <f>IFERROR(__xludf.DUMMYFUNCTION(" TRANSPOSE( unique ( QUERY(DATOPRO,""select Col2 where Col1 = '""&amp;B22&amp;""'"")))"),"PINCHAZO")</f>
        <v>PINCHAZO</v>
      </c>
      <c r="D22" s="64" t="str">
        <f>IFERROR(__xludf.DUMMYFUNCTION("""COMPUTED_VALUE"""),"TRABAJOS DE CARRETERA")</f>
        <v>TRABAJOS DE CARRETERA</v>
      </c>
      <c r="E22" s="64" t="str">
        <f>IFERROR(__xludf.DUMMYFUNCTION("""COMPUTED_VALUE"""),"CONSIGNACIÓN")</f>
        <v>CONSIGNACIÓN</v>
      </c>
      <c r="F22" s="64" t="str">
        <f>IFERROR(__xludf.DUMMYFUNCTION("""COMPUTED_VALUE"""),"DERRAME")</f>
        <v>DERRAME</v>
      </c>
      <c r="G22" s="64" t="str">
        <f>IFERROR(__xludf.DUMMYFUNCTION("""COMPUTED_VALUE"""),"CALENTAMIENTO")</f>
        <v>CALENTAMIENTO</v>
      </c>
      <c r="H22" s="64" t="str">
        <f>IFERROR(__xludf.DUMMYFUNCTION("""COMPUTED_VALUE"""),"ESCOLTANDO")</f>
        <v>ESCOLTANDO</v>
      </c>
      <c r="I22" s="64" t="str">
        <f>IFERROR(__xludf.DUMMYFUNCTION("""COMPUTED_VALUE"""),"FALTA DE COMBUSTIBLE")</f>
        <v>FALTA DE COMBUSTIBLE</v>
      </c>
      <c r="J22" s="64" t="str">
        <f>IFERROR(__xludf.DUMMYFUNCTION("""COMPUTED_VALUE"""),"DESPERFECTOS MECÁNICOS")</f>
        <v>DESPERFECTOS MECÁNICOS</v>
      </c>
      <c r="K22" s="64" t="str">
        <f>IFERROR(__xludf.DUMMYFUNCTION("""COMPUTED_VALUE"""),"LLAMADA DE ATENCIÓN")</f>
        <v>LLAMADA DE ATENCIÓN</v>
      </c>
      <c r="L22" s="64" t="str">
        <f>IFERROR(__xludf.DUMMYFUNCTION("""COMPUTED_VALUE"""),"OPERATIVOS")</f>
        <v>OPERATIVOS</v>
      </c>
      <c r="M22" s="64" t="str">
        <f>IFERROR(__xludf.DUMMYFUNCTION("""COMPUTED_VALUE"""),"SANCIÓN")</f>
        <v>SANCIÓN</v>
      </c>
      <c r="N22" s="64" t="str">
        <f>IFERROR(__xludf.DUMMYFUNCTION("""COMPUTED_VALUE"""),"SISTEMA ELECTRICO")</f>
        <v>SISTEMA ELECTRICO</v>
      </c>
      <c r="O22" s="64" t="str">
        <f>IFERROR(__xludf.DUMMYFUNCTION("""COMPUTED_VALUE"""),"ASISTENCIA AL USUARIO")</f>
        <v>ASISTENCIA AL USUARIO</v>
      </c>
      <c r="P22" s="64" t="str">
        <f>IFERROR(__xludf.DUMMYFUNCTION("""COMPUTED_VALUE"""),"DOBLE REMOLQUE")</f>
        <v>DOBLE REMOLQUE</v>
      </c>
      <c r="Q22" s="64" t="str">
        <f>IFERROR(__xludf.DUMMYFUNCTION("""COMPUTED_VALUE"""),"SINAPRESE")</f>
        <v>SINAPRESE</v>
      </c>
      <c r="R22" s="64" t="str">
        <f>IFERROR(__xludf.DUMMYFUNCTION("""COMPUTED_VALUE"""),"APOYO ATLETISMO")</f>
        <v>APOYO ATLETISMO</v>
      </c>
      <c r="S22" s="64" t="str">
        <f>IFERROR(__xludf.DUMMYFUNCTION("""COMPUTED_VALUE"""),"APOYO A CICLISMO")</f>
        <v>APOYO A CICLISMO</v>
      </c>
      <c r="T22" s="64" t="str">
        <f>IFERROR(__xludf.DUMMYFUNCTION("""COMPUTED_VALUE"""),"DESCARGA DE BATERÍA")</f>
        <v>DESCARGA DE BATERÍA</v>
      </c>
      <c r="U22" s="64" t="str">
        <f>IFERROR(__xludf.DUMMYFUNCTION("""COMPUTED_VALUE"""),"PROBLEMAS DE SALUD")</f>
        <v>PROBLEMAS DE SALUD</v>
      </c>
      <c r="V22" s="64" t="str">
        <f>IFERROR(__xludf.DUMMYFUNCTION("""COMPUTED_VALUE"""),"OLVIDO LA LLAVE")</f>
        <v>OLVIDO LA LLAVE</v>
      </c>
      <c r="W22" s="64" t="str">
        <f>IFERROR(__xludf.DUMMYFUNCTION("""COMPUTED_VALUE"""),"CARGA SOBREDIMENSIONADA")</f>
        <v>CARGA SOBREDIMENSIONADA</v>
      </c>
      <c r="X22" s="64" t="str">
        <f>IFERROR(__xludf.DUMMYFUNCTION("""COMPUTED_VALUE"""),"VEHÍCULO ABANDONADO")</f>
        <v>VEHÍCULO ABANDONADO</v>
      </c>
      <c r="Y22" s="64" t="str">
        <f>IFERROR(__xludf.DUMMYFUNCTION("""COMPUTED_VALUE"""),"DESPRENDIMIENTO")</f>
        <v>DESPRENDIMIENTO</v>
      </c>
      <c r="Z22" s="64" t="str">
        <f>IFERROR(__xludf.DUMMYFUNCTION("""COMPUTED_VALUE"""),"CAÍDA DE POSTE")</f>
        <v>CAÍDA DE POSTE</v>
      </c>
      <c r="AA22" s="64" t="str">
        <f>IFERROR(__xludf.DUMMYFUNCTION("""COMPUTED_VALUE"""),"CAÍDA DE RAMA")</f>
        <v>CAÍDA DE RAMA</v>
      </c>
      <c r="AB22" s="64" t="str">
        <f>IFERROR(__xludf.DUMMYFUNCTION("""COMPUTED_VALUE"""),"OPERATIVO DGT")</f>
        <v>OPERATIVO DGT</v>
      </c>
      <c r="AC22" s="64" t="str">
        <f>IFERROR(__xludf.DUMMYFUNCTION("""COMPUTED_VALUE"""),"OPERATIVO PMT")</f>
        <v>OPERATIVO PMT</v>
      </c>
      <c r="AD22" s="64" t="str">
        <f>IFERROR(__xludf.DUMMYFUNCTION("""COMPUTED_VALUE"""),"APOYO A DIGEF")</f>
        <v>APOYO A DIGEF</v>
      </c>
      <c r="AE22" s="64" t="str">
        <f>IFERROR(__xludf.DUMMYFUNCTION("""COMPUTED_VALUE"""),"OPERATIVO PNC TRANSITO")</f>
        <v>OPERATIVO PNC TRANSITO</v>
      </c>
      <c r="AF22" s="64" t="str">
        <f>IFERROR(__xludf.DUMMYFUNCTION("""COMPUTED_VALUE"""),"SOBRECARGA ")</f>
        <v>SOBRECARGA </v>
      </c>
      <c r="AG22" s="64" t="str">
        <f>IFERROR(__xludf.DUMMYFUNCTION("""COMPUTED_VALUE"""),"OPERATIVO EN CONJUNTO")</f>
        <v>OPERATIVO EN CONJUNTO</v>
      </c>
      <c r="AH22" s="64" t="str">
        <f>IFERROR(__xludf.DUMMYFUNCTION("""COMPUTED_VALUE"""),"PUESTO DE ATENCION AL USUARIO")</f>
        <v>PUESTO DE ATENCION AL USUARIO</v>
      </c>
      <c r="AI22" s="64" t="str">
        <f>IFERROR(__xludf.DUMMYFUNCTION("""COMPUTED_VALUE"""),"INCENDIO EN RUTA")</f>
        <v>INCENDIO EN RUTA</v>
      </c>
      <c r="AJ22" s="64" t="str">
        <f>IFERROR(__xludf.DUMMYFUNCTION("""COMPUTED_VALUE"""),"APOYO ANTORCHA ")</f>
        <v>APOYO ANTORCHA </v>
      </c>
    </row>
    <row r="23">
      <c r="B23" s="64" t="s">
        <v>54</v>
      </c>
      <c r="C23" s="64" t="str">
        <f>IFERROR(__xludf.DUMMYFUNCTION(" TRANSPOSE( unique ( QUERY(DATOPRO,""select Col2 where Col1 = '""&amp;B23&amp;""'"")))"),"PINCHAZO")</f>
        <v>PINCHAZO</v>
      </c>
      <c r="D23" s="64" t="str">
        <f>IFERROR(__xludf.DUMMYFUNCTION("""COMPUTED_VALUE"""),"TRABAJOS DE CARRETERA")</f>
        <v>TRABAJOS DE CARRETERA</v>
      </c>
      <c r="E23" s="64" t="str">
        <f>IFERROR(__xludf.DUMMYFUNCTION("""COMPUTED_VALUE"""),"CONSIGNACIÓN")</f>
        <v>CONSIGNACIÓN</v>
      </c>
      <c r="F23" s="64" t="str">
        <f>IFERROR(__xludf.DUMMYFUNCTION("""COMPUTED_VALUE"""),"DERRAME")</f>
        <v>DERRAME</v>
      </c>
      <c r="G23" s="64" t="str">
        <f>IFERROR(__xludf.DUMMYFUNCTION("""COMPUTED_VALUE"""),"CALENTAMIENTO")</f>
        <v>CALENTAMIENTO</v>
      </c>
      <c r="H23" s="64" t="str">
        <f>IFERROR(__xludf.DUMMYFUNCTION("""COMPUTED_VALUE"""),"ESCOLTANDO")</f>
        <v>ESCOLTANDO</v>
      </c>
      <c r="I23" s="64" t="str">
        <f>IFERROR(__xludf.DUMMYFUNCTION("""COMPUTED_VALUE"""),"FALTA DE COMBUSTIBLE")</f>
        <v>FALTA DE COMBUSTIBLE</v>
      </c>
      <c r="J23" s="64" t="str">
        <f>IFERROR(__xludf.DUMMYFUNCTION("""COMPUTED_VALUE"""),"DESPERFECTOS MECÁNICOS")</f>
        <v>DESPERFECTOS MECÁNICOS</v>
      </c>
      <c r="K23" s="64" t="str">
        <f>IFERROR(__xludf.DUMMYFUNCTION("""COMPUTED_VALUE"""),"LLAMADA DE ATENCIÓN")</f>
        <v>LLAMADA DE ATENCIÓN</v>
      </c>
      <c r="L23" s="64" t="str">
        <f>IFERROR(__xludf.DUMMYFUNCTION("""COMPUTED_VALUE"""),"OPERATIVOS")</f>
        <v>OPERATIVOS</v>
      </c>
      <c r="M23" s="64" t="str">
        <f>IFERROR(__xludf.DUMMYFUNCTION("""COMPUTED_VALUE"""),"SANCIÓN")</f>
        <v>SANCIÓN</v>
      </c>
      <c r="N23" s="64" t="str">
        <f>IFERROR(__xludf.DUMMYFUNCTION("""COMPUTED_VALUE"""),"SISTEMA ELECTRICO")</f>
        <v>SISTEMA ELECTRICO</v>
      </c>
      <c r="O23" s="64" t="str">
        <f>IFERROR(__xludf.DUMMYFUNCTION("""COMPUTED_VALUE"""),"ASISTENCIA AL USUARIO")</f>
        <v>ASISTENCIA AL USUARIO</v>
      </c>
      <c r="P23" s="64" t="str">
        <f>IFERROR(__xludf.DUMMYFUNCTION("""COMPUTED_VALUE"""),"DOBLE REMOLQUE")</f>
        <v>DOBLE REMOLQUE</v>
      </c>
      <c r="Q23" s="64" t="str">
        <f>IFERROR(__xludf.DUMMYFUNCTION("""COMPUTED_VALUE"""),"SINAPRESE")</f>
        <v>SINAPRESE</v>
      </c>
      <c r="R23" s="64" t="str">
        <f>IFERROR(__xludf.DUMMYFUNCTION("""COMPUTED_VALUE"""),"APOYO ATLETISMO")</f>
        <v>APOYO ATLETISMO</v>
      </c>
      <c r="S23" s="64" t="str">
        <f>IFERROR(__xludf.DUMMYFUNCTION("""COMPUTED_VALUE"""),"APOYO A CICLISMO")</f>
        <v>APOYO A CICLISMO</v>
      </c>
      <c r="T23" s="64" t="str">
        <f>IFERROR(__xludf.DUMMYFUNCTION("""COMPUTED_VALUE"""),"DESCARGA DE BATERÍA")</f>
        <v>DESCARGA DE BATERÍA</v>
      </c>
      <c r="U23" s="64" t="str">
        <f>IFERROR(__xludf.DUMMYFUNCTION("""COMPUTED_VALUE"""),"PROBLEMAS DE SALUD")</f>
        <v>PROBLEMAS DE SALUD</v>
      </c>
      <c r="V23" s="64" t="str">
        <f>IFERROR(__xludf.DUMMYFUNCTION("""COMPUTED_VALUE"""),"OLVIDO LA LLAVE")</f>
        <v>OLVIDO LA LLAVE</v>
      </c>
      <c r="W23" s="64" t="str">
        <f>IFERROR(__xludf.DUMMYFUNCTION("""COMPUTED_VALUE"""),"CARGA SOBREDIMENSIONADA")</f>
        <v>CARGA SOBREDIMENSIONADA</v>
      </c>
      <c r="X23" s="64" t="str">
        <f>IFERROR(__xludf.DUMMYFUNCTION("""COMPUTED_VALUE"""),"VEHÍCULO ABANDONADO")</f>
        <v>VEHÍCULO ABANDONADO</v>
      </c>
      <c r="Y23" s="64" t="str">
        <f>IFERROR(__xludf.DUMMYFUNCTION("""COMPUTED_VALUE"""),"DESPRENDIMIENTO")</f>
        <v>DESPRENDIMIENTO</v>
      </c>
      <c r="Z23" s="64" t="str">
        <f>IFERROR(__xludf.DUMMYFUNCTION("""COMPUTED_VALUE"""),"CAÍDA DE POSTE")</f>
        <v>CAÍDA DE POSTE</v>
      </c>
      <c r="AA23" s="64" t="str">
        <f>IFERROR(__xludf.DUMMYFUNCTION("""COMPUTED_VALUE"""),"CAÍDA DE RAMA")</f>
        <v>CAÍDA DE RAMA</v>
      </c>
      <c r="AB23" s="64" t="str">
        <f>IFERROR(__xludf.DUMMYFUNCTION("""COMPUTED_VALUE"""),"OPERATIVO DGT")</f>
        <v>OPERATIVO DGT</v>
      </c>
      <c r="AC23" s="64" t="str">
        <f>IFERROR(__xludf.DUMMYFUNCTION("""COMPUTED_VALUE"""),"OPERATIVO PMT")</f>
        <v>OPERATIVO PMT</v>
      </c>
      <c r="AD23" s="64" t="str">
        <f>IFERROR(__xludf.DUMMYFUNCTION("""COMPUTED_VALUE"""),"APOYO A DIGEF")</f>
        <v>APOYO A DIGEF</v>
      </c>
      <c r="AE23" s="64" t="str">
        <f>IFERROR(__xludf.DUMMYFUNCTION("""COMPUTED_VALUE"""),"OPERATIVO PNC TRANSITO")</f>
        <v>OPERATIVO PNC TRANSITO</v>
      </c>
      <c r="AF23" s="64" t="str">
        <f>IFERROR(__xludf.DUMMYFUNCTION("""COMPUTED_VALUE"""),"SOBRECARGA ")</f>
        <v>SOBRECARGA </v>
      </c>
      <c r="AG23" s="64" t="str">
        <f>IFERROR(__xludf.DUMMYFUNCTION("""COMPUTED_VALUE"""),"OPERATIVO EN CONJUNTO")</f>
        <v>OPERATIVO EN CONJUNTO</v>
      </c>
      <c r="AH23" s="64" t="str">
        <f>IFERROR(__xludf.DUMMYFUNCTION("""COMPUTED_VALUE"""),"PUESTO DE ATENCION AL USUARIO")</f>
        <v>PUESTO DE ATENCION AL USUARIO</v>
      </c>
      <c r="AI23" s="64" t="str">
        <f>IFERROR(__xludf.DUMMYFUNCTION("""COMPUTED_VALUE"""),"INCENDIO EN RUTA")</f>
        <v>INCENDIO EN RUTA</v>
      </c>
      <c r="AJ23" s="64" t="str">
        <f>IFERROR(__xludf.DUMMYFUNCTION("""COMPUTED_VALUE"""),"APOYO ANTORCHA ")</f>
        <v>APOYO ANTORCHA </v>
      </c>
    </row>
    <row r="24">
      <c r="B24" s="64" t="s">
        <v>54</v>
      </c>
      <c r="C24" s="64" t="str">
        <f>IFERROR(__xludf.DUMMYFUNCTION(" TRANSPOSE( unique ( QUERY(DATOPRO,""select Col2 where Col1 = '""&amp;B24&amp;""'"")))"),"PINCHAZO")</f>
        <v>PINCHAZO</v>
      </c>
      <c r="D24" s="64" t="str">
        <f>IFERROR(__xludf.DUMMYFUNCTION("""COMPUTED_VALUE"""),"TRABAJOS DE CARRETERA")</f>
        <v>TRABAJOS DE CARRETERA</v>
      </c>
      <c r="E24" s="64" t="str">
        <f>IFERROR(__xludf.DUMMYFUNCTION("""COMPUTED_VALUE"""),"CONSIGNACIÓN")</f>
        <v>CONSIGNACIÓN</v>
      </c>
      <c r="F24" s="64" t="str">
        <f>IFERROR(__xludf.DUMMYFUNCTION("""COMPUTED_VALUE"""),"DERRAME")</f>
        <v>DERRAME</v>
      </c>
      <c r="G24" s="64" t="str">
        <f>IFERROR(__xludf.DUMMYFUNCTION("""COMPUTED_VALUE"""),"CALENTAMIENTO")</f>
        <v>CALENTAMIENTO</v>
      </c>
      <c r="H24" s="64" t="str">
        <f>IFERROR(__xludf.DUMMYFUNCTION("""COMPUTED_VALUE"""),"ESCOLTANDO")</f>
        <v>ESCOLTANDO</v>
      </c>
      <c r="I24" s="64" t="str">
        <f>IFERROR(__xludf.DUMMYFUNCTION("""COMPUTED_VALUE"""),"FALTA DE COMBUSTIBLE")</f>
        <v>FALTA DE COMBUSTIBLE</v>
      </c>
      <c r="J24" s="64" t="str">
        <f>IFERROR(__xludf.DUMMYFUNCTION("""COMPUTED_VALUE"""),"DESPERFECTOS MECÁNICOS")</f>
        <v>DESPERFECTOS MECÁNICOS</v>
      </c>
      <c r="K24" s="64" t="str">
        <f>IFERROR(__xludf.DUMMYFUNCTION("""COMPUTED_VALUE"""),"LLAMADA DE ATENCIÓN")</f>
        <v>LLAMADA DE ATENCIÓN</v>
      </c>
      <c r="L24" s="64" t="str">
        <f>IFERROR(__xludf.DUMMYFUNCTION("""COMPUTED_VALUE"""),"OPERATIVOS")</f>
        <v>OPERATIVOS</v>
      </c>
      <c r="M24" s="64" t="str">
        <f>IFERROR(__xludf.DUMMYFUNCTION("""COMPUTED_VALUE"""),"SANCIÓN")</f>
        <v>SANCIÓN</v>
      </c>
      <c r="N24" s="64" t="str">
        <f>IFERROR(__xludf.DUMMYFUNCTION("""COMPUTED_VALUE"""),"SISTEMA ELECTRICO")</f>
        <v>SISTEMA ELECTRICO</v>
      </c>
      <c r="O24" s="64" t="str">
        <f>IFERROR(__xludf.DUMMYFUNCTION("""COMPUTED_VALUE"""),"ASISTENCIA AL USUARIO")</f>
        <v>ASISTENCIA AL USUARIO</v>
      </c>
      <c r="P24" s="64" t="str">
        <f>IFERROR(__xludf.DUMMYFUNCTION("""COMPUTED_VALUE"""),"DOBLE REMOLQUE")</f>
        <v>DOBLE REMOLQUE</v>
      </c>
      <c r="Q24" s="64" t="str">
        <f>IFERROR(__xludf.DUMMYFUNCTION("""COMPUTED_VALUE"""),"SINAPRESE")</f>
        <v>SINAPRESE</v>
      </c>
      <c r="R24" s="64" t="str">
        <f>IFERROR(__xludf.DUMMYFUNCTION("""COMPUTED_VALUE"""),"APOYO ATLETISMO")</f>
        <v>APOYO ATLETISMO</v>
      </c>
      <c r="S24" s="64" t="str">
        <f>IFERROR(__xludf.DUMMYFUNCTION("""COMPUTED_VALUE"""),"APOYO A CICLISMO")</f>
        <v>APOYO A CICLISMO</v>
      </c>
      <c r="T24" s="64" t="str">
        <f>IFERROR(__xludf.DUMMYFUNCTION("""COMPUTED_VALUE"""),"DESCARGA DE BATERÍA")</f>
        <v>DESCARGA DE BATERÍA</v>
      </c>
      <c r="U24" s="64" t="str">
        <f>IFERROR(__xludf.DUMMYFUNCTION("""COMPUTED_VALUE"""),"PROBLEMAS DE SALUD")</f>
        <v>PROBLEMAS DE SALUD</v>
      </c>
      <c r="V24" s="64" t="str">
        <f>IFERROR(__xludf.DUMMYFUNCTION("""COMPUTED_VALUE"""),"OLVIDO LA LLAVE")</f>
        <v>OLVIDO LA LLAVE</v>
      </c>
      <c r="W24" s="64" t="str">
        <f>IFERROR(__xludf.DUMMYFUNCTION("""COMPUTED_VALUE"""),"CARGA SOBREDIMENSIONADA")</f>
        <v>CARGA SOBREDIMENSIONADA</v>
      </c>
      <c r="X24" s="64" t="str">
        <f>IFERROR(__xludf.DUMMYFUNCTION("""COMPUTED_VALUE"""),"VEHÍCULO ABANDONADO")</f>
        <v>VEHÍCULO ABANDONADO</v>
      </c>
      <c r="Y24" s="64" t="str">
        <f>IFERROR(__xludf.DUMMYFUNCTION("""COMPUTED_VALUE"""),"DESPRENDIMIENTO")</f>
        <v>DESPRENDIMIENTO</v>
      </c>
      <c r="Z24" s="64" t="str">
        <f>IFERROR(__xludf.DUMMYFUNCTION("""COMPUTED_VALUE"""),"CAÍDA DE POSTE")</f>
        <v>CAÍDA DE POSTE</v>
      </c>
      <c r="AA24" s="64" t="str">
        <f>IFERROR(__xludf.DUMMYFUNCTION("""COMPUTED_VALUE"""),"CAÍDA DE RAMA")</f>
        <v>CAÍDA DE RAMA</v>
      </c>
      <c r="AB24" s="64" t="str">
        <f>IFERROR(__xludf.DUMMYFUNCTION("""COMPUTED_VALUE"""),"OPERATIVO DGT")</f>
        <v>OPERATIVO DGT</v>
      </c>
      <c r="AC24" s="64" t="str">
        <f>IFERROR(__xludf.DUMMYFUNCTION("""COMPUTED_VALUE"""),"OPERATIVO PMT")</f>
        <v>OPERATIVO PMT</v>
      </c>
      <c r="AD24" s="64" t="str">
        <f>IFERROR(__xludf.DUMMYFUNCTION("""COMPUTED_VALUE"""),"APOYO A DIGEF")</f>
        <v>APOYO A DIGEF</v>
      </c>
      <c r="AE24" s="64" t="str">
        <f>IFERROR(__xludf.DUMMYFUNCTION("""COMPUTED_VALUE"""),"OPERATIVO PNC TRANSITO")</f>
        <v>OPERATIVO PNC TRANSITO</v>
      </c>
      <c r="AF24" s="64" t="str">
        <f>IFERROR(__xludf.DUMMYFUNCTION("""COMPUTED_VALUE"""),"SOBRECARGA ")</f>
        <v>SOBRECARGA </v>
      </c>
      <c r="AG24" s="64" t="str">
        <f>IFERROR(__xludf.DUMMYFUNCTION("""COMPUTED_VALUE"""),"OPERATIVO EN CONJUNTO")</f>
        <v>OPERATIVO EN CONJUNTO</v>
      </c>
      <c r="AH24" s="64" t="str">
        <f>IFERROR(__xludf.DUMMYFUNCTION("""COMPUTED_VALUE"""),"PUESTO DE ATENCION AL USUARIO")</f>
        <v>PUESTO DE ATENCION AL USUARIO</v>
      </c>
      <c r="AI24" s="64" t="str">
        <f>IFERROR(__xludf.DUMMYFUNCTION("""COMPUTED_VALUE"""),"INCENDIO EN RUTA")</f>
        <v>INCENDIO EN RUTA</v>
      </c>
      <c r="AJ24" s="64" t="str">
        <f>IFERROR(__xludf.DUMMYFUNCTION("""COMPUTED_VALUE"""),"APOYO ANTORCHA ")</f>
        <v>APOYO ANTORCHA </v>
      </c>
    </row>
    <row r="25">
      <c r="B25" s="64" t="s">
        <v>54</v>
      </c>
      <c r="C25" s="64" t="str">
        <f>IFERROR(__xludf.DUMMYFUNCTION(" TRANSPOSE( unique ( QUERY(DATOPRO,""select Col2 where Col1 = '""&amp;B25&amp;""'"")))"),"PINCHAZO")</f>
        <v>PINCHAZO</v>
      </c>
      <c r="D25" s="64" t="str">
        <f>IFERROR(__xludf.DUMMYFUNCTION("""COMPUTED_VALUE"""),"TRABAJOS DE CARRETERA")</f>
        <v>TRABAJOS DE CARRETERA</v>
      </c>
      <c r="E25" s="64" t="str">
        <f>IFERROR(__xludf.DUMMYFUNCTION("""COMPUTED_VALUE"""),"CONSIGNACIÓN")</f>
        <v>CONSIGNACIÓN</v>
      </c>
      <c r="F25" s="64" t="str">
        <f>IFERROR(__xludf.DUMMYFUNCTION("""COMPUTED_VALUE"""),"DERRAME")</f>
        <v>DERRAME</v>
      </c>
      <c r="G25" s="64" t="str">
        <f>IFERROR(__xludf.DUMMYFUNCTION("""COMPUTED_VALUE"""),"CALENTAMIENTO")</f>
        <v>CALENTAMIENTO</v>
      </c>
      <c r="H25" s="64" t="str">
        <f>IFERROR(__xludf.DUMMYFUNCTION("""COMPUTED_VALUE"""),"ESCOLTANDO")</f>
        <v>ESCOLTANDO</v>
      </c>
      <c r="I25" s="64" t="str">
        <f>IFERROR(__xludf.DUMMYFUNCTION("""COMPUTED_VALUE"""),"FALTA DE COMBUSTIBLE")</f>
        <v>FALTA DE COMBUSTIBLE</v>
      </c>
      <c r="J25" s="64" t="str">
        <f>IFERROR(__xludf.DUMMYFUNCTION("""COMPUTED_VALUE"""),"DESPERFECTOS MECÁNICOS")</f>
        <v>DESPERFECTOS MECÁNICOS</v>
      </c>
      <c r="K25" s="64" t="str">
        <f>IFERROR(__xludf.DUMMYFUNCTION("""COMPUTED_VALUE"""),"LLAMADA DE ATENCIÓN")</f>
        <v>LLAMADA DE ATENCIÓN</v>
      </c>
      <c r="L25" s="64" t="str">
        <f>IFERROR(__xludf.DUMMYFUNCTION("""COMPUTED_VALUE"""),"OPERATIVOS")</f>
        <v>OPERATIVOS</v>
      </c>
      <c r="M25" s="64" t="str">
        <f>IFERROR(__xludf.DUMMYFUNCTION("""COMPUTED_VALUE"""),"SANCIÓN")</f>
        <v>SANCIÓN</v>
      </c>
      <c r="N25" s="64" t="str">
        <f>IFERROR(__xludf.DUMMYFUNCTION("""COMPUTED_VALUE"""),"SISTEMA ELECTRICO")</f>
        <v>SISTEMA ELECTRICO</v>
      </c>
      <c r="O25" s="64" t="str">
        <f>IFERROR(__xludf.DUMMYFUNCTION("""COMPUTED_VALUE"""),"ASISTENCIA AL USUARIO")</f>
        <v>ASISTENCIA AL USUARIO</v>
      </c>
      <c r="P25" s="64" t="str">
        <f>IFERROR(__xludf.DUMMYFUNCTION("""COMPUTED_VALUE"""),"DOBLE REMOLQUE")</f>
        <v>DOBLE REMOLQUE</v>
      </c>
      <c r="Q25" s="64" t="str">
        <f>IFERROR(__xludf.DUMMYFUNCTION("""COMPUTED_VALUE"""),"SINAPRESE")</f>
        <v>SINAPRESE</v>
      </c>
      <c r="R25" s="64" t="str">
        <f>IFERROR(__xludf.DUMMYFUNCTION("""COMPUTED_VALUE"""),"APOYO ATLETISMO")</f>
        <v>APOYO ATLETISMO</v>
      </c>
      <c r="S25" s="64" t="str">
        <f>IFERROR(__xludf.DUMMYFUNCTION("""COMPUTED_VALUE"""),"APOYO A CICLISMO")</f>
        <v>APOYO A CICLISMO</v>
      </c>
      <c r="T25" s="64" t="str">
        <f>IFERROR(__xludf.DUMMYFUNCTION("""COMPUTED_VALUE"""),"DESCARGA DE BATERÍA")</f>
        <v>DESCARGA DE BATERÍA</v>
      </c>
      <c r="U25" s="64" t="str">
        <f>IFERROR(__xludf.DUMMYFUNCTION("""COMPUTED_VALUE"""),"PROBLEMAS DE SALUD")</f>
        <v>PROBLEMAS DE SALUD</v>
      </c>
      <c r="V25" s="64" t="str">
        <f>IFERROR(__xludf.DUMMYFUNCTION("""COMPUTED_VALUE"""),"OLVIDO LA LLAVE")</f>
        <v>OLVIDO LA LLAVE</v>
      </c>
      <c r="W25" s="64" t="str">
        <f>IFERROR(__xludf.DUMMYFUNCTION("""COMPUTED_VALUE"""),"CARGA SOBREDIMENSIONADA")</f>
        <v>CARGA SOBREDIMENSIONADA</v>
      </c>
      <c r="X25" s="64" t="str">
        <f>IFERROR(__xludf.DUMMYFUNCTION("""COMPUTED_VALUE"""),"VEHÍCULO ABANDONADO")</f>
        <v>VEHÍCULO ABANDONADO</v>
      </c>
      <c r="Y25" s="64" t="str">
        <f>IFERROR(__xludf.DUMMYFUNCTION("""COMPUTED_VALUE"""),"DESPRENDIMIENTO")</f>
        <v>DESPRENDIMIENTO</v>
      </c>
      <c r="Z25" s="64" t="str">
        <f>IFERROR(__xludf.DUMMYFUNCTION("""COMPUTED_VALUE"""),"CAÍDA DE POSTE")</f>
        <v>CAÍDA DE POSTE</v>
      </c>
      <c r="AA25" s="64" t="str">
        <f>IFERROR(__xludf.DUMMYFUNCTION("""COMPUTED_VALUE"""),"CAÍDA DE RAMA")</f>
        <v>CAÍDA DE RAMA</v>
      </c>
      <c r="AB25" s="64" t="str">
        <f>IFERROR(__xludf.DUMMYFUNCTION("""COMPUTED_VALUE"""),"OPERATIVO DGT")</f>
        <v>OPERATIVO DGT</v>
      </c>
      <c r="AC25" s="64" t="str">
        <f>IFERROR(__xludf.DUMMYFUNCTION("""COMPUTED_VALUE"""),"OPERATIVO PMT")</f>
        <v>OPERATIVO PMT</v>
      </c>
      <c r="AD25" s="64" t="str">
        <f>IFERROR(__xludf.DUMMYFUNCTION("""COMPUTED_VALUE"""),"APOYO A DIGEF")</f>
        <v>APOYO A DIGEF</v>
      </c>
      <c r="AE25" s="64" t="str">
        <f>IFERROR(__xludf.DUMMYFUNCTION("""COMPUTED_VALUE"""),"OPERATIVO PNC TRANSITO")</f>
        <v>OPERATIVO PNC TRANSITO</v>
      </c>
      <c r="AF25" s="64" t="str">
        <f>IFERROR(__xludf.DUMMYFUNCTION("""COMPUTED_VALUE"""),"SOBRECARGA ")</f>
        <v>SOBRECARGA </v>
      </c>
      <c r="AG25" s="64" t="str">
        <f>IFERROR(__xludf.DUMMYFUNCTION("""COMPUTED_VALUE"""),"OPERATIVO EN CONJUNTO")</f>
        <v>OPERATIVO EN CONJUNTO</v>
      </c>
      <c r="AH25" s="64" t="str">
        <f>IFERROR(__xludf.DUMMYFUNCTION("""COMPUTED_VALUE"""),"PUESTO DE ATENCION AL USUARIO")</f>
        <v>PUESTO DE ATENCION AL USUARIO</v>
      </c>
      <c r="AI25" s="64" t="str">
        <f>IFERROR(__xludf.DUMMYFUNCTION("""COMPUTED_VALUE"""),"INCENDIO EN RUTA")</f>
        <v>INCENDIO EN RUTA</v>
      </c>
      <c r="AJ25" s="64" t="str">
        <f>IFERROR(__xludf.DUMMYFUNCTION("""COMPUTED_VALUE"""),"APOYO ANTORCHA ")</f>
        <v>APOYO ANTORCHA </v>
      </c>
    </row>
    <row r="26">
      <c r="B26" s="64" t="s">
        <v>38</v>
      </c>
      <c r="C26" s="64" t="str">
        <f>IFERROR(__xludf.DUMMYFUNCTION(" TRANSPOSE( unique ( QUERY(DATOPRO,""select Col2 where Col1 = '""&amp;B26&amp;""'"")))"),"ATAQUE ARMADO")</f>
        <v>ATAQUE ARMADO</v>
      </c>
      <c r="D26" s="64" t="str">
        <f>IFERROR(__xludf.DUMMYFUNCTION("""COMPUTED_VALUE"""),"DESBALANCE DE CARGA")</f>
        <v>DESBALANCE DE CARGA</v>
      </c>
      <c r="E26" s="64" t="str">
        <f>IFERROR(__xludf.DUMMYFUNCTION("""COMPUTED_VALUE"""),"PERSONA FALLECIDA")</f>
        <v>PERSONA FALLECIDA</v>
      </c>
      <c r="F26" s="64" t="str">
        <f>IFERROR(__xludf.DUMMYFUNCTION("""COMPUTED_VALUE"""),"DESPRENDIMIENTO DE NEUMATICO")</f>
        <v>DESPRENDIMIENTO DE NEUMATICO</v>
      </c>
      <c r="G26" s="64" t="str">
        <f>IFERROR(__xludf.DUMMYFUNCTION("""COMPUTED_VALUE"""),"SALIDA DE PISTA")</f>
        <v>SALIDA DE PISTA</v>
      </c>
      <c r="H26" s="64" t="str">
        <f>IFERROR(__xludf.DUMMYFUNCTION("""COMPUTED_VALUE"""),"DESPRENDIMIENTO DE CONTENEDOR")</f>
        <v>DESPRENDIMIENTO DE CONTENEDOR</v>
      </c>
      <c r="I26" s="64" t="str">
        <f>IFERROR(__xludf.DUMMYFUNCTION("""COMPUTED_VALUE"""),"CAÍDA DE CARGA")</f>
        <v>CAÍDA DE CARGA</v>
      </c>
      <c r="J26" s="64" t="str">
        <f>IFERROR(__xludf.DUMMYFUNCTION("""COMPUTED_VALUE"""),"CHOQUE")</f>
        <v>CHOQUE</v>
      </c>
      <c r="K26" s="64" t="str">
        <f>IFERROR(__xludf.DUMMYFUNCTION("""COMPUTED_VALUE"""),"COLISIÓN")</f>
        <v>COLISIÓN</v>
      </c>
      <c r="L26" s="64" t="str">
        <f>IFERROR(__xludf.DUMMYFUNCTION("""COMPUTED_VALUE"""),"COLISIÓN MÚLTIPLE")</f>
        <v>COLISIÓN MÚLTIPLE</v>
      </c>
      <c r="M26" s="64" t="str">
        <f>IFERROR(__xludf.DUMMYFUNCTION("""COMPUTED_VALUE"""),"DERRAPE")</f>
        <v>DERRAPE</v>
      </c>
      <c r="N26" s="64" t="str">
        <f>IFERROR(__xludf.DUMMYFUNCTION("""COMPUTED_VALUE"""),"VEHÍCULO INCENDIADO")</f>
        <v>VEHÍCULO INCENDIADO</v>
      </c>
      <c r="O26" s="64" t="str">
        <f>IFERROR(__xludf.DUMMYFUNCTION("""COMPUTED_VALUE"""),"VUELCO")</f>
        <v>VUELCO</v>
      </c>
      <c r="P26" s="64" t="str">
        <f>IFERROR(__xludf.DUMMYFUNCTION("""COMPUTED_VALUE"""),"DESPRENDIMIENTO")</f>
        <v>DESPRENDIMIENTO</v>
      </c>
      <c r="Q26" s="64" t="str">
        <f>IFERROR(__xludf.DUMMYFUNCTION("""COMPUTED_VALUE"""),"CAÍDA DE ÁRBOL")</f>
        <v>CAÍDA DE ÁRBOL</v>
      </c>
      <c r="R26" s="64" t="str">
        <f>IFERROR(__xludf.DUMMYFUNCTION("""COMPUTED_VALUE"""),"DESPRENDIMIENTO DE EJE")</f>
        <v>DESPRENDIMIENTO DE EJE</v>
      </c>
      <c r="S26" s="64" t="str">
        <f>IFERROR(__xludf.DUMMYFUNCTION("""COMPUTED_VALUE"""),"PERSONA ATROPELLADA")</f>
        <v>PERSONA ATROPELLADA</v>
      </c>
    </row>
    <row r="27">
      <c r="B27" s="64" t="s">
        <v>54</v>
      </c>
      <c r="C27" s="64" t="str">
        <f>IFERROR(__xludf.DUMMYFUNCTION(" TRANSPOSE( unique ( QUERY(DATOPRO,""select Col2 where Col1 = '""&amp;B27&amp;""'"")))"),"PINCHAZO")</f>
        <v>PINCHAZO</v>
      </c>
      <c r="D27" s="64" t="str">
        <f>IFERROR(__xludf.DUMMYFUNCTION("""COMPUTED_VALUE"""),"TRABAJOS DE CARRETERA")</f>
        <v>TRABAJOS DE CARRETERA</v>
      </c>
      <c r="E27" s="64" t="str">
        <f>IFERROR(__xludf.DUMMYFUNCTION("""COMPUTED_VALUE"""),"CONSIGNACIÓN")</f>
        <v>CONSIGNACIÓN</v>
      </c>
      <c r="F27" s="64" t="str">
        <f>IFERROR(__xludf.DUMMYFUNCTION("""COMPUTED_VALUE"""),"DERRAME")</f>
        <v>DERRAME</v>
      </c>
      <c r="G27" s="64" t="str">
        <f>IFERROR(__xludf.DUMMYFUNCTION("""COMPUTED_VALUE"""),"CALENTAMIENTO")</f>
        <v>CALENTAMIENTO</v>
      </c>
      <c r="H27" s="64" t="str">
        <f>IFERROR(__xludf.DUMMYFUNCTION("""COMPUTED_VALUE"""),"ESCOLTANDO")</f>
        <v>ESCOLTANDO</v>
      </c>
      <c r="I27" s="64" t="str">
        <f>IFERROR(__xludf.DUMMYFUNCTION("""COMPUTED_VALUE"""),"FALTA DE COMBUSTIBLE")</f>
        <v>FALTA DE COMBUSTIBLE</v>
      </c>
      <c r="J27" s="64" t="str">
        <f>IFERROR(__xludf.DUMMYFUNCTION("""COMPUTED_VALUE"""),"DESPERFECTOS MECÁNICOS")</f>
        <v>DESPERFECTOS MECÁNICOS</v>
      </c>
      <c r="K27" s="64" t="str">
        <f>IFERROR(__xludf.DUMMYFUNCTION("""COMPUTED_VALUE"""),"LLAMADA DE ATENCIÓN")</f>
        <v>LLAMADA DE ATENCIÓN</v>
      </c>
      <c r="L27" s="64" t="str">
        <f>IFERROR(__xludf.DUMMYFUNCTION("""COMPUTED_VALUE"""),"OPERATIVOS")</f>
        <v>OPERATIVOS</v>
      </c>
      <c r="M27" s="64" t="str">
        <f>IFERROR(__xludf.DUMMYFUNCTION("""COMPUTED_VALUE"""),"SANCIÓN")</f>
        <v>SANCIÓN</v>
      </c>
      <c r="N27" s="64" t="str">
        <f>IFERROR(__xludf.DUMMYFUNCTION("""COMPUTED_VALUE"""),"SISTEMA ELECTRICO")</f>
        <v>SISTEMA ELECTRICO</v>
      </c>
      <c r="O27" s="64" t="str">
        <f>IFERROR(__xludf.DUMMYFUNCTION("""COMPUTED_VALUE"""),"ASISTENCIA AL USUARIO")</f>
        <v>ASISTENCIA AL USUARIO</v>
      </c>
      <c r="P27" s="64" t="str">
        <f>IFERROR(__xludf.DUMMYFUNCTION("""COMPUTED_VALUE"""),"DOBLE REMOLQUE")</f>
        <v>DOBLE REMOLQUE</v>
      </c>
      <c r="Q27" s="64" t="str">
        <f>IFERROR(__xludf.DUMMYFUNCTION("""COMPUTED_VALUE"""),"SINAPRESE")</f>
        <v>SINAPRESE</v>
      </c>
      <c r="R27" s="64" t="str">
        <f>IFERROR(__xludf.DUMMYFUNCTION("""COMPUTED_VALUE"""),"APOYO ATLETISMO")</f>
        <v>APOYO ATLETISMO</v>
      </c>
      <c r="S27" s="64" t="str">
        <f>IFERROR(__xludf.DUMMYFUNCTION("""COMPUTED_VALUE"""),"APOYO A CICLISMO")</f>
        <v>APOYO A CICLISMO</v>
      </c>
      <c r="T27" s="64" t="str">
        <f>IFERROR(__xludf.DUMMYFUNCTION("""COMPUTED_VALUE"""),"DESCARGA DE BATERÍA")</f>
        <v>DESCARGA DE BATERÍA</v>
      </c>
      <c r="U27" s="64" t="str">
        <f>IFERROR(__xludf.DUMMYFUNCTION("""COMPUTED_VALUE"""),"PROBLEMAS DE SALUD")</f>
        <v>PROBLEMAS DE SALUD</v>
      </c>
      <c r="V27" s="64" t="str">
        <f>IFERROR(__xludf.DUMMYFUNCTION("""COMPUTED_VALUE"""),"OLVIDO LA LLAVE")</f>
        <v>OLVIDO LA LLAVE</v>
      </c>
      <c r="W27" s="64" t="str">
        <f>IFERROR(__xludf.DUMMYFUNCTION("""COMPUTED_VALUE"""),"CARGA SOBREDIMENSIONADA")</f>
        <v>CARGA SOBREDIMENSIONADA</v>
      </c>
      <c r="X27" s="64" t="str">
        <f>IFERROR(__xludf.DUMMYFUNCTION("""COMPUTED_VALUE"""),"VEHÍCULO ABANDONADO")</f>
        <v>VEHÍCULO ABANDONADO</v>
      </c>
      <c r="Y27" s="64" t="str">
        <f>IFERROR(__xludf.DUMMYFUNCTION("""COMPUTED_VALUE"""),"DESPRENDIMIENTO")</f>
        <v>DESPRENDIMIENTO</v>
      </c>
      <c r="Z27" s="64" t="str">
        <f>IFERROR(__xludf.DUMMYFUNCTION("""COMPUTED_VALUE"""),"CAÍDA DE POSTE")</f>
        <v>CAÍDA DE POSTE</v>
      </c>
      <c r="AA27" s="64" t="str">
        <f>IFERROR(__xludf.DUMMYFUNCTION("""COMPUTED_VALUE"""),"CAÍDA DE RAMA")</f>
        <v>CAÍDA DE RAMA</v>
      </c>
      <c r="AB27" s="64" t="str">
        <f>IFERROR(__xludf.DUMMYFUNCTION("""COMPUTED_VALUE"""),"OPERATIVO DGT")</f>
        <v>OPERATIVO DGT</v>
      </c>
      <c r="AC27" s="64" t="str">
        <f>IFERROR(__xludf.DUMMYFUNCTION("""COMPUTED_VALUE"""),"OPERATIVO PMT")</f>
        <v>OPERATIVO PMT</v>
      </c>
      <c r="AD27" s="64" t="str">
        <f>IFERROR(__xludf.DUMMYFUNCTION("""COMPUTED_VALUE"""),"APOYO A DIGEF")</f>
        <v>APOYO A DIGEF</v>
      </c>
      <c r="AE27" s="64" t="str">
        <f>IFERROR(__xludf.DUMMYFUNCTION("""COMPUTED_VALUE"""),"OPERATIVO PNC TRANSITO")</f>
        <v>OPERATIVO PNC TRANSITO</v>
      </c>
      <c r="AF27" s="64" t="str">
        <f>IFERROR(__xludf.DUMMYFUNCTION("""COMPUTED_VALUE"""),"SOBRECARGA ")</f>
        <v>SOBRECARGA </v>
      </c>
      <c r="AG27" s="64" t="str">
        <f>IFERROR(__xludf.DUMMYFUNCTION("""COMPUTED_VALUE"""),"OPERATIVO EN CONJUNTO")</f>
        <v>OPERATIVO EN CONJUNTO</v>
      </c>
      <c r="AH27" s="64" t="str">
        <f>IFERROR(__xludf.DUMMYFUNCTION("""COMPUTED_VALUE"""),"PUESTO DE ATENCION AL USUARIO")</f>
        <v>PUESTO DE ATENCION AL USUARIO</v>
      </c>
      <c r="AI27" s="64" t="str">
        <f>IFERROR(__xludf.DUMMYFUNCTION("""COMPUTED_VALUE"""),"INCENDIO EN RUTA")</f>
        <v>INCENDIO EN RUTA</v>
      </c>
      <c r="AJ27" s="64" t="str">
        <f>IFERROR(__xludf.DUMMYFUNCTION("""COMPUTED_VALUE"""),"APOYO ANTORCHA ")</f>
        <v>APOYO ANTORCHA </v>
      </c>
    </row>
    <row r="28">
      <c r="B28" s="64" t="s">
        <v>54</v>
      </c>
      <c r="C28" s="64" t="str">
        <f>IFERROR(__xludf.DUMMYFUNCTION(" TRANSPOSE( unique ( QUERY(DATOPRO,""select Col2 where Col1 = '""&amp;B28&amp;""'"")))"),"PINCHAZO")</f>
        <v>PINCHAZO</v>
      </c>
      <c r="D28" s="64" t="str">
        <f>IFERROR(__xludf.DUMMYFUNCTION("""COMPUTED_VALUE"""),"TRABAJOS DE CARRETERA")</f>
        <v>TRABAJOS DE CARRETERA</v>
      </c>
      <c r="E28" s="64" t="str">
        <f>IFERROR(__xludf.DUMMYFUNCTION("""COMPUTED_VALUE"""),"CONSIGNACIÓN")</f>
        <v>CONSIGNACIÓN</v>
      </c>
      <c r="F28" s="64" t="str">
        <f>IFERROR(__xludf.DUMMYFUNCTION("""COMPUTED_VALUE"""),"DERRAME")</f>
        <v>DERRAME</v>
      </c>
      <c r="G28" s="64" t="str">
        <f>IFERROR(__xludf.DUMMYFUNCTION("""COMPUTED_VALUE"""),"CALENTAMIENTO")</f>
        <v>CALENTAMIENTO</v>
      </c>
      <c r="H28" s="64" t="str">
        <f>IFERROR(__xludf.DUMMYFUNCTION("""COMPUTED_VALUE"""),"ESCOLTANDO")</f>
        <v>ESCOLTANDO</v>
      </c>
      <c r="I28" s="64" t="str">
        <f>IFERROR(__xludf.DUMMYFUNCTION("""COMPUTED_VALUE"""),"FALTA DE COMBUSTIBLE")</f>
        <v>FALTA DE COMBUSTIBLE</v>
      </c>
      <c r="J28" s="64" t="str">
        <f>IFERROR(__xludf.DUMMYFUNCTION("""COMPUTED_VALUE"""),"DESPERFECTOS MECÁNICOS")</f>
        <v>DESPERFECTOS MECÁNICOS</v>
      </c>
      <c r="K28" s="64" t="str">
        <f>IFERROR(__xludf.DUMMYFUNCTION("""COMPUTED_VALUE"""),"LLAMADA DE ATENCIÓN")</f>
        <v>LLAMADA DE ATENCIÓN</v>
      </c>
      <c r="L28" s="64" t="str">
        <f>IFERROR(__xludf.DUMMYFUNCTION("""COMPUTED_VALUE"""),"OPERATIVOS")</f>
        <v>OPERATIVOS</v>
      </c>
      <c r="M28" s="64" t="str">
        <f>IFERROR(__xludf.DUMMYFUNCTION("""COMPUTED_VALUE"""),"SANCIÓN")</f>
        <v>SANCIÓN</v>
      </c>
      <c r="N28" s="64" t="str">
        <f>IFERROR(__xludf.DUMMYFUNCTION("""COMPUTED_VALUE"""),"SISTEMA ELECTRICO")</f>
        <v>SISTEMA ELECTRICO</v>
      </c>
      <c r="O28" s="64" t="str">
        <f>IFERROR(__xludf.DUMMYFUNCTION("""COMPUTED_VALUE"""),"ASISTENCIA AL USUARIO")</f>
        <v>ASISTENCIA AL USUARIO</v>
      </c>
      <c r="P28" s="64" t="str">
        <f>IFERROR(__xludf.DUMMYFUNCTION("""COMPUTED_VALUE"""),"DOBLE REMOLQUE")</f>
        <v>DOBLE REMOLQUE</v>
      </c>
      <c r="Q28" s="64" t="str">
        <f>IFERROR(__xludf.DUMMYFUNCTION("""COMPUTED_VALUE"""),"SINAPRESE")</f>
        <v>SINAPRESE</v>
      </c>
      <c r="R28" s="64" t="str">
        <f>IFERROR(__xludf.DUMMYFUNCTION("""COMPUTED_VALUE"""),"APOYO ATLETISMO")</f>
        <v>APOYO ATLETISMO</v>
      </c>
      <c r="S28" s="64" t="str">
        <f>IFERROR(__xludf.DUMMYFUNCTION("""COMPUTED_VALUE"""),"APOYO A CICLISMO")</f>
        <v>APOYO A CICLISMO</v>
      </c>
      <c r="T28" s="64" t="str">
        <f>IFERROR(__xludf.DUMMYFUNCTION("""COMPUTED_VALUE"""),"DESCARGA DE BATERÍA")</f>
        <v>DESCARGA DE BATERÍA</v>
      </c>
      <c r="U28" s="64" t="str">
        <f>IFERROR(__xludf.DUMMYFUNCTION("""COMPUTED_VALUE"""),"PROBLEMAS DE SALUD")</f>
        <v>PROBLEMAS DE SALUD</v>
      </c>
      <c r="V28" s="64" t="str">
        <f>IFERROR(__xludf.DUMMYFUNCTION("""COMPUTED_VALUE"""),"OLVIDO LA LLAVE")</f>
        <v>OLVIDO LA LLAVE</v>
      </c>
      <c r="W28" s="64" t="str">
        <f>IFERROR(__xludf.DUMMYFUNCTION("""COMPUTED_VALUE"""),"CARGA SOBREDIMENSIONADA")</f>
        <v>CARGA SOBREDIMENSIONADA</v>
      </c>
      <c r="X28" s="64" t="str">
        <f>IFERROR(__xludf.DUMMYFUNCTION("""COMPUTED_VALUE"""),"VEHÍCULO ABANDONADO")</f>
        <v>VEHÍCULO ABANDONADO</v>
      </c>
      <c r="Y28" s="64" t="str">
        <f>IFERROR(__xludf.DUMMYFUNCTION("""COMPUTED_VALUE"""),"DESPRENDIMIENTO")</f>
        <v>DESPRENDIMIENTO</v>
      </c>
      <c r="Z28" s="64" t="str">
        <f>IFERROR(__xludf.DUMMYFUNCTION("""COMPUTED_VALUE"""),"CAÍDA DE POSTE")</f>
        <v>CAÍDA DE POSTE</v>
      </c>
      <c r="AA28" s="64" t="str">
        <f>IFERROR(__xludf.DUMMYFUNCTION("""COMPUTED_VALUE"""),"CAÍDA DE RAMA")</f>
        <v>CAÍDA DE RAMA</v>
      </c>
      <c r="AB28" s="64" t="str">
        <f>IFERROR(__xludf.DUMMYFUNCTION("""COMPUTED_VALUE"""),"OPERATIVO DGT")</f>
        <v>OPERATIVO DGT</v>
      </c>
      <c r="AC28" s="64" t="str">
        <f>IFERROR(__xludf.DUMMYFUNCTION("""COMPUTED_VALUE"""),"OPERATIVO PMT")</f>
        <v>OPERATIVO PMT</v>
      </c>
      <c r="AD28" s="64" t="str">
        <f>IFERROR(__xludf.DUMMYFUNCTION("""COMPUTED_VALUE"""),"APOYO A DIGEF")</f>
        <v>APOYO A DIGEF</v>
      </c>
      <c r="AE28" s="64" t="str">
        <f>IFERROR(__xludf.DUMMYFUNCTION("""COMPUTED_VALUE"""),"OPERATIVO PNC TRANSITO")</f>
        <v>OPERATIVO PNC TRANSITO</v>
      </c>
      <c r="AF28" s="64" t="str">
        <f>IFERROR(__xludf.DUMMYFUNCTION("""COMPUTED_VALUE"""),"SOBRECARGA ")</f>
        <v>SOBRECARGA </v>
      </c>
      <c r="AG28" s="64" t="str">
        <f>IFERROR(__xludf.DUMMYFUNCTION("""COMPUTED_VALUE"""),"OPERATIVO EN CONJUNTO")</f>
        <v>OPERATIVO EN CONJUNTO</v>
      </c>
      <c r="AH28" s="64" t="str">
        <f>IFERROR(__xludf.DUMMYFUNCTION("""COMPUTED_VALUE"""),"PUESTO DE ATENCION AL USUARIO")</f>
        <v>PUESTO DE ATENCION AL USUARIO</v>
      </c>
      <c r="AI28" s="64" t="str">
        <f>IFERROR(__xludf.DUMMYFUNCTION("""COMPUTED_VALUE"""),"INCENDIO EN RUTA")</f>
        <v>INCENDIO EN RUTA</v>
      </c>
      <c r="AJ28" s="64" t="str">
        <f>IFERROR(__xludf.DUMMYFUNCTION("""COMPUTED_VALUE"""),"APOYO ANTORCHA ")</f>
        <v>APOYO ANTORCHA </v>
      </c>
    </row>
    <row r="29">
      <c r="B29" s="64" t="s">
        <v>38</v>
      </c>
      <c r="C29" s="64" t="str">
        <f>IFERROR(__xludf.DUMMYFUNCTION(" TRANSPOSE( unique ( QUERY(DATOPRO,""select Col2 where Col1 = '""&amp;B29&amp;""'"")))"),"ATAQUE ARMADO")</f>
        <v>ATAQUE ARMADO</v>
      </c>
      <c r="D29" s="64" t="str">
        <f>IFERROR(__xludf.DUMMYFUNCTION("""COMPUTED_VALUE"""),"DESBALANCE DE CARGA")</f>
        <v>DESBALANCE DE CARGA</v>
      </c>
      <c r="E29" s="64" t="str">
        <f>IFERROR(__xludf.DUMMYFUNCTION("""COMPUTED_VALUE"""),"PERSONA FALLECIDA")</f>
        <v>PERSONA FALLECIDA</v>
      </c>
      <c r="F29" s="64" t="str">
        <f>IFERROR(__xludf.DUMMYFUNCTION("""COMPUTED_VALUE"""),"DESPRENDIMIENTO DE NEUMATICO")</f>
        <v>DESPRENDIMIENTO DE NEUMATICO</v>
      </c>
      <c r="G29" s="64" t="str">
        <f>IFERROR(__xludf.DUMMYFUNCTION("""COMPUTED_VALUE"""),"SALIDA DE PISTA")</f>
        <v>SALIDA DE PISTA</v>
      </c>
      <c r="H29" s="64" t="str">
        <f>IFERROR(__xludf.DUMMYFUNCTION("""COMPUTED_VALUE"""),"DESPRENDIMIENTO DE CONTENEDOR")</f>
        <v>DESPRENDIMIENTO DE CONTENEDOR</v>
      </c>
      <c r="I29" s="64" t="str">
        <f>IFERROR(__xludf.DUMMYFUNCTION("""COMPUTED_VALUE"""),"CAÍDA DE CARGA")</f>
        <v>CAÍDA DE CARGA</v>
      </c>
      <c r="J29" s="64" t="str">
        <f>IFERROR(__xludf.DUMMYFUNCTION("""COMPUTED_VALUE"""),"CHOQUE")</f>
        <v>CHOQUE</v>
      </c>
      <c r="K29" s="64" t="str">
        <f>IFERROR(__xludf.DUMMYFUNCTION("""COMPUTED_VALUE"""),"COLISIÓN")</f>
        <v>COLISIÓN</v>
      </c>
      <c r="L29" s="64" t="str">
        <f>IFERROR(__xludf.DUMMYFUNCTION("""COMPUTED_VALUE"""),"COLISIÓN MÚLTIPLE")</f>
        <v>COLISIÓN MÚLTIPLE</v>
      </c>
      <c r="M29" s="64" t="str">
        <f>IFERROR(__xludf.DUMMYFUNCTION("""COMPUTED_VALUE"""),"DERRAPE")</f>
        <v>DERRAPE</v>
      </c>
      <c r="N29" s="64" t="str">
        <f>IFERROR(__xludf.DUMMYFUNCTION("""COMPUTED_VALUE"""),"VEHÍCULO INCENDIADO")</f>
        <v>VEHÍCULO INCENDIADO</v>
      </c>
      <c r="O29" s="64" t="str">
        <f>IFERROR(__xludf.DUMMYFUNCTION("""COMPUTED_VALUE"""),"VUELCO")</f>
        <v>VUELCO</v>
      </c>
      <c r="P29" s="64" t="str">
        <f>IFERROR(__xludf.DUMMYFUNCTION("""COMPUTED_VALUE"""),"DESPRENDIMIENTO")</f>
        <v>DESPRENDIMIENTO</v>
      </c>
      <c r="Q29" s="64" t="str">
        <f>IFERROR(__xludf.DUMMYFUNCTION("""COMPUTED_VALUE"""),"CAÍDA DE ÁRBOL")</f>
        <v>CAÍDA DE ÁRBOL</v>
      </c>
      <c r="R29" s="64" t="str">
        <f>IFERROR(__xludf.DUMMYFUNCTION("""COMPUTED_VALUE"""),"DESPRENDIMIENTO DE EJE")</f>
        <v>DESPRENDIMIENTO DE EJE</v>
      </c>
      <c r="S29" s="64" t="str">
        <f>IFERROR(__xludf.DUMMYFUNCTION("""COMPUTED_VALUE"""),"PERSONA ATROPELLADA")</f>
        <v>PERSONA ATROPELLADA</v>
      </c>
    </row>
    <row r="30">
      <c r="B30" s="64" t="s">
        <v>54</v>
      </c>
      <c r="C30" s="64" t="str">
        <f>IFERROR(__xludf.DUMMYFUNCTION(" TRANSPOSE( unique ( QUERY(DATOPRO,""select Col2 where Col1 = '""&amp;B30&amp;""'"")))"),"PINCHAZO")</f>
        <v>PINCHAZO</v>
      </c>
      <c r="D30" s="64" t="str">
        <f>IFERROR(__xludf.DUMMYFUNCTION("""COMPUTED_VALUE"""),"TRABAJOS DE CARRETERA")</f>
        <v>TRABAJOS DE CARRETERA</v>
      </c>
      <c r="E30" s="64" t="str">
        <f>IFERROR(__xludf.DUMMYFUNCTION("""COMPUTED_VALUE"""),"CONSIGNACIÓN")</f>
        <v>CONSIGNACIÓN</v>
      </c>
      <c r="F30" s="64" t="str">
        <f>IFERROR(__xludf.DUMMYFUNCTION("""COMPUTED_VALUE"""),"DERRAME")</f>
        <v>DERRAME</v>
      </c>
      <c r="G30" s="64" t="str">
        <f>IFERROR(__xludf.DUMMYFUNCTION("""COMPUTED_VALUE"""),"CALENTAMIENTO")</f>
        <v>CALENTAMIENTO</v>
      </c>
      <c r="H30" s="64" t="str">
        <f>IFERROR(__xludf.DUMMYFUNCTION("""COMPUTED_VALUE"""),"ESCOLTANDO")</f>
        <v>ESCOLTANDO</v>
      </c>
      <c r="I30" s="64" t="str">
        <f>IFERROR(__xludf.DUMMYFUNCTION("""COMPUTED_VALUE"""),"FALTA DE COMBUSTIBLE")</f>
        <v>FALTA DE COMBUSTIBLE</v>
      </c>
      <c r="J30" s="64" t="str">
        <f>IFERROR(__xludf.DUMMYFUNCTION("""COMPUTED_VALUE"""),"DESPERFECTOS MECÁNICOS")</f>
        <v>DESPERFECTOS MECÁNICOS</v>
      </c>
      <c r="K30" s="64" t="str">
        <f>IFERROR(__xludf.DUMMYFUNCTION("""COMPUTED_VALUE"""),"LLAMADA DE ATENCIÓN")</f>
        <v>LLAMADA DE ATENCIÓN</v>
      </c>
      <c r="L30" s="64" t="str">
        <f>IFERROR(__xludf.DUMMYFUNCTION("""COMPUTED_VALUE"""),"OPERATIVOS")</f>
        <v>OPERATIVOS</v>
      </c>
      <c r="M30" s="64" t="str">
        <f>IFERROR(__xludf.DUMMYFUNCTION("""COMPUTED_VALUE"""),"SANCIÓN")</f>
        <v>SANCIÓN</v>
      </c>
      <c r="N30" s="64" t="str">
        <f>IFERROR(__xludf.DUMMYFUNCTION("""COMPUTED_VALUE"""),"SISTEMA ELECTRICO")</f>
        <v>SISTEMA ELECTRICO</v>
      </c>
      <c r="O30" s="64" t="str">
        <f>IFERROR(__xludf.DUMMYFUNCTION("""COMPUTED_VALUE"""),"ASISTENCIA AL USUARIO")</f>
        <v>ASISTENCIA AL USUARIO</v>
      </c>
      <c r="P30" s="64" t="str">
        <f>IFERROR(__xludf.DUMMYFUNCTION("""COMPUTED_VALUE"""),"DOBLE REMOLQUE")</f>
        <v>DOBLE REMOLQUE</v>
      </c>
      <c r="Q30" s="64" t="str">
        <f>IFERROR(__xludf.DUMMYFUNCTION("""COMPUTED_VALUE"""),"SINAPRESE")</f>
        <v>SINAPRESE</v>
      </c>
      <c r="R30" s="64" t="str">
        <f>IFERROR(__xludf.DUMMYFUNCTION("""COMPUTED_VALUE"""),"APOYO ATLETISMO")</f>
        <v>APOYO ATLETISMO</v>
      </c>
      <c r="S30" s="64" t="str">
        <f>IFERROR(__xludf.DUMMYFUNCTION("""COMPUTED_VALUE"""),"APOYO A CICLISMO")</f>
        <v>APOYO A CICLISMO</v>
      </c>
      <c r="T30" s="64" t="str">
        <f>IFERROR(__xludf.DUMMYFUNCTION("""COMPUTED_VALUE"""),"DESCARGA DE BATERÍA")</f>
        <v>DESCARGA DE BATERÍA</v>
      </c>
      <c r="U30" s="64" t="str">
        <f>IFERROR(__xludf.DUMMYFUNCTION("""COMPUTED_VALUE"""),"PROBLEMAS DE SALUD")</f>
        <v>PROBLEMAS DE SALUD</v>
      </c>
      <c r="V30" s="64" t="str">
        <f>IFERROR(__xludf.DUMMYFUNCTION("""COMPUTED_VALUE"""),"OLVIDO LA LLAVE")</f>
        <v>OLVIDO LA LLAVE</v>
      </c>
      <c r="W30" s="64" t="str">
        <f>IFERROR(__xludf.DUMMYFUNCTION("""COMPUTED_VALUE"""),"CARGA SOBREDIMENSIONADA")</f>
        <v>CARGA SOBREDIMENSIONADA</v>
      </c>
      <c r="X30" s="64" t="str">
        <f>IFERROR(__xludf.DUMMYFUNCTION("""COMPUTED_VALUE"""),"VEHÍCULO ABANDONADO")</f>
        <v>VEHÍCULO ABANDONADO</v>
      </c>
      <c r="Y30" s="64" t="str">
        <f>IFERROR(__xludf.DUMMYFUNCTION("""COMPUTED_VALUE"""),"DESPRENDIMIENTO")</f>
        <v>DESPRENDIMIENTO</v>
      </c>
      <c r="Z30" s="64" t="str">
        <f>IFERROR(__xludf.DUMMYFUNCTION("""COMPUTED_VALUE"""),"CAÍDA DE POSTE")</f>
        <v>CAÍDA DE POSTE</v>
      </c>
      <c r="AA30" s="64" t="str">
        <f>IFERROR(__xludf.DUMMYFUNCTION("""COMPUTED_VALUE"""),"CAÍDA DE RAMA")</f>
        <v>CAÍDA DE RAMA</v>
      </c>
      <c r="AB30" s="64" t="str">
        <f>IFERROR(__xludf.DUMMYFUNCTION("""COMPUTED_VALUE"""),"OPERATIVO DGT")</f>
        <v>OPERATIVO DGT</v>
      </c>
      <c r="AC30" s="64" t="str">
        <f>IFERROR(__xludf.DUMMYFUNCTION("""COMPUTED_VALUE"""),"OPERATIVO PMT")</f>
        <v>OPERATIVO PMT</v>
      </c>
      <c r="AD30" s="64" t="str">
        <f>IFERROR(__xludf.DUMMYFUNCTION("""COMPUTED_VALUE"""),"APOYO A DIGEF")</f>
        <v>APOYO A DIGEF</v>
      </c>
      <c r="AE30" s="64" t="str">
        <f>IFERROR(__xludf.DUMMYFUNCTION("""COMPUTED_VALUE"""),"OPERATIVO PNC TRANSITO")</f>
        <v>OPERATIVO PNC TRANSITO</v>
      </c>
      <c r="AF30" s="64" t="str">
        <f>IFERROR(__xludf.DUMMYFUNCTION("""COMPUTED_VALUE"""),"SOBRECARGA ")</f>
        <v>SOBRECARGA </v>
      </c>
      <c r="AG30" s="64" t="str">
        <f>IFERROR(__xludf.DUMMYFUNCTION("""COMPUTED_VALUE"""),"OPERATIVO EN CONJUNTO")</f>
        <v>OPERATIVO EN CONJUNTO</v>
      </c>
      <c r="AH30" s="64" t="str">
        <f>IFERROR(__xludf.DUMMYFUNCTION("""COMPUTED_VALUE"""),"PUESTO DE ATENCION AL USUARIO")</f>
        <v>PUESTO DE ATENCION AL USUARIO</v>
      </c>
      <c r="AI30" s="64" t="str">
        <f>IFERROR(__xludf.DUMMYFUNCTION("""COMPUTED_VALUE"""),"INCENDIO EN RUTA")</f>
        <v>INCENDIO EN RUTA</v>
      </c>
      <c r="AJ30" s="64" t="str">
        <f>IFERROR(__xludf.DUMMYFUNCTION("""COMPUTED_VALUE"""),"APOYO ANTORCHA ")</f>
        <v>APOYO ANTORCHA </v>
      </c>
    </row>
    <row r="31">
      <c r="B31" s="64" t="s">
        <v>54</v>
      </c>
      <c r="C31" s="64" t="str">
        <f>IFERROR(__xludf.DUMMYFUNCTION(" TRANSPOSE( unique ( QUERY(DATOPRO,""select Col2 where Col1 = '""&amp;B31&amp;""'"")))"),"PINCHAZO")</f>
        <v>PINCHAZO</v>
      </c>
      <c r="D31" s="64" t="str">
        <f>IFERROR(__xludf.DUMMYFUNCTION("""COMPUTED_VALUE"""),"TRABAJOS DE CARRETERA")</f>
        <v>TRABAJOS DE CARRETERA</v>
      </c>
      <c r="E31" s="64" t="str">
        <f>IFERROR(__xludf.DUMMYFUNCTION("""COMPUTED_VALUE"""),"CONSIGNACIÓN")</f>
        <v>CONSIGNACIÓN</v>
      </c>
      <c r="F31" s="64" t="str">
        <f>IFERROR(__xludf.DUMMYFUNCTION("""COMPUTED_VALUE"""),"DERRAME")</f>
        <v>DERRAME</v>
      </c>
      <c r="G31" s="64" t="str">
        <f>IFERROR(__xludf.DUMMYFUNCTION("""COMPUTED_VALUE"""),"CALENTAMIENTO")</f>
        <v>CALENTAMIENTO</v>
      </c>
      <c r="H31" s="64" t="str">
        <f>IFERROR(__xludf.DUMMYFUNCTION("""COMPUTED_VALUE"""),"ESCOLTANDO")</f>
        <v>ESCOLTANDO</v>
      </c>
      <c r="I31" s="64" t="str">
        <f>IFERROR(__xludf.DUMMYFUNCTION("""COMPUTED_VALUE"""),"FALTA DE COMBUSTIBLE")</f>
        <v>FALTA DE COMBUSTIBLE</v>
      </c>
      <c r="J31" s="64" t="str">
        <f>IFERROR(__xludf.DUMMYFUNCTION("""COMPUTED_VALUE"""),"DESPERFECTOS MECÁNICOS")</f>
        <v>DESPERFECTOS MECÁNICOS</v>
      </c>
      <c r="K31" s="64" t="str">
        <f>IFERROR(__xludf.DUMMYFUNCTION("""COMPUTED_VALUE"""),"LLAMADA DE ATENCIÓN")</f>
        <v>LLAMADA DE ATENCIÓN</v>
      </c>
      <c r="L31" s="64" t="str">
        <f>IFERROR(__xludf.DUMMYFUNCTION("""COMPUTED_VALUE"""),"OPERATIVOS")</f>
        <v>OPERATIVOS</v>
      </c>
      <c r="M31" s="64" t="str">
        <f>IFERROR(__xludf.DUMMYFUNCTION("""COMPUTED_VALUE"""),"SANCIÓN")</f>
        <v>SANCIÓN</v>
      </c>
      <c r="N31" s="64" t="str">
        <f>IFERROR(__xludf.DUMMYFUNCTION("""COMPUTED_VALUE"""),"SISTEMA ELECTRICO")</f>
        <v>SISTEMA ELECTRICO</v>
      </c>
      <c r="O31" s="64" t="str">
        <f>IFERROR(__xludf.DUMMYFUNCTION("""COMPUTED_VALUE"""),"ASISTENCIA AL USUARIO")</f>
        <v>ASISTENCIA AL USUARIO</v>
      </c>
      <c r="P31" s="64" t="str">
        <f>IFERROR(__xludf.DUMMYFUNCTION("""COMPUTED_VALUE"""),"DOBLE REMOLQUE")</f>
        <v>DOBLE REMOLQUE</v>
      </c>
      <c r="Q31" s="64" t="str">
        <f>IFERROR(__xludf.DUMMYFUNCTION("""COMPUTED_VALUE"""),"SINAPRESE")</f>
        <v>SINAPRESE</v>
      </c>
      <c r="R31" s="64" t="str">
        <f>IFERROR(__xludf.DUMMYFUNCTION("""COMPUTED_VALUE"""),"APOYO ATLETISMO")</f>
        <v>APOYO ATLETISMO</v>
      </c>
      <c r="S31" s="64" t="str">
        <f>IFERROR(__xludf.DUMMYFUNCTION("""COMPUTED_VALUE"""),"APOYO A CICLISMO")</f>
        <v>APOYO A CICLISMO</v>
      </c>
      <c r="T31" s="64" t="str">
        <f>IFERROR(__xludf.DUMMYFUNCTION("""COMPUTED_VALUE"""),"DESCARGA DE BATERÍA")</f>
        <v>DESCARGA DE BATERÍA</v>
      </c>
      <c r="U31" s="64" t="str">
        <f>IFERROR(__xludf.DUMMYFUNCTION("""COMPUTED_VALUE"""),"PROBLEMAS DE SALUD")</f>
        <v>PROBLEMAS DE SALUD</v>
      </c>
      <c r="V31" s="64" t="str">
        <f>IFERROR(__xludf.DUMMYFUNCTION("""COMPUTED_VALUE"""),"OLVIDO LA LLAVE")</f>
        <v>OLVIDO LA LLAVE</v>
      </c>
      <c r="W31" s="64" t="str">
        <f>IFERROR(__xludf.DUMMYFUNCTION("""COMPUTED_VALUE"""),"CARGA SOBREDIMENSIONADA")</f>
        <v>CARGA SOBREDIMENSIONADA</v>
      </c>
      <c r="X31" s="64" t="str">
        <f>IFERROR(__xludf.DUMMYFUNCTION("""COMPUTED_VALUE"""),"VEHÍCULO ABANDONADO")</f>
        <v>VEHÍCULO ABANDONADO</v>
      </c>
      <c r="Y31" s="64" t="str">
        <f>IFERROR(__xludf.DUMMYFUNCTION("""COMPUTED_VALUE"""),"DESPRENDIMIENTO")</f>
        <v>DESPRENDIMIENTO</v>
      </c>
      <c r="Z31" s="64" t="str">
        <f>IFERROR(__xludf.DUMMYFUNCTION("""COMPUTED_VALUE"""),"CAÍDA DE POSTE")</f>
        <v>CAÍDA DE POSTE</v>
      </c>
      <c r="AA31" s="64" t="str">
        <f>IFERROR(__xludf.DUMMYFUNCTION("""COMPUTED_VALUE"""),"CAÍDA DE RAMA")</f>
        <v>CAÍDA DE RAMA</v>
      </c>
      <c r="AB31" s="64" t="str">
        <f>IFERROR(__xludf.DUMMYFUNCTION("""COMPUTED_VALUE"""),"OPERATIVO DGT")</f>
        <v>OPERATIVO DGT</v>
      </c>
      <c r="AC31" s="64" t="str">
        <f>IFERROR(__xludf.DUMMYFUNCTION("""COMPUTED_VALUE"""),"OPERATIVO PMT")</f>
        <v>OPERATIVO PMT</v>
      </c>
      <c r="AD31" s="64" t="str">
        <f>IFERROR(__xludf.DUMMYFUNCTION("""COMPUTED_VALUE"""),"APOYO A DIGEF")</f>
        <v>APOYO A DIGEF</v>
      </c>
      <c r="AE31" s="64" t="str">
        <f>IFERROR(__xludf.DUMMYFUNCTION("""COMPUTED_VALUE"""),"OPERATIVO PNC TRANSITO")</f>
        <v>OPERATIVO PNC TRANSITO</v>
      </c>
      <c r="AF31" s="64" t="str">
        <f>IFERROR(__xludf.DUMMYFUNCTION("""COMPUTED_VALUE"""),"SOBRECARGA ")</f>
        <v>SOBRECARGA </v>
      </c>
      <c r="AG31" s="64" t="str">
        <f>IFERROR(__xludf.DUMMYFUNCTION("""COMPUTED_VALUE"""),"OPERATIVO EN CONJUNTO")</f>
        <v>OPERATIVO EN CONJUNTO</v>
      </c>
      <c r="AH31" s="64" t="str">
        <f>IFERROR(__xludf.DUMMYFUNCTION("""COMPUTED_VALUE"""),"PUESTO DE ATENCION AL USUARIO")</f>
        <v>PUESTO DE ATENCION AL USUARIO</v>
      </c>
      <c r="AI31" s="64" t="str">
        <f>IFERROR(__xludf.DUMMYFUNCTION("""COMPUTED_VALUE"""),"INCENDIO EN RUTA")</f>
        <v>INCENDIO EN RUTA</v>
      </c>
      <c r="AJ31" s="64" t="str">
        <f>IFERROR(__xludf.DUMMYFUNCTION("""COMPUTED_VALUE"""),"APOYO ANTORCHA ")</f>
        <v>APOYO ANTORCHA </v>
      </c>
    </row>
    <row r="32">
      <c r="B32" s="64" t="s">
        <v>54</v>
      </c>
      <c r="C32" s="64" t="str">
        <f>IFERROR(__xludf.DUMMYFUNCTION(" TRANSPOSE( unique ( QUERY(DATOPRO,""select Col2 where Col1 = '""&amp;B32&amp;""'"")))"),"PINCHAZO")</f>
        <v>PINCHAZO</v>
      </c>
      <c r="D32" s="64" t="str">
        <f>IFERROR(__xludf.DUMMYFUNCTION("""COMPUTED_VALUE"""),"TRABAJOS DE CARRETERA")</f>
        <v>TRABAJOS DE CARRETERA</v>
      </c>
      <c r="E32" s="64" t="str">
        <f>IFERROR(__xludf.DUMMYFUNCTION("""COMPUTED_VALUE"""),"CONSIGNACIÓN")</f>
        <v>CONSIGNACIÓN</v>
      </c>
      <c r="F32" s="64" t="str">
        <f>IFERROR(__xludf.DUMMYFUNCTION("""COMPUTED_VALUE"""),"DERRAME")</f>
        <v>DERRAME</v>
      </c>
      <c r="G32" s="64" t="str">
        <f>IFERROR(__xludf.DUMMYFUNCTION("""COMPUTED_VALUE"""),"CALENTAMIENTO")</f>
        <v>CALENTAMIENTO</v>
      </c>
      <c r="H32" s="64" t="str">
        <f>IFERROR(__xludf.DUMMYFUNCTION("""COMPUTED_VALUE"""),"ESCOLTANDO")</f>
        <v>ESCOLTANDO</v>
      </c>
      <c r="I32" s="64" t="str">
        <f>IFERROR(__xludf.DUMMYFUNCTION("""COMPUTED_VALUE"""),"FALTA DE COMBUSTIBLE")</f>
        <v>FALTA DE COMBUSTIBLE</v>
      </c>
      <c r="J32" s="64" t="str">
        <f>IFERROR(__xludf.DUMMYFUNCTION("""COMPUTED_VALUE"""),"DESPERFECTOS MECÁNICOS")</f>
        <v>DESPERFECTOS MECÁNICOS</v>
      </c>
      <c r="K32" s="64" t="str">
        <f>IFERROR(__xludf.DUMMYFUNCTION("""COMPUTED_VALUE"""),"LLAMADA DE ATENCIÓN")</f>
        <v>LLAMADA DE ATENCIÓN</v>
      </c>
      <c r="L32" s="64" t="str">
        <f>IFERROR(__xludf.DUMMYFUNCTION("""COMPUTED_VALUE"""),"OPERATIVOS")</f>
        <v>OPERATIVOS</v>
      </c>
      <c r="M32" s="64" t="str">
        <f>IFERROR(__xludf.DUMMYFUNCTION("""COMPUTED_VALUE"""),"SANCIÓN")</f>
        <v>SANCIÓN</v>
      </c>
      <c r="N32" s="64" t="str">
        <f>IFERROR(__xludf.DUMMYFUNCTION("""COMPUTED_VALUE"""),"SISTEMA ELECTRICO")</f>
        <v>SISTEMA ELECTRICO</v>
      </c>
      <c r="O32" s="64" t="str">
        <f>IFERROR(__xludf.DUMMYFUNCTION("""COMPUTED_VALUE"""),"ASISTENCIA AL USUARIO")</f>
        <v>ASISTENCIA AL USUARIO</v>
      </c>
      <c r="P32" s="64" t="str">
        <f>IFERROR(__xludf.DUMMYFUNCTION("""COMPUTED_VALUE"""),"DOBLE REMOLQUE")</f>
        <v>DOBLE REMOLQUE</v>
      </c>
      <c r="Q32" s="64" t="str">
        <f>IFERROR(__xludf.DUMMYFUNCTION("""COMPUTED_VALUE"""),"SINAPRESE")</f>
        <v>SINAPRESE</v>
      </c>
      <c r="R32" s="64" t="str">
        <f>IFERROR(__xludf.DUMMYFUNCTION("""COMPUTED_VALUE"""),"APOYO ATLETISMO")</f>
        <v>APOYO ATLETISMO</v>
      </c>
      <c r="S32" s="64" t="str">
        <f>IFERROR(__xludf.DUMMYFUNCTION("""COMPUTED_VALUE"""),"APOYO A CICLISMO")</f>
        <v>APOYO A CICLISMO</v>
      </c>
      <c r="T32" s="64" t="str">
        <f>IFERROR(__xludf.DUMMYFUNCTION("""COMPUTED_VALUE"""),"DESCARGA DE BATERÍA")</f>
        <v>DESCARGA DE BATERÍA</v>
      </c>
      <c r="U32" s="64" t="str">
        <f>IFERROR(__xludf.DUMMYFUNCTION("""COMPUTED_VALUE"""),"PROBLEMAS DE SALUD")</f>
        <v>PROBLEMAS DE SALUD</v>
      </c>
      <c r="V32" s="64" t="str">
        <f>IFERROR(__xludf.DUMMYFUNCTION("""COMPUTED_VALUE"""),"OLVIDO LA LLAVE")</f>
        <v>OLVIDO LA LLAVE</v>
      </c>
      <c r="W32" s="64" t="str">
        <f>IFERROR(__xludf.DUMMYFUNCTION("""COMPUTED_VALUE"""),"CARGA SOBREDIMENSIONADA")</f>
        <v>CARGA SOBREDIMENSIONADA</v>
      </c>
      <c r="X32" s="64" t="str">
        <f>IFERROR(__xludf.DUMMYFUNCTION("""COMPUTED_VALUE"""),"VEHÍCULO ABANDONADO")</f>
        <v>VEHÍCULO ABANDONADO</v>
      </c>
      <c r="Y32" s="64" t="str">
        <f>IFERROR(__xludf.DUMMYFUNCTION("""COMPUTED_VALUE"""),"DESPRENDIMIENTO")</f>
        <v>DESPRENDIMIENTO</v>
      </c>
      <c r="Z32" s="64" t="str">
        <f>IFERROR(__xludf.DUMMYFUNCTION("""COMPUTED_VALUE"""),"CAÍDA DE POSTE")</f>
        <v>CAÍDA DE POSTE</v>
      </c>
      <c r="AA32" s="64" t="str">
        <f>IFERROR(__xludf.DUMMYFUNCTION("""COMPUTED_VALUE"""),"CAÍDA DE RAMA")</f>
        <v>CAÍDA DE RAMA</v>
      </c>
      <c r="AB32" s="64" t="str">
        <f>IFERROR(__xludf.DUMMYFUNCTION("""COMPUTED_VALUE"""),"OPERATIVO DGT")</f>
        <v>OPERATIVO DGT</v>
      </c>
      <c r="AC32" s="64" t="str">
        <f>IFERROR(__xludf.DUMMYFUNCTION("""COMPUTED_VALUE"""),"OPERATIVO PMT")</f>
        <v>OPERATIVO PMT</v>
      </c>
      <c r="AD32" s="64" t="str">
        <f>IFERROR(__xludf.DUMMYFUNCTION("""COMPUTED_VALUE"""),"APOYO A DIGEF")</f>
        <v>APOYO A DIGEF</v>
      </c>
      <c r="AE32" s="64" t="str">
        <f>IFERROR(__xludf.DUMMYFUNCTION("""COMPUTED_VALUE"""),"OPERATIVO PNC TRANSITO")</f>
        <v>OPERATIVO PNC TRANSITO</v>
      </c>
      <c r="AF32" s="64" t="str">
        <f>IFERROR(__xludf.DUMMYFUNCTION("""COMPUTED_VALUE"""),"SOBRECARGA ")</f>
        <v>SOBRECARGA </v>
      </c>
      <c r="AG32" s="64" t="str">
        <f>IFERROR(__xludf.DUMMYFUNCTION("""COMPUTED_VALUE"""),"OPERATIVO EN CONJUNTO")</f>
        <v>OPERATIVO EN CONJUNTO</v>
      </c>
      <c r="AH32" s="64" t="str">
        <f>IFERROR(__xludf.DUMMYFUNCTION("""COMPUTED_VALUE"""),"PUESTO DE ATENCION AL USUARIO")</f>
        <v>PUESTO DE ATENCION AL USUARIO</v>
      </c>
      <c r="AI32" s="64" t="str">
        <f>IFERROR(__xludf.DUMMYFUNCTION("""COMPUTED_VALUE"""),"INCENDIO EN RUTA")</f>
        <v>INCENDIO EN RUTA</v>
      </c>
      <c r="AJ32" s="64" t="str">
        <f>IFERROR(__xludf.DUMMYFUNCTION("""COMPUTED_VALUE"""),"APOYO ANTORCHA ")</f>
        <v>APOYO ANTORCHA </v>
      </c>
    </row>
    <row r="33">
      <c r="B33" s="64" t="s">
        <v>38</v>
      </c>
      <c r="C33" s="64" t="str">
        <f>IFERROR(__xludf.DUMMYFUNCTION(" TRANSPOSE( unique ( QUERY(DATOPRO,""select Col2 where Col1 = '""&amp;B33&amp;""'"")))"),"ATAQUE ARMADO")</f>
        <v>ATAQUE ARMADO</v>
      </c>
      <c r="D33" s="64" t="str">
        <f>IFERROR(__xludf.DUMMYFUNCTION("""COMPUTED_VALUE"""),"DESBALANCE DE CARGA")</f>
        <v>DESBALANCE DE CARGA</v>
      </c>
      <c r="E33" s="64" t="str">
        <f>IFERROR(__xludf.DUMMYFUNCTION("""COMPUTED_VALUE"""),"PERSONA FALLECIDA")</f>
        <v>PERSONA FALLECIDA</v>
      </c>
      <c r="F33" s="64" t="str">
        <f>IFERROR(__xludf.DUMMYFUNCTION("""COMPUTED_VALUE"""),"DESPRENDIMIENTO DE NEUMATICO")</f>
        <v>DESPRENDIMIENTO DE NEUMATICO</v>
      </c>
      <c r="G33" s="64" t="str">
        <f>IFERROR(__xludf.DUMMYFUNCTION("""COMPUTED_VALUE"""),"SALIDA DE PISTA")</f>
        <v>SALIDA DE PISTA</v>
      </c>
      <c r="H33" s="64" t="str">
        <f>IFERROR(__xludf.DUMMYFUNCTION("""COMPUTED_VALUE"""),"DESPRENDIMIENTO DE CONTENEDOR")</f>
        <v>DESPRENDIMIENTO DE CONTENEDOR</v>
      </c>
      <c r="I33" s="64" t="str">
        <f>IFERROR(__xludf.DUMMYFUNCTION("""COMPUTED_VALUE"""),"CAÍDA DE CARGA")</f>
        <v>CAÍDA DE CARGA</v>
      </c>
      <c r="J33" s="64" t="str">
        <f>IFERROR(__xludf.DUMMYFUNCTION("""COMPUTED_VALUE"""),"CHOQUE")</f>
        <v>CHOQUE</v>
      </c>
      <c r="K33" s="64" t="str">
        <f>IFERROR(__xludf.DUMMYFUNCTION("""COMPUTED_VALUE"""),"COLISIÓN")</f>
        <v>COLISIÓN</v>
      </c>
      <c r="L33" s="64" t="str">
        <f>IFERROR(__xludf.DUMMYFUNCTION("""COMPUTED_VALUE"""),"COLISIÓN MÚLTIPLE")</f>
        <v>COLISIÓN MÚLTIPLE</v>
      </c>
      <c r="M33" s="64" t="str">
        <f>IFERROR(__xludf.DUMMYFUNCTION("""COMPUTED_VALUE"""),"DERRAPE")</f>
        <v>DERRAPE</v>
      </c>
      <c r="N33" s="64" t="str">
        <f>IFERROR(__xludf.DUMMYFUNCTION("""COMPUTED_VALUE"""),"VEHÍCULO INCENDIADO")</f>
        <v>VEHÍCULO INCENDIADO</v>
      </c>
      <c r="O33" s="64" t="str">
        <f>IFERROR(__xludf.DUMMYFUNCTION("""COMPUTED_VALUE"""),"VUELCO")</f>
        <v>VUELCO</v>
      </c>
      <c r="P33" s="64" t="str">
        <f>IFERROR(__xludf.DUMMYFUNCTION("""COMPUTED_VALUE"""),"DESPRENDIMIENTO")</f>
        <v>DESPRENDIMIENTO</v>
      </c>
      <c r="Q33" s="64" t="str">
        <f>IFERROR(__xludf.DUMMYFUNCTION("""COMPUTED_VALUE"""),"CAÍDA DE ÁRBOL")</f>
        <v>CAÍDA DE ÁRBOL</v>
      </c>
      <c r="R33" s="64" t="str">
        <f>IFERROR(__xludf.DUMMYFUNCTION("""COMPUTED_VALUE"""),"DESPRENDIMIENTO DE EJE")</f>
        <v>DESPRENDIMIENTO DE EJE</v>
      </c>
      <c r="S33" s="64" t="str">
        <f>IFERROR(__xludf.DUMMYFUNCTION("""COMPUTED_VALUE"""),"PERSONA ATROPELLADA")</f>
        <v>PERSONA ATROPELLADA</v>
      </c>
    </row>
    <row r="34">
      <c r="B34" s="64" t="s">
        <v>54</v>
      </c>
      <c r="C34" s="64" t="str">
        <f>IFERROR(__xludf.DUMMYFUNCTION(" TRANSPOSE( unique ( QUERY(DATOPRO,""select Col2 where Col1 = '""&amp;B34&amp;""'"")))"),"PINCHAZO")</f>
        <v>PINCHAZO</v>
      </c>
      <c r="D34" s="64" t="str">
        <f>IFERROR(__xludf.DUMMYFUNCTION("""COMPUTED_VALUE"""),"TRABAJOS DE CARRETERA")</f>
        <v>TRABAJOS DE CARRETERA</v>
      </c>
      <c r="E34" s="64" t="str">
        <f>IFERROR(__xludf.DUMMYFUNCTION("""COMPUTED_VALUE"""),"CONSIGNACIÓN")</f>
        <v>CONSIGNACIÓN</v>
      </c>
      <c r="F34" s="64" t="str">
        <f>IFERROR(__xludf.DUMMYFUNCTION("""COMPUTED_VALUE"""),"DERRAME")</f>
        <v>DERRAME</v>
      </c>
      <c r="G34" s="64" t="str">
        <f>IFERROR(__xludf.DUMMYFUNCTION("""COMPUTED_VALUE"""),"CALENTAMIENTO")</f>
        <v>CALENTAMIENTO</v>
      </c>
      <c r="H34" s="64" t="str">
        <f>IFERROR(__xludf.DUMMYFUNCTION("""COMPUTED_VALUE"""),"ESCOLTANDO")</f>
        <v>ESCOLTANDO</v>
      </c>
      <c r="I34" s="64" t="str">
        <f>IFERROR(__xludf.DUMMYFUNCTION("""COMPUTED_VALUE"""),"FALTA DE COMBUSTIBLE")</f>
        <v>FALTA DE COMBUSTIBLE</v>
      </c>
      <c r="J34" s="64" t="str">
        <f>IFERROR(__xludf.DUMMYFUNCTION("""COMPUTED_VALUE"""),"DESPERFECTOS MECÁNICOS")</f>
        <v>DESPERFECTOS MECÁNICOS</v>
      </c>
      <c r="K34" s="64" t="str">
        <f>IFERROR(__xludf.DUMMYFUNCTION("""COMPUTED_VALUE"""),"LLAMADA DE ATENCIÓN")</f>
        <v>LLAMADA DE ATENCIÓN</v>
      </c>
      <c r="L34" s="64" t="str">
        <f>IFERROR(__xludf.DUMMYFUNCTION("""COMPUTED_VALUE"""),"OPERATIVOS")</f>
        <v>OPERATIVOS</v>
      </c>
      <c r="M34" s="64" t="str">
        <f>IFERROR(__xludf.DUMMYFUNCTION("""COMPUTED_VALUE"""),"SANCIÓN")</f>
        <v>SANCIÓN</v>
      </c>
      <c r="N34" s="64" t="str">
        <f>IFERROR(__xludf.DUMMYFUNCTION("""COMPUTED_VALUE"""),"SISTEMA ELECTRICO")</f>
        <v>SISTEMA ELECTRICO</v>
      </c>
      <c r="O34" s="64" t="str">
        <f>IFERROR(__xludf.DUMMYFUNCTION("""COMPUTED_VALUE"""),"ASISTENCIA AL USUARIO")</f>
        <v>ASISTENCIA AL USUARIO</v>
      </c>
      <c r="P34" s="64" t="str">
        <f>IFERROR(__xludf.DUMMYFUNCTION("""COMPUTED_VALUE"""),"DOBLE REMOLQUE")</f>
        <v>DOBLE REMOLQUE</v>
      </c>
      <c r="Q34" s="64" t="str">
        <f>IFERROR(__xludf.DUMMYFUNCTION("""COMPUTED_VALUE"""),"SINAPRESE")</f>
        <v>SINAPRESE</v>
      </c>
      <c r="R34" s="64" t="str">
        <f>IFERROR(__xludf.DUMMYFUNCTION("""COMPUTED_VALUE"""),"APOYO ATLETISMO")</f>
        <v>APOYO ATLETISMO</v>
      </c>
      <c r="S34" s="64" t="str">
        <f>IFERROR(__xludf.DUMMYFUNCTION("""COMPUTED_VALUE"""),"APOYO A CICLISMO")</f>
        <v>APOYO A CICLISMO</v>
      </c>
      <c r="T34" s="64" t="str">
        <f>IFERROR(__xludf.DUMMYFUNCTION("""COMPUTED_VALUE"""),"DESCARGA DE BATERÍA")</f>
        <v>DESCARGA DE BATERÍA</v>
      </c>
      <c r="U34" s="64" t="str">
        <f>IFERROR(__xludf.DUMMYFUNCTION("""COMPUTED_VALUE"""),"PROBLEMAS DE SALUD")</f>
        <v>PROBLEMAS DE SALUD</v>
      </c>
      <c r="V34" s="64" t="str">
        <f>IFERROR(__xludf.DUMMYFUNCTION("""COMPUTED_VALUE"""),"OLVIDO LA LLAVE")</f>
        <v>OLVIDO LA LLAVE</v>
      </c>
      <c r="W34" s="64" t="str">
        <f>IFERROR(__xludf.DUMMYFUNCTION("""COMPUTED_VALUE"""),"CARGA SOBREDIMENSIONADA")</f>
        <v>CARGA SOBREDIMENSIONADA</v>
      </c>
      <c r="X34" s="64" t="str">
        <f>IFERROR(__xludf.DUMMYFUNCTION("""COMPUTED_VALUE"""),"VEHÍCULO ABANDONADO")</f>
        <v>VEHÍCULO ABANDONADO</v>
      </c>
      <c r="Y34" s="64" t="str">
        <f>IFERROR(__xludf.DUMMYFUNCTION("""COMPUTED_VALUE"""),"DESPRENDIMIENTO")</f>
        <v>DESPRENDIMIENTO</v>
      </c>
      <c r="Z34" s="64" t="str">
        <f>IFERROR(__xludf.DUMMYFUNCTION("""COMPUTED_VALUE"""),"CAÍDA DE POSTE")</f>
        <v>CAÍDA DE POSTE</v>
      </c>
      <c r="AA34" s="64" t="str">
        <f>IFERROR(__xludf.DUMMYFUNCTION("""COMPUTED_VALUE"""),"CAÍDA DE RAMA")</f>
        <v>CAÍDA DE RAMA</v>
      </c>
      <c r="AB34" s="64" t="str">
        <f>IFERROR(__xludf.DUMMYFUNCTION("""COMPUTED_VALUE"""),"OPERATIVO DGT")</f>
        <v>OPERATIVO DGT</v>
      </c>
      <c r="AC34" s="64" t="str">
        <f>IFERROR(__xludf.DUMMYFUNCTION("""COMPUTED_VALUE"""),"OPERATIVO PMT")</f>
        <v>OPERATIVO PMT</v>
      </c>
      <c r="AD34" s="64" t="str">
        <f>IFERROR(__xludf.DUMMYFUNCTION("""COMPUTED_VALUE"""),"APOYO A DIGEF")</f>
        <v>APOYO A DIGEF</v>
      </c>
      <c r="AE34" s="64" t="str">
        <f>IFERROR(__xludf.DUMMYFUNCTION("""COMPUTED_VALUE"""),"OPERATIVO PNC TRANSITO")</f>
        <v>OPERATIVO PNC TRANSITO</v>
      </c>
      <c r="AF34" s="64" t="str">
        <f>IFERROR(__xludf.DUMMYFUNCTION("""COMPUTED_VALUE"""),"SOBRECARGA ")</f>
        <v>SOBRECARGA </v>
      </c>
      <c r="AG34" s="64" t="str">
        <f>IFERROR(__xludf.DUMMYFUNCTION("""COMPUTED_VALUE"""),"OPERATIVO EN CONJUNTO")</f>
        <v>OPERATIVO EN CONJUNTO</v>
      </c>
      <c r="AH34" s="64" t="str">
        <f>IFERROR(__xludf.DUMMYFUNCTION("""COMPUTED_VALUE"""),"PUESTO DE ATENCION AL USUARIO")</f>
        <v>PUESTO DE ATENCION AL USUARIO</v>
      </c>
      <c r="AI34" s="64" t="str">
        <f>IFERROR(__xludf.DUMMYFUNCTION("""COMPUTED_VALUE"""),"INCENDIO EN RUTA")</f>
        <v>INCENDIO EN RUTA</v>
      </c>
      <c r="AJ34" s="64" t="str">
        <f>IFERROR(__xludf.DUMMYFUNCTION("""COMPUTED_VALUE"""),"APOYO ANTORCHA ")</f>
        <v>APOYO ANTORCHA </v>
      </c>
    </row>
    <row r="35">
      <c r="B35" s="64" t="s">
        <v>38</v>
      </c>
      <c r="C35" s="64" t="str">
        <f>IFERROR(__xludf.DUMMYFUNCTION(" TRANSPOSE( unique ( QUERY(DATOPRO,""select Col2 where Col1 = '""&amp;B35&amp;""'"")))"),"ATAQUE ARMADO")</f>
        <v>ATAQUE ARMADO</v>
      </c>
      <c r="D35" s="64" t="str">
        <f>IFERROR(__xludf.DUMMYFUNCTION("""COMPUTED_VALUE"""),"DESBALANCE DE CARGA")</f>
        <v>DESBALANCE DE CARGA</v>
      </c>
      <c r="E35" s="64" t="str">
        <f>IFERROR(__xludf.DUMMYFUNCTION("""COMPUTED_VALUE"""),"PERSONA FALLECIDA")</f>
        <v>PERSONA FALLECIDA</v>
      </c>
      <c r="F35" s="64" t="str">
        <f>IFERROR(__xludf.DUMMYFUNCTION("""COMPUTED_VALUE"""),"DESPRENDIMIENTO DE NEUMATICO")</f>
        <v>DESPRENDIMIENTO DE NEUMATICO</v>
      </c>
      <c r="G35" s="64" t="str">
        <f>IFERROR(__xludf.DUMMYFUNCTION("""COMPUTED_VALUE"""),"SALIDA DE PISTA")</f>
        <v>SALIDA DE PISTA</v>
      </c>
      <c r="H35" s="64" t="str">
        <f>IFERROR(__xludf.DUMMYFUNCTION("""COMPUTED_VALUE"""),"DESPRENDIMIENTO DE CONTENEDOR")</f>
        <v>DESPRENDIMIENTO DE CONTENEDOR</v>
      </c>
      <c r="I35" s="64" t="str">
        <f>IFERROR(__xludf.DUMMYFUNCTION("""COMPUTED_VALUE"""),"CAÍDA DE CARGA")</f>
        <v>CAÍDA DE CARGA</v>
      </c>
      <c r="J35" s="64" t="str">
        <f>IFERROR(__xludf.DUMMYFUNCTION("""COMPUTED_VALUE"""),"CHOQUE")</f>
        <v>CHOQUE</v>
      </c>
      <c r="K35" s="64" t="str">
        <f>IFERROR(__xludf.DUMMYFUNCTION("""COMPUTED_VALUE"""),"COLISIÓN")</f>
        <v>COLISIÓN</v>
      </c>
      <c r="L35" s="64" t="str">
        <f>IFERROR(__xludf.DUMMYFUNCTION("""COMPUTED_VALUE"""),"COLISIÓN MÚLTIPLE")</f>
        <v>COLISIÓN MÚLTIPLE</v>
      </c>
      <c r="M35" s="64" t="str">
        <f>IFERROR(__xludf.DUMMYFUNCTION("""COMPUTED_VALUE"""),"DERRAPE")</f>
        <v>DERRAPE</v>
      </c>
      <c r="N35" s="64" t="str">
        <f>IFERROR(__xludf.DUMMYFUNCTION("""COMPUTED_VALUE"""),"VEHÍCULO INCENDIADO")</f>
        <v>VEHÍCULO INCENDIADO</v>
      </c>
      <c r="O35" s="64" t="str">
        <f>IFERROR(__xludf.DUMMYFUNCTION("""COMPUTED_VALUE"""),"VUELCO")</f>
        <v>VUELCO</v>
      </c>
      <c r="P35" s="64" t="str">
        <f>IFERROR(__xludf.DUMMYFUNCTION("""COMPUTED_VALUE"""),"DESPRENDIMIENTO")</f>
        <v>DESPRENDIMIENTO</v>
      </c>
      <c r="Q35" s="64" t="str">
        <f>IFERROR(__xludf.DUMMYFUNCTION("""COMPUTED_VALUE"""),"CAÍDA DE ÁRBOL")</f>
        <v>CAÍDA DE ÁRBOL</v>
      </c>
      <c r="R35" s="64" t="str">
        <f>IFERROR(__xludf.DUMMYFUNCTION("""COMPUTED_VALUE"""),"DESPRENDIMIENTO DE EJE")</f>
        <v>DESPRENDIMIENTO DE EJE</v>
      </c>
      <c r="S35" s="64" t="str">
        <f>IFERROR(__xludf.DUMMYFUNCTION("""COMPUTED_VALUE"""),"PERSONA ATROPELLADA")</f>
        <v>PERSONA ATROPELLADA</v>
      </c>
    </row>
    <row r="36">
      <c r="B36" s="64" t="s">
        <v>54</v>
      </c>
      <c r="C36" s="64" t="str">
        <f>IFERROR(__xludf.DUMMYFUNCTION(" TRANSPOSE( unique ( QUERY(DATOPRO,""select Col2 where Col1 = '""&amp;B36&amp;""'"")))"),"PINCHAZO")</f>
        <v>PINCHAZO</v>
      </c>
      <c r="D36" s="64" t="str">
        <f>IFERROR(__xludf.DUMMYFUNCTION("""COMPUTED_VALUE"""),"TRABAJOS DE CARRETERA")</f>
        <v>TRABAJOS DE CARRETERA</v>
      </c>
      <c r="E36" s="64" t="str">
        <f>IFERROR(__xludf.DUMMYFUNCTION("""COMPUTED_VALUE"""),"CONSIGNACIÓN")</f>
        <v>CONSIGNACIÓN</v>
      </c>
      <c r="F36" s="64" t="str">
        <f>IFERROR(__xludf.DUMMYFUNCTION("""COMPUTED_VALUE"""),"DERRAME")</f>
        <v>DERRAME</v>
      </c>
      <c r="G36" s="64" t="str">
        <f>IFERROR(__xludf.DUMMYFUNCTION("""COMPUTED_VALUE"""),"CALENTAMIENTO")</f>
        <v>CALENTAMIENTO</v>
      </c>
      <c r="H36" s="64" t="str">
        <f>IFERROR(__xludf.DUMMYFUNCTION("""COMPUTED_VALUE"""),"ESCOLTANDO")</f>
        <v>ESCOLTANDO</v>
      </c>
      <c r="I36" s="64" t="str">
        <f>IFERROR(__xludf.DUMMYFUNCTION("""COMPUTED_VALUE"""),"FALTA DE COMBUSTIBLE")</f>
        <v>FALTA DE COMBUSTIBLE</v>
      </c>
      <c r="J36" s="64" t="str">
        <f>IFERROR(__xludf.DUMMYFUNCTION("""COMPUTED_VALUE"""),"DESPERFECTOS MECÁNICOS")</f>
        <v>DESPERFECTOS MECÁNICOS</v>
      </c>
      <c r="K36" s="64" t="str">
        <f>IFERROR(__xludf.DUMMYFUNCTION("""COMPUTED_VALUE"""),"LLAMADA DE ATENCIÓN")</f>
        <v>LLAMADA DE ATENCIÓN</v>
      </c>
      <c r="L36" s="64" t="str">
        <f>IFERROR(__xludf.DUMMYFUNCTION("""COMPUTED_VALUE"""),"OPERATIVOS")</f>
        <v>OPERATIVOS</v>
      </c>
      <c r="M36" s="64" t="str">
        <f>IFERROR(__xludf.DUMMYFUNCTION("""COMPUTED_VALUE"""),"SANCIÓN")</f>
        <v>SANCIÓN</v>
      </c>
      <c r="N36" s="64" t="str">
        <f>IFERROR(__xludf.DUMMYFUNCTION("""COMPUTED_VALUE"""),"SISTEMA ELECTRICO")</f>
        <v>SISTEMA ELECTRICO</v>
      </c>
      <c r="O36" s="64" t="str">
        <f>IFERROR(__xludf.DUMMYFUNCTION("""COMPUTED_VALUE"""),"ASISTENCIA AL USUARIO")</f>
        <v>ASISTENCIA AL USUARIO</v>
      </c>
      <c r="P36" s="64" t="str">
        <f>IFERROR(__xludf.DUMMYFUNCTION("""COMPUTED_VALUE"""),"DOBLE REMOLQUE")</f>
        <v>DOBLE REMOLQUE</v>
      </c>
      <c r="Q36" s="64" t="str">
        <f>IFERROR(__xludf.DUMMYFUNCTION("""COMPUTED_VALUE"""),"SINAPRESE")</f>
        <v>SINAPRESE</v>
      </c>
      <c r="R36" s="64" t="str">
        <f>IFERROR(__xludf.DUMMYFUNCTION("""COMPUTED_VALUE"""),"APOYO ATLETISMO")</f>
        <v>APOYO ATLETISMO</v>
      </c>
      <c r="S36" s="64" t="str">
        <f>IFERROR(__xludf.DUMMYFUNCTION("""COMPUTED_VALUE"""),"APOYO A CICLISMO")</f>
        <v>APOYO A CICLISMO</v>
      </c>
      <c r="T36" s="64" t="str">
        <f>IFERROR(__xludf.DUMMYFUNCTION("""COMPUTED_VALUE"""),"DESCARGA DE BATERÍA")</f>
        <v>DESCARGA DE BATERÍA</v>
      </c>
      <c r="U36" s="64" t="str">
        <f>IFERROR(__xludf.DUMMYFUNCTION("""COMPUTED_VALUE"""),"PROBLEMAS DE SALUD")</f>
        <v>PROBLEMAS DE SALUD</v>
      </c>
      <c r="V36" s="64" t="str">
        <f>IFERROR(__xludf.DUMMYFUNCTION("""COMPUTED_VALUE"""),"OLVIDO LA LLAVE")</f>
        <v>OLVIDO LA LLAVE</v>
      </c>
      <c r="W36" s="64" t="str">
        <f>IFERROR(__xludf.DUMMYFUNCTION("""COMPUTED_VALUE"""),"CARGA SOBREDIMENSIONADA")</f>
        <v>CARGA SOBREDIMENSIONADA</v>
      </c>
      <c r="X36" s="64" t="str">
        <f>IFERROR(__xludf.DUMMYFUNCTION("""COMPUTED_VALUE"""),"VEHÍCULO ABANDONADO")</f>
        <v>VEHÍCULO ABANDONADO</v>
      </c>
      <c r="Y36" s="64" t="str">
        <f>IFERROR(__xludf.DUMMYFUNCTION("""COMPUTED_VALUE"""),"DESPRENDIMIENTO")</f>
        <v>DESPRENDIMIENTO</v>
      </c>
      <c r="Z36" s="64" t="str">
        <f>IFERROR(__xludf.DUMMYFUNCTION("""COMPUTED_VALUE"""),"CAÍDA DE POSTE")</f>
        <v>CAÍDA DE POSTE</v>
      </c>
      <c r="AA36" s="64" t="str">
        <f>IFERROR(__xludf.DUMMYFUNCTION("""COMPUTED_VALUE"""),"CAÍDA DE RAMA")</f>
        <v>CAÍDA DE RAMA</v>
      </c>
      <c r="AB36" s="64" t="str">
        <f>IFERROR(__xludf.DUMMYFUNCTION("""COMPUTED_VALUE"""),"OPERATIVO DGT")</f>
        <v>OPERATIVO DGT</v>
      </c>
      <c r="AC36" s="64" t="str">
        <f>IFERROR(__xludf.DUMMYFUNCTION("""COMPUTED_VALUE"""),"OPERATIVO PMT")</f>
        <v>OPERATIVO PMT</v>
      </c>
      <c r="AD36" s="64" t="str">
        <f>IFERROR(__xludf.DUMMYFUNCTION("""COMPUTED_VALUE"""),"APOYO A DIGEF")</f>
        <v>APOYO A DIGEF</v>
      </c>
      <c r="AE36" s="64" t="str">
        <f>IFERROR(__xludf.DUMMYFUNCTION("""COMPUTED_VALUE"""),"OPERATIVO PNC TRANSITO")</f>
        <v>OPERATIVO PNC TRANSITO</v>
      </c>
      <c r="AF36" s="64" t="str">
        <f>IFERROR(__xludf.DUMMYFUNCTION("""COMPUTED_VALUE"""),"SOBRECARGA ")</f>
        <v>SOBRECARGA </v>
      </c>
      <c r="AG36" s="64" t="str">
        <f>IFERROR(__xludf.DUMMYFUNCTION("""COMPUTED_VALUE"""),"OPERATIVO EN CONJUNTO")</f>
        <v>OPERATIVO EN CONJUNTO</v>
      </c>
      <c r="AH36" s="64" t="str">
        <f>IFERROR(__xludf.DUMMYFUNCTION("""COMPUTED_VALUE"""),"PUESTO DE ATENCION AL USUARIO")</f>
        <v>PUESTO DE ATENCION AL USUARIO</v>
      </c>
      <c r="AI36" s="64" t="str">
        <f>IFERROR(__xludf.DUMMYFUNCTION("""COMPUTED_VALUE"""),"INCENDIO EN RUTA")</f>
        <v>INCENDIO EN RUTA</v>
      </c>
      <c r="AJ36" s="64" t="str">
        <f>IFERROR(__xludf.DUMMYFUNCTION("""COMPUTED_VALUE"""),"APOYO ANTORCHA ")</f>
        <v>APOYO ANTORCHA </v>
      </c>
    </row>
    <row r="37">
      <c r="B37" s="64" t="s">
        <v>38</v>
      </c>
      <c r="C37" s="64" t="str">
        <f>IFERROR(__xludf.DUMMYFUNCTION(" TRANSPOSE( unique ( QUERY(DATOPRO,""select Col2 where Col1 = '""&amp;B37&amp;""'"")))"),"ATAQUE ARMADO")</f>
        <v>ATAQUE ARMADO</v>
      </c>
      <c r="D37" s="64" t="str">
        <f>IFERROR(__xludf.DUMMYFUNCTION("""COMPUTED_VALUE"""),"DESBALANCE DE CARGA")</f>
        <v>DESBALANCE DE CARGA</v>
      </c>
      <c r="E37" s="64" t="str">
        <f>IFERROR(__xludf.DUMMYFUNCTION("""COMPUTED_VALUE"""),"PERSONA FALLECIDA")</f>
        <v>PERSONA FALLECIDA</v>
      </c>
      <c r="F37" s="64" t="str">
        <f>IFERROR(__xludf.DUMMYFUNCTION("""COMPUTED_VALUE"""),"DESPRENDIMIENTO DE NEUMATICO")</f>
        <v>DESPRENDIMIENTO DE NEUMATICO</v>
      </c>
      <c r="G37" s="64" t="str">
        <f>IFERROR(__xludf.DUMMYFUNCTION("""COMPUTED_VALUE"""),"SALIDA DE PISTA")</f>
        <v>SALIDA DE PISTA</v>
      </c>
      <c r="H37" s="64" t="str">
        <f>IFERROR(__xludf.DUMMYFUNCTION("""COMPUTED_VALUE"""),"DESPRENDIMIENTO DE CONTENEDOR")</f>
        <v>DESPRENDIMIENTO DE CONTENEDOR</v>
      </c>
      <c r="I37" s="64" t="str">
        <f>IFERROR(__xludf.DUMMYFUNCTION("""COMPUTED_VALUE"""),"CAÍDA DE CARGA")</f>
        <v>CAÍDA DE CARGA</v>
      </c>
      <c r="J37" s="64" t="str">
        <f>IFERROR(__xludf.DUMMYFUNCTION("""COMPUTED_VALUE"""),"CHOQUE")</f>
        <v>CHOQUE</v>
      </c>
      <c r="K37" s="64" t="str">
        <f>IFERROR(__xludf.DUMMYFUNCTION("""COMPUTED_VALUE"""),"COLISIÓN")</f>
        <v>COLISIÓN</v>
      </c>
      <c r="L37" s="64" t="str">
        <f>IFERROR(__xludf.DUMMYFUNCTION("""COMPUTED_VALUE"""),"COLISIÓN MÚLTIPLE")</f>
        <v>COLISIÓN MÚLTIPLE</v>
      </c>
      <c r="M37" s="64" t="str">
        <f>IFERROR(__xludf.DUMMYFUNCTION("""COMPUTED_VALUE"""),"DERRAPE")</f>
        <v>DERRAPE</v>
      </c>
      <c r="N37" s="64" t="str">
        <f>IFERROR(__xludf.DUMMYFUNCTION("""COMPUTED_VALUE"""),"VEHÍCULO INCENDIADO")</f>
        <v>VEHÍCULO INCENDIADO</v>
      </c>
      <c r="O37" s="64" t="str">
        <f>IFERROR(__xludf.DUMMYFUNCTION("""COMPUTED_VALUE"""),"VUELCO")</f>
        <v>VUELCO</v>
      </c>
      <c r="P37" s="64" t="str">
        <f>IFERROR(__xludf.DUMMYFUNCTION("""COMPUTED_VALUE"""),"DESPRENDIMIENTO")</f>
        <v>DESPRENDIMIENTO</v>
      </c>
      <c r="Q37" s="64" t="str">
        <f>IFERROR(__xludf.DUMMYFUNCTION("""COMPUTED_VALUE"""),"CAÍDA DE ÁRBOL")</f>
        <v>CAÍDA DE ÁRBOL</v>
      </c>
      <c r="R37" s="64" t="str">
        <f>IFERROR(__xludf.DUMMYFUNCTION("""COMPUTED_VALUE"""),"DESPRENDIMIENTO DE EJE")</f>
        <v>DESPRENDIMIENTO DE EJE</v>
      </c>
      <c r="S37" s="64" t="str">
        <f>IFERROR(__xludf.DUMMYFUNCTION("""COMPUTED_VALUE"""),"PERSONA ATROPELLADA")</f>
        <v>PERSONA ATROPELLADA</v>
      </c>
    </row>
    <row r="38">
      <c r="B38" s="64" t="s">
        <v>54</v>
      </c>
      <c r="C38" s="64" t="str">
        <f>IFERROR(__xludf.DUMMYFUNCTION(" TRANSPOSE( unique ( QUERY(DATOPRO,""select Col2 where Col1 = '""&amp;B38&amp;""'"")))"),"PINCHAZO")</f>
        <v>PINCHAZO</v>
      </c>
      <c r="D38" s="64" t="str">
        <f>IFERROR(__xludf.DUMMYFUNCTION("""COMPUTED_VALUE"""),"TRABAJOS DE CARRETERA")</f>
        <v>TRABAJOS DE CARRETERA</v>
      </c>
      <c r="E38" s="64" t="str">
        <f>IFERROR(__xludf.DUMMYFUNCTION("""COMPUTED_VALUE"""),"CONSIGNACIÓN")</f>
        <v>CONSIGNACIÓN</v>
      </c>
      <c r="F38" s="64" t="str">
        <f>IFERROR(__xludf.DUMMYFUNCTION("""COMPUTED_VALUE"""),"DERRAME")</f>
        <v>DERRAME</v>
      </c>
      <c r="G38" s="64" t="str">
        <f>IFERROR(__xludf.DUMMYFUNCTION("""COMPUTED_VALUE"""),"CALENTAMIENTO")</f>
        <v>CALENTAMIENTO</v>
      </c>
      <c r="H38" s="64" t="str">
        <f>IFERROR(__xludf.DUMMYFUNCTION("""COMPUTED_VALUE"""),"ESCOLTANDO")</f>
        <v>ESCOLTANDO</v>
      </c>
      <c r="I38" s="64" t="str">
        <f>IFERROR(__xludf.DUMMYFUNCTION("""COMPUTED_VALUE"""),"FALTA DE COMBUSTIBLE")</f>
        <v>FALTA DE COMBUSTIBLE</v>
      </c>
      <c r="J38" s="64" t="str">
        <f>IFERROR(__xludf.DUMMYFUNCTION("""COMPUTED_VALUE"""),"DESPERFECTOS MECÁNICOS")</f>
        <v>DESPERFECTOS MECÁNICOS</v>
      </c>
      <c r="K38" s="64" t="str">
        <f>IFERROR(__xludf.DUMMYFUNCTION("""COMPUTED_VALUE"""),"LLAMADA DE ATENCIÓN")</f>
        <v>LLAMADA DE ATENCIÓN</v>
      </c>
      <c r="L38" s="64" t="str">
        <f>IFERROR(__xludf.DUMMYFUNCTION("""COMPUTED_VALUE"""),"OPERATIVOS")</f>
        <v>OPERATIVOS</v>
      </c>
      <c r="M38" s="64" t="str">
        <f>IFERROR(__xludf.DUMMYFUNCTION("""COMPUTED_VALUE"""),"SANCIÓN")</f>
        <v>SANCIÓN</v>
      </c>
      <c r="N38" s="64" t="str">
        <f>IFERROR(__xludf.DUMMYFUNCTION("""COMPUTED_VALUE"""),"SISTEMA ELECTRICO")</f>
        <v>SISTEMA ELECTRICO</v>
      </c>
      <c r="O38" s="64" t="str">
        <f>IFERROR(__xludf.DUMMYFUNCTION("""COMPUTED_VALUE"""),"ASISTENCIA AL USUARIO")</f>
        <v>ASISTENCIA AL USUARIO</v>
      </c>
      <c r="P38" s="64" t="str">
        <f>IFERROR(__xludf.DUMMYFUNCTION("""COMPUTED_VALUE"""),"DOBLE REMOLQUE")</f>
        <v>DOBLE REMOLQUE</v>
      </c>
      <c r="Q38" s="64" t="str">
        <f>IFERROR(__xludf.DUMMYFUNCTION("""COMPUTED_VALUE"""),"SINAPRESE")</f>
        <v>SINAPRESE</v>
      </c>
      <c r="R38" s="64" t="str">
        <f>IFERROR(__xludf.DUMMYFUNCTION("""COMPUTED_VALUE"""),"APOYO ATLETISMO")</f>
        <v>APOYO ATLETISMO</v>
      </c>
      <c r="S38" s="64" t="str">
        <f>IFERROR(__xludf.DUMMYFUNCTION("""COMPUTED_VALUE"""),"APOYO A CICLISMO")</f>
        <v>APOYO A CICLISMO</v>
      </c>
      <c r="T38" s="64" t="str">
        <f>IFERROR(__xludf.DUMMYFUNCTION("""COMPUTED_VALUE"""),"DESCARGA DE BATERÍA")</f>
        <v>DESCARGA DE BATERÍA</v>
      </c>
      <c r="U38" s="64" t="str">
        <f>IFERROR(__xludf.DUMMYFUNCTION("""COMPUTED_VALUE"""),"PROBLEMAS DE SALUD")</f>
        <v>PROBLEMAS DE SALUD</v>
      </c>
      <c r="V38" s="64" t="str">
        <f>IFERROR(__xludf.DUMMYFUNCTION("""COMPUTED_VALUE"""),"OLVIDO LA LLAVE")</f>
        <v>OLVIDO LA LLAVE</v>
      </c>
      <c r="W38" s="64" t="str">
        <f>IFERROR(__xludf.DUMMYFUNCTION("""COMPUTED_VALUE"""),"CARGA SOBREDIMENSIONADA")</f>
        <v>CARGA SOBREDIMENSIONADA</v>
      </c>
      <c r="X38" s="64" t="str">
        <f>IFERROR(__xludf.DUMMYFUNCTION("""COMPUTED_VALUE"""),"VEHÍCULO ABANDONADO")</f>
        <v>VEHÍCULO ABANDONADO</v>
      </c>
      <c r="Y38" s="64" t="str">
        <f>IFERROR(__xludf.DUMMYFUNCTION("""COMPUTED_VALUE"""),"DESPRENDIMIENTO")</f>
        <v>DESPRENDIMIENTO</v>
      </c>
      <c r="Z38" s="64" t="str">
        <f>IFERROR(__xludf.DUMMYFUNCTION("""COMPUTED_VALUE"""),"CAÍDA DE POSTE")</f>
        <v>CAÍDA DE POSTE</v>
      </c>
      <c r="AA38" s="64" t="str">
        <f>IFERROR(__xludf.DUMMYFUNCTION("""COMPUTED_VALUE"""),"CAÍDA DE RAMA")</f>
        <v>CAÍDA DE RAMA</v>
      </c>
      <c r="AB38" s="64" t="str">
        <f>IFERROR(__xludf.DUMMYFUNCTION("""COMPUTED_VALUE"""),"OPERATIVO DGT")</f>
        <v>OPERATIVO DGT</v>
      </c>
      <c r="AC38" s="64" t="str">
        <f>IFERROR(__xludf.DUMMYFUNCTION("""COMPUTED_VALUE"""),"OPERATIVO PMT")</f>
        <v>OPERATIVO PMT</v>
      </c>
      <c r="AD38" s="64" t="str">
        <f>IFERROR(__xludf.DUMMYFUNCTION("""COMPUTED_VALUE"""),"APOYO A DIGEF")</f>
        <v>APOYO A DIGEF</v>
      </c>
      <c r="AE38" s="64" t="str">
        <f>IFERROR(__xludf.DUMMYFUNCTION("""COMPUTED_VALUE"""),"OPERATIVO PNC TRANSITO")</f>
        <v>OPERATIVO PNC TRANSITO</v>
      </c>
      <c r="AF38" s="64" t="str">
        <f>IFERROR(__xludf.DUMMYFUNCTION("""COMPUTED_VALUE"""),"SOBRECARGA ")</f>
        <v>SOBRECARGA </v>
      </c>
      <c r="AG38" s="64" t="str">
        <f>IFERROR(__xludf.DUMMYFUNCTION("""COMPUTED_VALUE"""),"OPERATIVO EN CONJUNTO")</f>
        <v>OPERATIVO EN CONJUNTO</v>
      </c>
      <c r="AH38" s="64" t="str">
        <f>IFERROR(__xludf.DUMMYFUNCTION("""COMPUTED_VALUE"""),"PUESTO DE ATENCION AL USUARIO")</f>
        <v>PUESTO DE ATENCION AL USUARIO</v>
      </c>
      <c r="AI38" s="64" t="str">
        <f>IFERROR(__xludf.DUMMYFUNCTION("""COMPUTED_VALUE"""),"INCENDIO EN RUTA")</f>
        <v>INCENDIO EN RUTA</v>
      </c>
      <c r="AJ38" s="64" t="str">
        <f>IFERROR(__xludf.DUMMYFUNCTION("""COMPUTED_VALUE"""),"APOYO ANTORCHA ")</f>
        <v>APOYO ANTORCHA </v>
      </c>
    </row>
    <row r="39">
      <c r="B39" s="64"/>
      <c r="C39" s="64" t="str">
        <f>IFERROR(__xludf.DUMMYFUNCTION(" TRANSPOSE( unique ( QUERY(DATOPRO,""select Col2 where Col1 = '""&amp;B39&amp;""'"")))"),"")</f>
        <v/>
      </c>
    </row>
    <row r="40">
      <c r="B40" s="64" t="s">
        <v>38</v>
      </c>
      <c r="C40" s="64" t="str">
        <f>IFERROR(__xludf.DUMMYFUNCTION(" TRANSPOSE( unique ( QUERY(DATOPRO,""select Col2 where Col1 = '""&amp;B40&amp;""'"")))"),"ATAQUE ARMADO")</f>
        <v>ATAQUE ARMADO</v>
      </c>
      <c r="D40" s="64" t="str">
        <f>IFERROR(__xludf.DUMMYFUNCTION("""COMPUTED_VALUE"""),"DESBALANCE DE CARGA")</f>
        <v>DESBALANCE DE CARGA</v>
      </c>
      <c r="E40" s="64" t="str">
        <f>IFERROR(__xludf.DUMMYFUNCTION("""COMPUTED_VALUE"""),"PERSONA FALLECIDA")</f>
        <v>PERSONA FALLECIDA</v>
      </c>
      <c r="F40" s="64" t="str">
        <f>IFERROR(__xludf.DUMMYFUNCTION("""COMPUTED_VALUE"""),"DESPRENDIMIENTO DE NEUMATICO")</f>
        <v>DESPRENDIMIENTO DE NEUMATICO</v>
      </c>
      <c r="G40" s="64" t="str">
        <f>IFERROR(__xludf.DUMMYFUNCTION("""COMPUTED_VALUE"""),"SALIDA DE PISTA")</f>
        <v>SALIDA DE PISTA</v>
      </c>
      <c r="H40" s="64" t="str">
        <f>IFERROR(__xludf.DUMMYFUNCTION("""COMPUTED_VALUE"""),"DESPRENDIMIENTO DE CONTENEDOR")</f>
        <v>DESPRENDIMIENTO DE CONTENEDOR</v>
      </c>
      <c r="I40" s="64" t="str">
        <f>IFERROR(__xludf.DUMMYFUNCTION("""COMPUTED_VALUE"""),"CAÍDA DE CARGA")</f>
        <v>CAÍDA DE CARGA</v>
      </c>
      <c r="J40" s="64" t="str">
        <f>IFERROR(__xludf.DUMMYFUNCTION("""COMPUTED_VALUE"""),"CHOQUE")</f>
        <v>CHOQUE</v>
      </c>
      <c r="K40" s="64" t="str">
        <f>IFERROR(__xludf.DUMMYFUNCTION("""COMPUTED_VALUE"""),"COLISIÓN")</f>
        <v>COLISIÓN</v>
      </c>
      <c r="L40" s="64" t="str">
        <f>IFERROR(__xludf.DUMMYFUNCTION("""COMPUTED_VALUE"""),"COLISIÓN MÚLTIPLE")</f>
        <v>COLISIÓN MÚLTIPLE</v>
      </c>
      <c r="M40" s="64" t="str">
        <f>IFERROR(__xludf.DUMMYFUNCTION("""COMPUTED_VALUE"""),"DERRAPE")</f>
        <v>DERRAPE</v>
      </c>
      <c r="N40" s="64" t="str">
        <f>IFERROR(__xludf.DUMMYFUNCTION("""COMPUTED_VALUE"""),"VEHÍCULO INCENDIADO")</f>
        <v>VEHÍCULO INCENDIADO</v>
      </c>
      <c r="O40" s="64" t="str">
        <f>IFERROR(__xludf.DUMMYFUNCTION("""COMPUTED_VALUE"""),"VUELCO")</f>
        <v>VUELCO</v>
      </c>
      <c r="P40" s="64" t="str">
        <f>IFERROR(__xludf.DUMMYFUNCTION("""COMPUTED_VALUE"""),"DESPRENDIMIENTO")</f>
        <v>DESPRENDIMIENTO</v>
      </c>
      <c r="Q40" s="64" t="str">
        <f>IFERROR(__xludf.DUMMYFUNCTION("""COMPUTED_VALUE"""),"CAÍDA DE ÁRBOL")</f>
        <v>CAÍDA DE ÁRBOL</v>
      </c>
      <c r="R40" s="64" t="str">
        <f>IFERROR(__xludf.DUMMYFUNCTION("""COMPUTED_VALUE"""),"DESPRENDIMIENTO DE EJE")</f>
        <v>DESPRENDIMIENTO DE EJE</v>
      </c>
      <c r="S40" s="64" t="str">
        <f>IFERROR(__xludf.DUMMYFUNCTION("""COMPUTED_VALUE"""),"PERSONA ATROPELLADA")</f>
        <v>PERSONA ATROPELLADA</v>
      </c>
    </row>
    <row r="41">
      <c r="B41" s="64" t="s">
        <v>54</v>
      </c>
      <c r="C41" s="64" t="str">
        <f>IFERROR(__xludf.DUMMYFUNCTION(" TRANSPOSE( unique ( QUERY(DATOPRO,""select Col2 where Col1 = '""&amp;B41&amp;""'"")))"),"PINCHAZO")</f>
        <v>PINCHAZO</v>
      </c>
      <c r="D41" s="64" t="str">
        <f>IFERROR(__xludf.DUMMYFUNCTION("""COMPUTED_VALUE"""),"TRABAJOS DE CARRETERA")</f>
        <v>TRABAJOS DE CARRETERA</v>
      </c>
      <c r="E41" s="64" t="str">
        <f>IFERROR(__xludf.DUMMYFUNCTION("""COMPUTED_VALUE"""),"CONSIGNACIÓN")</f>
        <v>CONSIGNACIÓN</v>
      </c>
      <c r="F41" s="64" t="str">
        <f>IFERROR(__xludf.DUMMYFUNCTION("""COMPUTED_VALUE"""),"DERRAME")</f>
        <v>DERRAME</v>
      </c>
      <c r="G41" s="64" t="str">
        <f>IFERROR(__xludf.DUMMYFUNCTION("""COMPUTED_VALUE"""),"CALENTAMIENTO")</f>
        <v>CALENTAMIENTO</v>
      </c>
      <c r="H41" s="64" t="str">
        <f>IFERROR(__xludf.DUMMYFUNCTION("""COMPUTED_VALUE"""),"ESCOLTANDO")</f>
        <v>ESCOLTANDO</v>
      </c>
      <c r="I41" s="64" t="str">
        <f>IFERROR(__xludf.DUMMYFUNCTION("""COMPUTED_VALUE"""),"FALTA DE COMBUSTIBLE")</f>
        <v>FALTA DE COMBUSTIBLE</v>
      </c>
      <c r="J41" s="64" t="str">
        <f>IFERROR(__xludf.DUMMYFUNCTION("""COMPUTED_VALUE"""),"DESPERFECTOS MECÁNICOS")</f>
        <v>DESPERFECTOS MECÁNICOS</v>
      </c>
      <c r="K41" s="64" t="str">
        <f>IFERROR(__xludf.DUMMYFUNCTION("""COMPUTED_VALUE"""),"LLAMADA DE ATENCIÓN")</f>
        <v>LLAMADA DE ATENCIÓN</v>
      </c>
      <c r="L41" s="64" t="str">
        <f>IFERROR(__xludf.DUMMYFUNCTION("""COMPUTED_VALUE"""),"OPERATIVOS")</f>
        <v>OPERATIVOS</v>
      </c>
      <c r="M41" s="64" t="str">
        <f>IFERROR(__xludf.DUMMYFUNCTION("""COMPUTED_VALUE"""),"SANCIÓN")</f>
        <v>SANCIÓN</v>
      </c>
      <c r="N41" s="64" t="str">
        <f>IFERROR(__xludf.DUMMYFUNCTION("""COMPUTED_VALUE"""),"SISTEMA ELECTRICO")</f>
        <v>SISTEMA ELECTRICO</v>
      </c>
      <c r="O41" s="64" t="str">
        <f>IFERROR(__xludf.DUMMYFUNCTION("""COMPUTED_VALUE"""),"ASISTENCIA AL USUARIO")</f>
        <v>ASISTENCIA AL USUARIO</v>
      </c>
      <c r="P41" s="64" t="str">
        <f>IFERROR(__xludf.DUMMYFUNCTION("""COMPUTED_VALUE"""),"DOBLE REMOLQUE")</f>
        <v>DOBLE REMOLQUE</v>
      </c>
      <c r="Q41" s="64" t="str">
        <f>IFERROR(__xludf.DUMMYFUNCTION("""COMPUTED_VALUE"""),"SINAPRESE")</f>
        <v>SINAPRESE</v>
      </c>
      <c r="R41" s="64" t="str">
        <f>IFERROR(__xludf.DUMMYFUNCTION("""COMPUTED_VALUE"""),"APOYO ATLETISMO")</f>
        <v>APOYO ATLETISMO</v>
      </c>
      <c r="S41" s="64" t="str">
        <f>IFERROR(__xludf.DUMMYFUNCTION("""COMPUTED_VALUE"""),"APOYO A CICLISMO")</f>
        <v>APOYO A CICLISMO</v>
      </c>
      <c r="T41" s="64" t="str">
        <f>IFERROR(__xludf.DUMMYFUNCTION("""COMPUTED_VALUE"""),"DESCARGA DE BATERÍA")</f>
        <v>DESCARGA DE BATERÍA</v>
      </c>
      <c r="U41" s="64" t="str">
        <f>IFERROR(__xludf.DUMMYFUNCTION("""COMPUTED_VALUE"""),"PROBLEMAS DE SALUD")</f>
        <v>PROBLEMAS DE SALUD</v>
      </c>
      <c r="V41" s="64" t="str">
        <f>IFERROR(__xludf.DUMMYFUNCTION("""COMPUTED_VALUE"""),"OLVIDO LA LLAVE")</f>
        <v>OLVIDO LA LLAVE</v>
      </c>
      <c r="W41" s="64" t="str">
        <f>IFERROR(__xludf.DUMMYFUNCTION("""COMPUTED_VALUE"""),"CARGA SOBREDIMENSIONADA")</f>
        <v>CARGA SOBREDIMENSIONADA</v>
      </c>
      <c r="X41" s="64" t="str">
        <f>IFERROR(__xludf.DUMMYFUNCTION("""COMPUTED_VALUE"""),"VEHÍCULO ABANDONADO")</f>
        <v>VEHÍCULO ABANDONADO</v>
      </c>
      <c r="Y41" s="64" t="str">
        <f>IFERROR(__xludf.DUMMYFUNCTION("""COMPUTED_VALUE"""),"DESPRENDIMIENTO")</f>
        <v>DESPRENDIMIENTO</v>
      </c>
      <c r="Z41" s="64" t="str">
        <f>IFERROR(__xludf.DUMMYFUNCTION("""COMPUTED_VALUE"""),"CAÍDA DE POSTE")</f>
        <v>CAÍDA DE POSTE</v>
      </c>
      <c r="AA41" s="64" t="str">
        <f>IFERROR(__xludf.DUMMYFUNCTION("""COMPUTED_VALUE"""),"CAÍDA DE RAMA")</f>
        <v>CAÍDA DE RAMA</v>
      </c>
      <c r="AB41" s="64" t="str">
        <f>IFERROR(__xludf.DUMMYFUNCTION("""COMPUTED_VALUE"""),"OPERATIVO DGT")</f>
        <v>OPERATIVO DGT</v>
      </c>
      <c r="AC41" s="64" t="str">
        <f>IFERROR(__xludf.DUMMYFUNCTION("""COMPUTED_VALUE"""),"OPERATIVO PMT")</f>
        <v>OPERATIVO PMT</v>
      </c>
      <c r="AD41" s="64" t="str">
        <f>IFERROR(__xludf.DUMMYFUNCTION("""COMPUTED_VALUE"""),"APOYO A DIGEF")</f>
        <v>APOYO A DIGEF</v>
      </c>
      <c r="AE41" s="64" t="str">
        <f>IFERROR(__xludf.DUMMYFUNCTION("""COMPUTED_VALUE"""),"OPERATIVO PNC TRANSITO")</f>
        <v>OPERATIVO PNC TRANSITO</v>
      </c>
      <c r="AF41" s="64" t="str">
        <f>IFERROR(__xludf.DUMMYFUNCTION("""COMPUTED_VALUE"""),"SOBRECARGA ")</f>
        <v>SOBRECARGA </v>
      </c>
      <c r="AG41" s="64" t="str">
        <f>IFERROR(__xludf.DUMMYFUNCTION("""COMPUTED_VALUE"""),"OPERATIVO EN CONJUNTO")</f>
        <v>OPERATIVO EN CONJUNTO</v>
      </c>
      <c r="AH41" s="64" t="str">
        <f>IFERROR(__xludf.DUMMYFUNCTION("""COMPUTED_VALUE"""),"PUESTO DE ATENCION AL USUARIO")</f>
        <v>PUESTO DE ATENCION AL USUARIO</v>
      </c>
      <c r="AI41" s="64" t="str">
        <f>IFERROR(__xludf.DUMMYFUNCTION("""COMPUTED_VALUE"""),"INCENDIO EN RUTA")</f>
        <v>INCENDIO EN RUTA</v>
      </c>
      <c r="AJ41" s="64" t="str">
        <f>IFERROR(__xludf.DUMMYFUNCTION("""COMPUTED_VALUE"""),"APOYO ANTORCHA ")</f>
        <v>APOYO ANTORCHA </v>
      </c>
    </row>
    <row r="42">
      <c r="B42" s="64" t="s">
        <v>54</v>
      </c>
      <c r="C42" s="64" t="str">
        <f>IFERROR(__xludf.DUMMYFUNCTION(" TRANSPOSE( unique ( QUERY(DATOPRO,""select Col2 where Col1 = '""&amp;B42&amp;""'"")))"),"PINCHAZO")</f>
        <v>PINCHAZO</v>
      </c>
      <c r="D42" s="64" t="str">
        <f>IFERROR(__xludf.DUMMYFUNCTION("""COMPUTED_VALUE"""),"TRABAJOS DE CARRETERA")</f>
        <v>TRABAJOS DE CARRETERA</v>
      </c>
      <c r="E42" s="64" t="str">
        <f>IFERROR(__xludf.DUMMYFUNCTION("""COMPUTED_VALUE"""),"CONSIGNACIÓN")</f>
        <v>CONSIGNACIÓN</v>
      </c>
      <c r="F42" s="64" t="str">
        <f>IFERROR(__xludf.DUMMYFUNCTION("""COMPUTED_VALUE"""),"DERRAME")</f>
        <v>DERRAME</v>
      </c>
      <c r="G42" s="64" t="str">
        <f>IFERROR(__xludf.DUMMYFUNCTION("""COMPUTED_VALUE"""),"CALENTAMIENTO")</f>
        <v>CALENTAMIENTO</v>
      </c>
      <c r="H42" s="64" t="str">
        <f>IFERROR(__xludf.DUMMYFUNCTION("""COMPUTED_VALUE"""),"ESCOLTANDO")</f>
        <v>ESCOLTANDO</v>
      </c>
      <c r="I42" s="64" t="str">
        <f>IFERROR(__xludf.DUMMYFUNCTION("""COMPUTED_VALUE"""),"FALTA DE COMBUSTIBLE")</f>
        <v>FALTA DE COMBUSTIBLE</v>
      </c>
      <c r="J42" s="64" t="str">
        <f>IFERROR(__xludf.DUMMYFUNCTION("""COMPUTED_VALUE"""),"DESPERFECTOS MECÁNICOS")</f>
        <v>DESPERFECTOS MECÁNICOS</v>
      </c>
      <c r="K42" s="64" t="str">
        <f>IFERROR(__xludf.DUMMYFUNCTION("""COMPUTED_VALUE"""),"LLAMADA DE ATENCIÓN")</f>
        <v>LLAMADA DE ATENCIÓN</v>
      </c>
      <c r="L42" s="64" t="str">
        <f>IFERROR(__xludf.DUMMYFUNCTION("""COMPUTED_VALUE"""),"OPERATIVOS")</f>
        <v>OPERATIVOS</v>
      </c>
      <c r="M42" s="64" t="str">
        <f>IFERROR(__xludf.DUMMYFUNCTION("""COMPUTED_VALUE"""),"SANCIÓN")</f>
        <v>SANCIÓN</v>
      </c>
      <c r="N42" s="64" t="str">
        <f>IFERROR(__xludf.DUMMYFUNCTION("""COMPUTED_VALUE"""),"SISTEMA ELECTRICO")</f>
        <v>SISTEMA ELECTRICO</v>
      </c>
      <c r="O42" s="64" t="str">
        <f>IFERROR(__xludf.DUMMYFUNCTION("""COMPUTED_VALUE"""),"ASISTENCIA AL USUARIO")</f>
        <v>ASISTENCIA AL USUARIO</v>
      </c>
      <c r="P42" s="64" t="str">
        <f>IFERROR(__xludf.DUMMYFUNCTION("""COMPUTED_VALUE"""),"DOBLE REMOLQUE")</f>
        <v>DOBLE REMOLQUE</v>
      </c>
      <c r="Q42" s="64" t="str">
        <f>IFERROR(__xludf.DUMMYFUNCTION("""COMPUTED_VALUE"""),"SINAPRESE")</f>
        <v>SINAPRESE</v>
      </c>
      <c r="R42" s="64" t="str">
        <f>IFERROR(__xludf.DUMMYFUNCTION("""COMPUTED_VALUE"""),"APOYO ATLETISMO")</f>
        <v>APOYO ATLETISMO</v>
      </c>
      <c r="S42" s="64" t="str">
        <f>IFERROR(__xludf.DUMMYFUNCTION("""COMPUTED_VALUE"""),"APOYO A CICLISMO")</f>
        <v>APOYO A CICLISMO</v>
      </c>
      <c r="T42" s="64" t="str">
        <f>IFERROR(__xludf.DUMMYFUNCTION("""COMPUTED_VALUE"""),"DESCARGA DE BATERÍA")</f>
        <v>DESCARGA DE BATERÍA</v>
      </c>
      <c r="U42" s="64" t="str">
        <f>IFERROR(__xludf.DUMMYFUNCTION("""COMPUTED_VALUE"""),"PROBLEMAS DE SALUD")</f>
        <v>PROBLEMAS DE SALUD</v>
      </c>
      <c r="V42" s="64" t="str">
        <f>IFERROR(__xludf.DUMMYFUNCTION("""COMPUTED_VALUE"""),"OLVIDO LA LLAVE")</f>
        <v>OLVIDO LA LLAVE</v>
      </c>
      <c r="W42" s="64" t="str">
        <f>IFERROR(__xludf.DUMMYFUNCTION("""COMPUTED_VALUE"""),"CARGA SOBREDIMENSIONADA")</f>
        <v>CARGA SOBREDIMENSIONADA</v>
      </c>
      <c r="X42" s="64" t="str">
        <f>IFERROR(__xludf.DUMMYFUNCTION("""COMPUTED_VALUE"""),"VEHÍCULO ABANDONADO")</f>
        <v>VEHÍCULO ABANDONADO</v>
      </c>
      <c r="Y42" s="64" t="str">
        <f>IFERROR(__xludf.DUMMYFUNCTION("""COMPUTED_VALUE"""),"DESPRENDIMIENTO")</f>
        <v>DESPRENDIMIENTO</v>
      </c>
      <c r="Z42" s="64" t="str">
        <f>IFERROR(__xludf.DUMMYFUNCTION("""COMPUTED_VALUE"""),"CAÍDA DE POSTE")</f>
        <v>CAÍDA DE POSTE</v>
      </c>
      <c r="AA42" s="64" t="str">
        <f>IFERROR(__xludf.DUMMYFUNCTION("""COMPUTED_VALUE"""),"CAÍDA DE RAMA")</f>
        <v>CAÍDA DE RAMA</v>
      </c>
      <c r="AB42" s="64" t="str">
        <f>IFERROR(__xludf.DUMMYFUNCTION("""COMPUTED_VALUE"""),"OPERATIVO DGT")</f>
        <v>OPERATIVO DGT</v>
      </c>
      <c r="AC42" s="64" t="str">
        <f>IFERROR(__xludf.DUMMYFUNCTION("""COMPUTED_VALUE"""),"OPERATIVO PMT")</f>
        <v>OPERATIVO PMT</v>
      </c>
      <c r="AD42" s="64" t="str">
        <f>IFERROR(__xludf.DUMMYFUNCTION("""COMPUTED_VALUE"""),"APOYO A DIGEF")</f>
        <v>APOYO A DIGEF</v>
      </c>
      <c r="AE42" s="64" t="str">
        <f>IFERROR(__xludf.DUMMYFUNCTION("""COMPUTED_VALUE"""),"OPERATIVO PNC TRANSITO")</f>
        <v>OPERATIVO PNC TRANSITO</v>
      </c>
      <c r="AF42" s="64" t="str">
        <f>IFERROR(__xludf.DUMMYFUNCTION("""COMPUTED_VALUE"""),"SOBRECARGA ")</f>
        <v>SOBRECARGA </v>
      </c>
      <c r="AG42" s="64" t="str">
        <f>IFERROR(__xludf.DUMMYFUNCTION("""COMPUTED_VALUE"""),"OPERATIVO EN CONJUNTO")</f>
        <v>OPERATIVO EN CONJUNTO</v>
      </c>
      <c r="AH42" s="64" t="str">
        <f>IFERROR(__xludf.DUMMYFUNCTION("""COMPUTED_VALUE"""),"PUESTO DE ATENCION AL USUARIO")</f>
        <v>PUESTO DE ATENCION AL USUARIO</v>
      </c>
      <c r="AI42" s="64" t="str">
        <f>IFERROR(__xludf.DUMMYFUNCTION("""COMPUTED_VALUE"""),"INCENDIO EN RUTA")</f>
        <v>INCENDIO EN RUTA</v>
      </c>
      <c r="AJ42" s="64" t="str">
        <f>IFERROR(__xludf.DUMMYFUNCTION("""COMPUTED_VALUE"""),"APOYO ANTORCHA ")</f>
        <v>APOYO ANTORCHA </v>
      </c>
    </row>
    <row r="43">
      <c r="B43" s="64" t="s">
        <v>54</v>
      </c>
      <c r="C43" s="64" t="str">
        <f>IFERROR(__xludf.DUMMYFUNCTION(" TRANSPOSE( unique ( QUERY(DATOPRO,""select Col2 where Col1 = '""&amp;B43&amp;""'"")))"),"PINCHAZO")</f>
        <v>PINCHAZO</v>
      </c>
      <c r="D43" s="64" t="str">
        <f>IFERROR(__xludf.DUMMYFUNCTION("""COMPUTED_VALUE"""),"TRABAJOS DE CARRETERA")</f>
        <v>TRABAJOS DE CARRETERA</v>
      </c>
      <c r="E43" s="64" t="str">
        <f>IFERROR(__xludf.DUMMYFUNCTION("""COMPUTED_VALUE"""),"CONSIGNACIÓN")</f>
        <v>CONSIGNACIÓN</v>
      </c>
      <c r="F43" s="64" t="str">
        <f>IFERROR(__xludf.DUMMYFUNCTION("""COMPUTED_VALUE"""),"DERRAME")</f>
        <v>DERRAME</v>
      </c>
      <c r="G43" s="64" t="str">
        <f>IFERROR(__xludf.DUMMYFUNCTION("""COMPUTED_VALUE"""),"CALENTAMIENTO")</f>
        <v>CALENTAMIENTO</v>
      </c>
      <c r="H43" s="64" t="str">
        <f>IFERROR(__xludf.DUMMYFUNCTION("""COMPUTED_VALUE"""),"ESCOLTANDO")</f>
        <v>ESCOLTANDO</v>
      </c>
      <c r="I43" s="64" t="str">
        <f>IFERROR(__xludf.DUMMYFUNCTION("""COMPUTED_VALUE"""),"FALTA DE COMBUSTIBLE")</f>
        <v>FALTA DE COMBUSTIBLE</v>
      </c>
      <c r="J43" s="64" t="str">
        <f>IFERROR(__xludf.DUMMYFUNCTION("""COMPUTED_VALUE"""),"DESPERFECTOS MECÁNICOS")</f>
        <v>DESPERFECTOS MECÁNICOS</v>
      </c>
      <c r="K43" s="64" t="str">
        <f>IFERROR(__xludf.DUMMYFUNCTION("""COMPUTED_VALUE"""),"LLAMADA DE ATENCIÓN")</f>
        <v>LLAMADA DE ATENCIÓN</v>
      </c>
      <c r="L43" s="64" t="str">
        <f>IFERROR(__xludf.DUMMYFUNCTION("""COMPUTED_VALUE"""),"OPERATIVOS")</f>
        <v>OPERATIVOS</v>
      </c>
      <c r="M43" s="64" t="str">
        <f>IFERROR(__xludf.DUMMYFUNCTION("""COMPUTED_VALUE"""),"SANCIÓN")</f>
        <v>SANCIÓN</v>
      </c>
      <c r="N43" s="64" t="str">
        <f>IFERROR(__xludf.DUMMYFUNCTION("""COMPUTED_VALUE"""),"SISTEMA ELECTRICO")</f>
        <v>SISTEMA ELECTRICO</v>
      </c>
      <c r="O43" s="64" t="str">
        <f>IFERROR(__xludf.DUMMYFUNCTION("""COMPUTED_VALUE"""),"ASISTENCIA AL USUARIO")</f>
        <v>ASISTENCIA AL USUARIO</v>
      </c>
      <c r="P43" s="64" t="str">
        <f>IFERROR(__xludf.DUMMYFUNCTION("""COMPUTED_VALUE"""),"DOBLE REMOLQUE")</f>
        <v>DOBLE REMOLQUE</v>
      </c>
      <c r="Q43" s="64" t="str">
        <f>IFERROR(__xludf.DUMMYFUNCTION("""COMPUTED_VALUE"""),"SINAPRESE")</f>
        <v>SINAPRESE</v>
      </c>
      <c r="R43" s="64" t="str">
        <f>IFERROR(__xludf.DUMMYFUNCTION("""COMPUTED_VALUE"""),"APOYO ATLETISMO")</f>
        <v>APOYO ATLETISMO</v>
      </c>
      <c r="S43" s="64" t="str">
        <f>IFERROR(__xludf.DUMMYFUNCTION("""COMPUTED_VALUE"""),"APOYO A CICLISMO")</f>
        <v>APOYO A CICLISMO</v>
      </c>
      <c r="T43" s="64" t="str">
        <f>IFERROR(__xludf.DUMMYFUNCTION("""COMPUTED_VALUE"""),"DESCARGA DE BATERÍA")</f>
        <v>DESCARGA DE BATERÍA</v>
      </c>
      <c r="U43" s="64" t="str">
        <f>IFERROR(__xludf.DUMMYFUNCTION("""COMPUTED_VALUE"""),"PROBLEMAS DE SALUD")</f>
        <v>PROBLEMAS DE SALUD</v>
      </c>
      <c r="V43" s="64" t="str">
        <f>IFERROR(__xludf.DUMMYFUNCTION("""COMPUTED_VALUE"""),"OLVIDO LA LLAVE")</f>
        <v>OLVIDO LA LLAVE</v>
      </c>
      <c r="W43" s="64" t="str">
        <f>IFERROR(__xludf.DUMMYFUNCTION("""COMPUTED_VALUE"""),"CARGA SOBREDIMENSIONADA")</f>
        <v>CARGA SOBREDIMENSIONADA</v>
      </c>
      <c r="X43" s="64" t="str">
        <f>IFERROR(__xludf.DUMMYFUNCTION("""COMPUTED_VALUE"""),"VEHÍCULO ABANDONADO")</f>
        <v>VEHÍCULO ABANDONADO</v>
      </c>
      <c r="Y43" s="64" t="str">
        <f>IFERROR(__xludf.DUMMYFUNCTION("""COMPUTED_VALUE"""),"DESPRENDIMIENTO")</f>
        <v>DESPRENDIMIENTO</v>
      </c>
      <c r="Z43" s="64" t="str">
        <f>IFERROR(__xludf.DUMMYFUNCTION("""COMPUTED_VALUE"""),"CAÍDA DE POSTE")</f>
        <v>CAÍDA DE POSTE</v>
      </c>
      <c r="AA43" s="64" t="str">
        <f>IFERROR(__xludf.DUMMYFUNCTION("""COMPUTED_VALUE"""),"CAÍDA DE RAMA")</f>
        <v>CAÍDA DE RAMA</v>
      </c>
      <c r="AB43" s="64" t="str">
        <f>IFERROR(__xludf.DUMMYFUNCTION("""COMPUTED_VALUE"""),"OPERATIVO DGT")</f>
        <v>OPERATIVO DGT</v>
      </c>
      <c r="AC43" s="64" t="str">
        <f>IFERROR(__xludf.DUMMYFUNCTION("""COMPUTED_VALUE"""),"OPERATIVO PMT")</f>
        <v>OPERATIVO PMT</v>
      </c>
      <c r="AD43" s="64" t="str">
        <f>IFERROR(__xludf.DUMMYFUNCTION("""COMPUTED_VALUE"""),"APOYO A DIGEF")</f>
        <v>APOYO A DIGEF</v>
      </c>
      <c r="AE43" s="64" t="str">
        <f>IFERROR(__xludf.DUMMYFUNCTION("""COMPUTED_VALUE"""),"OPERATIVO PNC TRANSITO")</f>
        <v>OPERATIVO PNC TRANSITO</v>
      </c>
      <c r="AF43" s="64" t="str">
        <f>IFERROR(__xludf.DUMMYFUNCTION("""COMPUTED_VALUE"""),"SOBRECARGA ")</f>
        <v>SOBRECARGA </v>
      </c>
      <c r="AG43" s="64" t="str">
        <f>IFERROR(__xludf.DUMMYFUNCTION("""COMPUTED_VALUE"""),"OPERATIVO EN CONJUNTO")</f>
        <v>OPERATIVO EN CONJUNTO</v>
      </c>
      <c r="AH43" s="64" t="str">
        <f>IFERROR(__xludf.DUMMYFUNCTION("""COMPUTED_VALUE"""),"PUESTO DE ATENCION AL USUARIO")</f>
        <v>PUESTO DE ATENCION AL USUARIO</v>
      </c>
      <c r="AI43" s="64" t="str">
        <f>IFERROR(__xludf.DUMMYFUNCTION("""COMPUTED_VALUE"""),"INCENDIO EN RUTA")</f>
        <v>INCENDIO EN RUTA</v>
      </c>
      <c r="AJ43" s="64" t="str">
        <f>IFERROR(__xludf.DUMMYFUNCTION("""COMPUTED_VALUE"""),"APOYO ANTORCHA ")</f>
        <v>APOYO ANTORCHA </v>
      </c>
    </row>
    <row r="44">
      <c r="B44" s="64" t="s">
        <v>54</v>
      </c>
      <c r="C44" s="64" t="str">
        <f>IFERROR(__xludf.DUMMYFUNCTION(" TRANSPOSE( unique ( QUERY(DATOPRO,""select Col2 where Col1 = '""&amp;B44&amp;""'"")))"),"PINCHAZO")</f>
        <v>PINCHAZO</v>
      </c>
      <c r="D44" s="64" t="str">
        <f>IFERROR(__xludf.DUMMYFUNCTION("""COMPUTED_VALUE"""),"TRABAJOS DE CARRETERA")</f>
        <v>TRABAJOS DE CARRETERA</v>
      </c>
      <c r="E44" s="64" t="str">
        <f>IFERROR(__xludf.DUMMYFUNCTION("""COMPUTED_VALUE"""),"CONSIGNACIÓN")</f>
        <v>CONSIGNACIÓN</v>
      </c>
      <c r="F44" s="64" t="str">
        <f>IFERROR(__xludf.DUMMYFUNCTION("""COMPUTED_VALUE"""),"DERRAME")</f>
        <v>DERRAME</v>
      </c>
      <c r="G44" s="64" t="str">
        <f>IFERROR(__xludf.DUMMYFUNCTION("""COMPUTED_VALUE"""),"CALENTAMIENTO")</f>
        <v>CALENTAMIENTO</v>
      </c>
      <c r="H44" s="64" t="str">
        <f>IFERROR(__xludf.DUMMYFUNCTION("""COMPUTED_VALUE"""),"ESCOLTANDO")</f>
        <v>ESCOLTANDO</v>
      </c>
      <c r="I44" s="64" t="str">
        <f>IFERROR(__xludf.DUMMYFUNCTION("""COMPUTED_VALUE"""),"FALTA DE COMBUSTIBLE")</f>
        <v>FALTA DE COMBUSTIBLE</v>
      </c>
      <c r="J44" s="64" t="str">
        <f>IFERROR(__xludf.DUMMYFUNCTION("""COMPUTED_VALUE"""),"DESPERFECTOS MECÁNICOS")</f>
        <v>DESPERFECTOS MECÁNICOS</v>
      </c>
      <c r="K44" s="64" t="str">
        <f>IFERROR(__xludf.DUMMYFUNCTION("""COMPUTED_VALUE"""),"LLAMADA DE ATENCIÓN")</f>
        <v>LLAMADA DE ATENCIÓN</v>
      </c>
      <c r="L44" s="64" t="str">
        <f>IFERROR(__xludf.DUMMYFUNCTION("""COMPUTED_VALUE"""),"OPERATIVOS")</f>
        <v>OPERATIVOS</v>
      </c>
      <c r="M44" s="64" t="str">
        <f>IFERROR(__xludf.DUMMYFUNCTION("""COMPUTED_VALUE"""),"SANCIÓN")</f>
        <v>SANCIÓN</v>
      </c>
      <c r="N44" s="64" t="str">
        <f>IFERROR(__xludf.DUMMYFUNCTION("""COMPUTED_VALUE"""),"SISTEMA ELECTRICO")</f>
        <v>SISTEMA ELECTRICO</v>
      </c>
      <c r="O44" s="64" t="str">
        <f>IFERROR(__xludf.DUMMYFUNCTION("""COMPUTED_VALUE"""),"ASISTENCIA AL USUARIO")</f>
        <v>ASISTENCIA AL USUARIO</v>
      </c>
      <c r="P44" s="64" t="str">
        <f>IFERROR(__xludf.DUMMYFUNCTION("""COMPUTED_VALUE"""),"DOBLE REMOLQUE")</f>
        <v>DOBLE REMOLQUE</v>
      </c>
      <c r="Q44" s="64" t="str">
        <f>IFERROR(__xludf.DUMMYFUNCTION("""COMPUTED_VALUE"""),"SINAPRESE")</f>
        <v>SINAPRESE</v>
      </c>
      <c r="R44" s="64" t="str">
        <f>IFERROR(__xludf.DUMMYFUNCTION("""COMPUTED_VALUE"""),"APOYO ATLETISMO")</f>
        <v>APOYO ATLETISMO</v>
      </c>
      <c r="S44" s="64" t="str">
        <f>IFERROR(__xludf.DUMMYFUNCTION("""COMPUTED_VALUE"""),"APOYO A CICLISMO")</f>
        <v>APOYO A CICLISMO</v>
      </c>
      <c r="T44" s="64" t="str">
        <f>IFERROR(__xludf.DUMMYFUNCTION("""COMPUTED_VALUE"""),"DESCARGA DE BATERÍA")</f>
        <v>DESCARGA DE BATERÍA</v>
      </c>
      <c r="U44" s="64" t="str">
        <f>IFERROR(__xludf.DUMMYFUNCTION("""COMPUTED_VALUE"""),"PROBLEMAS DE SALUD")</f>
        <v>PROBLEMAS DE SALUD</v>
      </c>
      <c r="V44" s="64" t="str">
        <f>IFERROR(__xludf.DUMMYFUNCTION("""COMPUTED_VALUE"""),"OLVIDO LA LLAVE")</f>
        <v>OLVIDO LA LLAVE</v>
      </c>
      <c r="W44" s="64" t="str">
        <f>IFERROR(__xludf.DUMMYFUNCTION("""COMPUTED_VALUE"""),"CARGA SOBREDIMENSIONADA")</f>
        <v>CARGA SOBREDIMENSIONADA</v>
      </c>
      <c r="X44" s="64" t="str">
        <f>IFERROR(__xludf.DUMMYFUNCTION("""COMPUTED_VALUE"""),"VEHÍCULO ABANDONADO")</f>
        <v>VEHÍCULO ABANDONADO</v>
      </c>
      <c r="Y44" s="64" t="str">
        <f>IFERROR(__xludf.DUMMYFUNCTION("""COMPUTED_VALUE"""),"DESPRENDIMIENTO")</f>
        <v>DESPRENDIMIENTO</v>
      </c>
      <c r="Z44" s="64" t="str">
        <f>IFERROR(__xludf.DUMMYFUNCTION("""COMPUTED_VALUE"""),"CAÍDA DE POSTE")</f>
        <v>CAÍDA DE POSTE</v>
      </c>
      <c r="AA44" s="64" t="str">
        <f>IFERROR(__xludf.DUMMYFUNCTION("""COMPUTED_VALUE"""),"CAÍDA DE RAMA")</f>
        <v>CAÍDA DE RAMA</v>
      </c>
      <c r="AB44" s="64" t="str">
        <f>IFERROR(__xludf.DUMMYFUNCTION("""COMPUTED_VALUE"""),"OPERATIVO DGT")</f>
        <v>OPERATIVO DGT</v>
      </c>
      <c r="AC44" s="64" t="str">
        <f>IFERROR(__xludf.DUMMYFUNCTION("""COMPUTED_VALUE"""),"OPERATIVO PMT")</f>
        <v>OPERATIVO PMT</v>
      </c>
      <c r="AD44" s="64" t="str">
        <f>IFERROR(__xludf.DUMMYFUNCTION("""COMPUTED_VALUE"""),"APOYO A DIGEF")</f>
        <v>APOYO A DIGEF</v>
      </c>
      <c r="AE44" s="64" t="str">
        <f>IFERROR(__xludf.DUMMYFUNCTION("""COMPUTED_VALUE"""),"OPERATIVO PNC TRANSITO")</f>
        <v>OPERATIVO PNC TRANSITO</v>
      </c>
      <c r="AF44" s="64" t="str">
        <f>IFERROR(__xludf.DUMMYFUNCTION("""COMPUTED_VALUE"""),"SOBRECARGA ")</f>
        <v>SOBRECARGA </v>
      </c>
      <c r="AG44" s="64" t="str">
        <f>IFERROR(__xludf.DUMMYFUNCTION("""COMPUTED_VALUE"""),"OPERATIVO EN CONJUNTO")</f>
        <v>OPERATIVO EN CONJUNTO</v>
      </c>
      <c r="AH44" s="64" t="str">
        <f>IFERROR(__xludf.DUMMYFUNCTION("""COMPUTED_VALUE"""),"PUESTO DE ATENCION AL USUARIO")</f>
        <v>PUESTO DE ATENCION AL USUARIO</v>
      </c>
      <c r="AI44" s="64" t="str">
        <f>IFERROR(__xludf.DUMMYFUNCTION("""COMPUTED_VALUE"""),"INCENDIO EN RUTA")</f>
        <v>INCENDIO EN RUTA</v>
      </c>
      <c r="AJ44" s="64" t="str">
        <f>IFERROR(__xludf.DUMMYFUNCTION("""COMPUTED_VALUE"""),"APOYO ANTORCHA ")</f>
        <v>APOYO ANTORCHA </v>
      </c>
    </row>
    <row r="45">
      <c r="B45" s="64" t="s">
        <v>54</v>
      </c>
      <c r="C45" s="64" t="str">
        <f>IFERROR(__xludf.DUMMYFUNCTION(" TRANSPOSE( unique ( QUERY(DATOPRO,""select Col2 where Col1 = '""&amp;B45&amp;""'"")))"),"PINCHAZO")</f>
        <v>PINCHAZO</v>
      </c>
      <c r="D45" s="64" t="str">
        <f>IFERROR(__xludf.DUMMYFUNCTION("""COMPUTED_VALUE"""),"TRABAJOS DE CARRETERA")</f>
        <v>TRABAJOS DE CARRETERA</v>
      </c>
      <c r="E45" s="64" t="str">
        <f>IFERROR(__xludf.DUMMYFUNCTION("""COMPUTED_VALUE"""),"CONSIGNACIÓN")</f>
        <v>CONSIGNACIÓN</v>
      </c>
      <c r="F45" s="64" t="str">
        <f>IFERROR(__xludf.DUMMYFUNCTION("""COMPUTED_VALUE"""),"DERRAME")</f>
        <v>DERRAME</v>
      </c>
      <c r="G45" s="64" t="str">
        <f>IFERROR(__xludf.DUMMYFUNCTION("""COMPUTED_VALUE"""),"CALENTAMIENTO")</f>
        <v>CALENTAMIENTO</v>
      </c>
      <c r="H45" s="64" t="str">
        <f>IFERROR(__xludf.DUMMYFUNCTION("""COMPUTED_VALUE"""),"ESCOLTANDO")</f>
        <v>ESCOLTANDO</v>
      </c>
      <c r="I45" s="64" t="str">
        <f>IFERROR(__xludf.DUMMYFUNCTION("""COMPUTED_VALUE"""),"FALTA DE COMBUSTIBLE")</f>
        <v>FALTA DE COMBUSTIBLE</v>
      </c>
      <c r="J45" s="64" t="str">
        <f>IFERROR(__xludf.DUMMYFUNCTION("""COMPUTED_VALUE"""),"DESPERFECTOS MECÁNICOS")</f>
        <v>DESPERFECTOS MECÁNICOS</v>
      </c>
      <c r="K45" s="64" t="str">
        <f>IFERROR(__xludf.DUMMYFUNCTION("""COMPUTED_VALUE"""),"LLAMADA DE ATENCIÓN")</f>
        <v>LLAMADA DE ATENCIÓN</v>
      </c>
      <c r="L45" s="64" t="str">
        <f>IFERROR(__xludf.DUMMYFUNCTION("""COMPUTED_VALUE"""),"OPERATIVOS")</f>
        <v>OPERATIVOS</v>
      </c>
      <c r="M45" s="64" t="str">
        <f>IFERROR(__xludf.DUMMYFUNCTION("""COMPUTED_VALUE"""),"SANCIÓN")</f>
        <v>SANCIÓN</v>
      </c>
      <c r="N45" s="64" t="str">
        <f>IFERROR(__xludf.DUMMYFUNCTION("""COMPUTED_VALUE"""),"SISTEMA ELECTRICO")</f>
        <v>SISTEMA ELECTRICO</v>
      </c>
      <c r="O45" s="64" t="str">
        <f>IFERROR(__xludf.DUMMYFUNCTION("""COMPUTED_VALUE"""),"ASISTENCIA AL USUARIO")</f>
        <v>ASISTENCIA AL USUARIO</v>
      </c>
      <c r="P45" s="64" t="str">
        <f>IFERROR(__xludf.DUMMYFUNCTION("""COMPUTED_VALUE"""),"DOBLE REMOLQUE")</f>
        <v>DOBLE REMOLQUE</v>
      </c>
      <c r="Q45" s="64" t="str">
        <f>IFERROR(__xludf.DUMMYFUNCTION("""COMPUTED_VALUE"""),"SINAPRESE")</f>
        <v>SINAPRESE</v>
      </c>
      <c r="R45" s="64" t="str">
        <f>IFERROR(__xludf.DUMMYFUNCTION("""COMPUTED_VALUE"""),"APOYO ATLETISMO")</f>
        <v>APOYO ATLETISMO</v>
      </c>
      <c r="S45" s="64" t="str">
        <f>IFERROR(__xludf.DUMMYFUNCTION("""COMPUTED_VALUE"""),"APOYO A CICLISMO")</f>
        <v>APOYO A CICLISMO</v>
      </c>
      <c r="T45" s="64" t="str">
        <f>IFERROR(__xludf.DUMMYFUNCTION("""COMPUTED_VALUE"""),"DESCARGA DE BATERÍA")</f>
        <v>DESCARGA DE BATERÍA</v>
      </c>
      <c r="U45" s="64" t="str">
        <f>IFERROR(__xludf.DUMMYFUNCTION("""COMPUTED_VALUE"""),"PROBLEMAS DE SALUD")</f>
        <v>PROBLEMAS DE SALUD</v>
      </c>
      <c r="V45" s="64" t="str">
        <f>IFERROR(__xludf.DUMMYFUNCTION("""COMPUTED_VALUE"""),"OLVIDO LA LLAVE")</f>
        <v>OLVIDO LA LLAVE</v>
      </c>
      <c r="W45" s="64" t="str">
        <f>IFERROR(__xludf.DUMMYFUNCTION("""COMPUTED_VALUE"""),"CARGA SOBREDIMENSIONADA")</f>
        <v>CARGA SOBREDIMENSIONADA</v>
      </c>
      <c r="X45" s="64" t="str">
        <f>IFERROR(__xludf.DUMMYFUNCTION("""COMPUTED_VALUE"""),"VEHÍCULO ABANDONADO")</f>
        <v>VEHÍCULO ABANDONADO</v>
      </c>
      <c r="Y45" s="64" t="str">
        <f>IFERROR(__xludf.DUMMYFUNCTION("""COMPUTED_VALUE"""),"DESPRENDIMIENTO")</f>
        <v>DESPRENDIMIENTO</v>
      </c>
      <c r="Z45" s="64" t="str">
        <f>IFERROR(__xludf.DUMMYFUNCTION("""COMPUTED_VALUE"""),"CAÍDA DE POSTE")</f>
        <v>CAÍDA DE POSTE</v>
      </c>
      <c r="AA45" s="64" t="str">
        <f>IFERROR(__xludf.DUMMYFUNCTION("""COMPUTED_VALUE"""),"CAÍDA DE RAMA")</f>
        <v>CAÍDA DE RAMA</v>
      </c>
      <c r="AB45" s="64" t="str">
        <f>IFERROR(__xludf.DUMMYFUNCTION("""COMPUTED_VALUE"""),"OPERATIVO DGT")</f>
        <v>OPERATIVO DGT</v>
      </c>
      <c r="AC45" s="64" t="str">
        <f>IFERROR(__xludf.DUMMYFUNCTION("""COMPUTED_VALUE"""),"OPERATIVO PMT")</f>
        <v>OPERATIVO PMT</v>
      </c>
      <c r="AD45" s="64" t="str">
        <f>IFERROR(__xludf.DUMMYFUNCTION("""COMPUTED_VALUE"""),"APOYO A DIGEF")</f>
        <v>APOYO A DIGEF</v>
      </c>
      <c r="AE45" s="64" t="str">
        <f>IFERROR(__xludf.DUMMYFUNCTION("""COMPUTED_VALUE"""),"OPERATIVO PNC TRANSITO")</f>
        <v>OPERATIVO PNC TRANSITO</v>
      </c>
      <c r="AF45" s="64" t="str">
        <f>IFERROR(__xludf.DUMMYFUNCTION("""COMPUTED_VALUE"""),"SOBRECARGA ")</f>
        <v>SOBRECARGA </v>
      </c>
      <c r="AG45" s="64" t="str">
        <f>IFERROR(__xludf.DUMMYFUNCTION("""COMPUTED_VALUE"""),"OPERATIVO EN CONJUNTO")</f>
        <v>OPERATIVO EN CONJUNTO</v>
      </c>
      <c r="AH45" s="64" t="str">
        <f>IFERROR(__xludf.DUMMYFUNCTION("""COMPUTED_VALUE"""),"PUESTO DE ATENCION AL USUARIO")</f>
        <v>PUESTO DE ATENCION AL USUARIO</v>
      </c>
      <c r="AI45" s="64" t="str">
        <f>IFERROR(__xludf.DUMMYFUNCTION("""COMPUTED_VALUE"""),"INCENDIO EN RUTA")</f>
        <v>INCENDIO EN RUTA</v>
      </c>
      <c r="AJ45" s="64" t="str">
        <f>IFERROR(__xludf.DUMMYFUNCTION("""COMPUTED_VALUE"""),"APOYO ANTORCHA ")</f>
        <v>APOYO ANTORCHA </v>
      </c>
    </row>
    <row r="46">
      <c r="B46" s="64"/>
      <c r="C46" s="64" t="str">
        <f>IFERROR(__xludf.DUMMYFUNCTION(" TRANSPOSE( unique ( QUERY(DATOPRO,""select Col2 where Col1 = '""&amp;B46&amp;""'"")))"),"")</f>
        <v/>
      </c>
    </row>
    <row r="47">
      <c r="B47" s="64" t="s">
        <v>38</v>
      </c>
      <c r="C47" s="64" t="str">
        <f>IFERROR(__xludf.DUMMYFUNCTION(" TRANSPOSE( unique ( QUERY(DATOPRO,""select Col2 where Col1 = '""&amp;B47&amp;""'"")))"),"ATAQUE ARMADO")</f>
        <v>ATAQUE ARMADO</v>
      </c>
      <c r="D47" s="64" t="str">
        <f>IFERROR(__xludf.DUMMYFUNCTION("""COMPUTED_VALUE"""),"DESBALANCE DE CARGA")</f>
        <v>DESBALANCE DE CARGA</v>
      </c>
      <c r="E47" s="64" t="str">
        <f>IFERROR(__xludf.DUMMYFUNCTION("""COMPUTED_VALUE"""),"PERSONA FALLECIDA")</f>
        <v>PERSONA FALLECIDA</v>
      </c>
      <c r="F47" s="64" t="str">
        <f>IFERROR(__xludf.DUMMYFUNCTION("""COMPUTED_VALUE"""),"DESPRENDIMIENTO DE NEUMATICO")</f>
        <v>DESPRENDIMIENTO DE NEUMATICO</v>
      </c>
      <c r="G47" s="64" t="str">
        <f>IFERROR(__xludf.DUMMYFUNCTION("""COMPUTED_VALUE"""),"SALIDA DE PISTA")</f>
        <v>SALIDA DE PISTA</v>
      </c>
      <c r="H47" s="64" t="str">
        <f>IFERROR(__xludf.DUMMYFUNCTION("""COMPUTED_VALUE"""),"DESPRENDIMIENTO DE CONTENEDOR")</f>
        <v>DESPRENDIMIENTO DE CONTENEDOR</v>
      </c>
      <c r="I47" s="64" t="str">
        <f>IFERROR(__xludf.DUMMYFUNCTION("""COMPUTED_VALUE"""),"CAÍDA DE CARGA")</f>
        <v>CAÍDA DE CARGA</v>
      </c>
      <c r="J47" s="64" t="str">
        <f>IFERROR(__xludf.DUMMYFUNCTION("""COMPUTED_VALUE"""),"CHOQUE")</f>
        <v>CHOQUE</v>
      </c>
      <c r="K47" s="64" t="str">
        <f>IFERROR(__xludf.DUMMYFUNCTION("""COMPUTED_VALUE"""),"COLISIÓN")</f>
        <v>COLISIÓN</v>
      </c>
      <c r="L47" s="64" t="str">
        <f>IFERROR(__xludf.DUMMYFUNCTION("""COMPUTED_VALUE"""),"COLISIÓN MÚLTIPLE")</f>
        <v>COLISIÓN MÚLTIPLE</v>
      </c>
      <c r="M47" s="64" t="str">
        <f>IFERROR(__xludf.DUMMYFUNCTION("""COMPUTED_VALUE"""),"DERRAPE")</f>
        <v>DERRAPE</v>
      </c>
      <c r="N47" s="64" t="str">
        <f>IFERROR(__xludf.DUMMYFUNCTION("""COMPUTED_VALUE"""),"VEHÍCULO INCENDIADO")</f>
        <v>VEHÍCULO INCENDIADO</v>
      </c>
      <c r="O47" s="64" t="str">
        <f>IFERROR(__xludf.DUMMYFUNCTION("""COMPUTED_VALUE"""),"VUELCO")</f>
        <v>VUELCO</v>
      </c>
      <c r="P47" s="64" t="str">
        <f>IFERROR(__xludf.DUMMYFUNCTION("""COMPUTED_VALUE"""),"DESPRENDIMIENTO")</f>
        <v>DESPRENDIMIENTO</v>
      </c>
      <c r="Q47" s="64" t="str">
        <f>IFERROR(__xludf.DUMMYFUNCTION("""COMPUTED_VALUE"""),"CAÍDA DE ÁRBOL")</f>
        <v>CAÍDA DE ÁRBOL</v>
      </c>
      <c r="R47" s="64" t="str">
        <f>IFERROR(__xludf.DUMMYFUNCTION("""COMPUTED_VALUE"""),"DESPRENDIMIENTO DE EJE")</f>
        <v>DESPRENDIMIENTO DE EJE</v>
      </c>
      <c r="S47" s="64" t="str">
        <f>IFERROR(__xludf.DUMMYFUNCTION("""COMPUTED_VALUE"""),"PERSONA ATROPELLADA")</f>
        <v>PERSONA ATROPELLADA</v>
      </c>
    </row>
    <row r="48">
      <c r="B48" s="64" t="s">
        <v>54</v>
      </c>
      <c r="C48" s="64" t="str">
        <f>IFERROR(__xludf.DUMMYFUNCTION(" TRANSPOSE( unique ( QUERY(DATOPRO,""select Col2 where Col1 = '""&amp;B48&amp;""'"")))"),"PINCHAZO")</f>
        <v>PINCHAZO</v>
      </c>
      <c r="D48" s="64" t="str">
        <f>IFERROR(__xludf.DUMMYFUNCTION("""COMPUTED_VALUE"""),"TRABAJOS DE CARRETERA")</f>
        <v>TRABAJOS DE CARRETERA</v>
      </c>
      <c r="E48" s="64" t="str">
        <f>IFERROR(__xludf.DUMMYFUNCTION("""COMPUTED_VALUE"""),"CONSIGNACIÓN")</f>
        <v>CONSIGNACIÓN</v>
      </c>
      <c r="F48" s="64" t="str">
        <f>IFERROR(__xludf.DUMMYFUNCTION("""COMPUTED_VALUE"""),"DERRAME")</f>
        <v>DERRAME</v>
      </c>
      <c r="G48" s="64" t="str">
        <f>IFERROR(__xludf.DUMMYFUNCTION("""COMPUTED_VALUE"""),"CALENTAMIENTO")</f>
        <v>CALENTAMIENTO</v>
      </c>
      <c r="H48" s="64" t="str">
        <f>IFERROR(__xludf.DUMMYFUNCTION("""COMPUTED_VALUE"""),"ESCOLTANDO")</f>
        <v>ESCOLTANDO</v>
      </c>
      <c r="I48" s="64" t="str">
        <f>IFERROR(__xludf.DUMMYFUNCTION("""COMPUTED_VALUE"""),"FALTA DE COMBUSTIBLE")</f>
        <v>FALTA DE COMBUSTIBLE</v>
      </c>
      <c r="J48" s="64" t="str">
        <f>IFERROR(__xludf.DUMMYFUNCTION("""COMPUTED_VALUE"""),"DESPERFECTOS MECÁNICOS")</f>
        <v>DESPERFECTOS MECÁNICOS</v>
      </c>
      <c r="K48" s="64" t="str">
        <f>IFERROR(__xludf.DUMMYFUNCTION("""COMPUTED_VALUE"""),"LLAMADA DE ATENCIÓN")</f>
        <v>LLAMADA DE ATENCIÓN</v>
      </c>
      <c r="L48" s="64" t="str">
        <f>IFERROR(__xludf.DUMMYFUNCTION("""COMPUTED_VALUE"""),"OPERATIVOS")</f>
        <v>OPERATIVOS</v>
      </c>
      <c r="M48" s="64" t="str">
        <f>IFERROR(__xludf.DUMMYFUNCTION("""COMPUTED_VALUE"""),"SANCIÓN")</f>
        <v>SANCIÓN</v>
      </c>
      <c r="N48" s="64" t="str">
        <f>IFERROR(__xludf.DUMMYFUNCTION("""COMPUTED_VALUE"""),"SISTEMA ELECTRICO")</f>
        <v>SISTEMA ELECTRICO</v>
      </c>
      <c r="O48" s="64" t="str">
        <f>IFERROR(__xludf.DUMMYFUNCTION("""COMPUTED_VALUE"""),"ASISTENCIA AL USUARIO")</f>
        <v>ASISTENCIA AL USUARIO</v>
      </c>
      <c r="P48" s="64" t="str">
        <f>IFERROR(__xludf.DUMMYFUNCTION("""COMPUTED_VALUE"""),"DOBLE REMOLQUE")</f>
        <v>DOBLE REMOLQUE</v>
      </c>
      <c r="Q48" s="64" t="str">
        <f>IFERROR(__xludf.DUMMYFUNCTION("""COMPUTED_VALUE"""),"SINAPRESE")</f>
        <v>SINAPRESE</v>
      </c>
      <c r="R48" s="64" t="str">
        <f>IFERROR(__xludf.DUMMYFUNCTION("""COMPUTED_VALUE"""),"APOYO ATLETISMO")</f>
        <v>APOYO ATLETISMO</v>
      </c>
      <c r="S48" s="64" t="str">
        <f>IFERROR(__xludf.DUMMYFUNCTION("""COMPUTED_VALUE"""),"APOYO A CICLISMO")</f>
        <v>APOYO A CICLISMO</v>
      </c>
      <c r="T48" s="64" t="str">
        <f>IFERROR(__xludf.DUMMYFUNCTION("""COMPUTED_VALUE"""),"DESCARGA DE BATERÍA")</f>
        <v>DESCARGA DE BATERÍA</v>
      </c>
      <c r="U48" s="64" t="str">
        <f>IFERROR(__xludf.DUMMYFUNCTION("""COMPUTED_VALUE"""),"PROBLEMAS DE SALUD")</f>
        <v>PROBLEMAS DE SALUD</v>
      </c>
      <c r="V48" s="64" t="str">
        <f>IFERROR(__xludf.DUMMYFUNCTION("""COMPUTED_VALUE"""),"OLVIDO LA LLAVE")</f>
        <v>OLVIDO LA LLAVE</v>
      </c>
      <c r="W48" s="64" t="str">
        <f>IFERROR(__xludf.DUMMYFUNCTION("""COMPUTED_VALUE"""),"CARGA SOBREDIMENSIONADA")</f>
        <v>CARGA SOBREDIMENSIONADA</v>
      </c>
      <c r="X48" s="64" t="str">
        <f>IFERROR(__xludf.DUMMYFUNCTION("""COMPUTED_VALUE"""),"VEHÍCULO ABANDONADO")</f>
        <v>VEHÍCULO ABANDONADO</v>
      </c>
      <c r="Y48" s="64" t="str">
        <f>IFERROR(__xludf.DUMMYFUNCTION("""COMPUTED_VALUE"""),"DESPRENDIMIENTO")</f>
        <v>DESPRENDIMIENTO</v>
      </c>
      <c r="Z48" s="64" t="str">
        <f>IFERROR(__xludf.DUMMYFUNCTION("""COMPUTED_VALUE"""),"CAÍDA DE POSTE")</f>
        <v>CAÍDA DE POSTE</v>
      </c>
      <c r="AA48" s="64" t="str">
        <f>IFERROR(__xludf.DUMMYFUNCTION("""COMPUTED_VALUE"""),"CAÍDA DE RAMA")</f>
        <v>CAÍDA DE RAMA</v>
      </c>
      <c r="AB48" s="64" t="str">
        <f>IFERROR(__xludf.DUMMYFUNCTION("""COMPUTED_VALUE"""),"OPERATIVO DGT")</f>
        <v>OPERATIVO DGT</v>
      </c>
      <c r="AC48" s="64" t="str">
        <f>IFERROR(__xludf.DUMMYFUNCTION("""COMPUTED_VALUE"""),"OPERATIVO PMT")</f>
        <v>OPERATIVO PMT</v>
      </c>
      <c r="AD48" s="64" t="str">
        <f>IFERROR(__xludf.DUMMYFUNCTION("""COMPUTED_VALUE"""),"APOYO A DIGEF")</f>
        <v>APOYO A DIGEF</v>
      </c>
      <c r="AE48" s="64" t="str">
        <f>IFERROR(__xludf.DUMMYFUNCTION("""COMPUTED_VALUE"""),"OPERATIVO PNC TRANSITO")</f>
        <v>OPERATIVO PNC TRANSITO</v>
      </c>
      <c r="AF48" s="64" t="str">
        <f>IFERROR(__xludf.DUMMYFUNCTION("""COMPUTED_VALUE"""),"SOBRECARGA ")</f>
        <v>SOBRECARGA </v>
      </c>
      <c r="AG48" s="64" t="str">
        <f>IFERROR(__xludf.DUMMYFUNCTION("""COMPUTED_VALUE"""),"OPERATIVO EN CONJUNTO")</f>
        <v>OPERATIVO EN CONJUNTO</v>
      </c>
      <c r="AH48" s="64" t="str">
        <f>IFERROR(__xludf.DUMMYFUNCTION("""COMPUTED_VALUE"""),"PUESTO DE ATENCION AL USUARIO")</f>
        <v>PUESTO DE ATENCION AL USUARIO</v>
      </c>
      <c r="AI48" s="64" t="str">
        <f>IFERROR(__xludf.DUMMYFUNCTION("""COMPUTED_VALUE"""),"INCENDIO EN RUTA")</f>
        <v>INCENDIO EN RUTA</v>
      </c>
      <c r="AJ48" s="64" t="str">
        <f>IFERROR(__xludf.DUMMYFUNCTION("""COMPUTED_VALUE"""),"APOYO ANTORCHA ")</f>
        <v>APOYO ANTORCHA </v>
      </c>
    </row>
    <row r="49">
      <c r="B49" s="64" t="s">
        <v>54</v>
      </c>
      <c r="C49" s="64" t="str">
        <f>IFERROR(__xludf.DUMMYFUNCTION(" TRANSPOSE( unique ( QUERY(DATOPRO,""select Col2 where Col1 = '""&amp;B49&amp;""'"")))"),"PINCHAZO")</f>
        <v>PINCHAZO</v>
      </c>
      <c r="D49" s="64" t="str">
        <f>IFERROR(__xludf.DUMMYFUNCTION("""COMPUTED_VALUE"""),"TRABAJOS DE CARRETERA")</f>
        <v>TRABAJOS DE CARRETERA</v>
      </c>
      <c r="E49" s="64" t="str">
        <f>IFERROR(__xludf.DUMMYFUNCTION("""COMPUTED_VALUE"""),"CONSIGNACIÓN")</f>
        <v>CONSIGNACIÓN</v>
      </c>
      <c r="F49" s="64" t="str">
        <f>IFERROR(__xludf.DUMMYFUNCTION("""COMPUTED_VALUE"""),"DERRAME")</f>
        <v>DERRAME</v>
      </c>
      <c r="G49" s="64" t="str">
        <f>IFERROR(__xludf.DUMMYFUNCTION("""COMPUTED_VALUE"""),"CALENTAMIENTO")</f>
        <v>CALENTAMIENTO</v>
      </c>
      <c r="H49" s="64" t="str">
        <f>IFERROR(__xludf.DUMMYFUNCTION("""COMPUTED_VALUE"""),"ESCOLTANDO")</f>
        <v>ESCOLTANDO</v>
      </c>
      <c r="I49" s="64" t="str">
        <f>IFERROR(__xludf.DUMMYFUNCTION("""COMPUTED_VALUE"""),"FALTA DE COMBUSTIBLE")</f>
        <v>FALTA DE COMBUSTIBLE</v>
      </c>
      <c r="J49" s="64" t="str">
        <f>IFERROR(__xludf.DUMMYFUNCTION("""COMPUTED_VALUE"""),"DESPERFECTOS MECÁNICOS")</f>
        <v>DESPERFECTOS MECÁNICOS</v>
      </c>
      <c r="K49" s="64" t="str">
        <f>IFERROR(__xludf.DUMMYFUNCTION("""COMPUTED_VALUE"""),"LLAMADA DE ATENCIÓN")</f>
        <v>LLAMADA DE ATENCIÓN</v>
      </c>
      <c r="L49" s="64" t="str">
        <f>IFERROR(__xludf.DUMMYFUNCTION("""COMPUTED_VALUE"""),"OPERATIVOS")</f>
        <v>OPERATIVOS</v>
      </c>
      <c r="M49" s="64" t="str">
        <f>IFERROR(__xludf.DUMMYFUNCTION("""COMPUTED_VALUE"""),"SANCIÓN")</f>
        <v>SANCIÓN</v>
      </c>
      <c r="N49" s="64" t="str">
        <f>IFERROR(__xludf.DUMMYFUNCTION("""COMPUTED_VALUE"""),"SISTEMA ELECTRICO")</f>
        <v>SISTEMA ELECTRICO</v>
      </c>
      <c r="O49" s="64" t="str">
        <f>IFERROR(__xludf.DUMMYFUNCTION("""COMPUTED_VALUE"""),"ASISTENCIA AL USUARIO")</f>
        <v>ASISTENCIA AL USUARIO</v>
      </c>
      <c r="P49" s="64" t="str">
        <f>IFERROR(__xludf.DUMMYFUNCTION("""COMPUTED_VALUE"""),"DOBLE REMOLQUE")</f>
        <v>DOBLE REMOLQUE</v>
      </c>
      <c r="Q49" s="64" t="str">
        <f>IFERROR(__xludf.DUMMYFUNCTION("""COMPUTED_VALUE"""),"SINAPRESE")</f>
        <v>SINAPRESE</v>
      </c>
      <c r="R49" s="64" t="str">
        <f>IFERROR(__xludf.DUMMYFUNCTION("""COMPUTED_VALUE"""),"APOYO ATLETISMO")</f>
        <v>APOYO ATLETISMO</v>
      </c>
      <c r="S49" s="64" t="str">
        <f>IFERROR(__xludf.DUMMYFUNCTION("""COMPUTED_VALUE"""),"APOYO A CICLISMO")</f>
        <v>APOYO A CICLISMO</v>
      </c>
      <c r="T49" s="64" t="str">
        <f>IFERROR(__xludf.DUMMYFUNCTION("""COMPUTED_VALUE"""),"DESCARGA DE BATERÍA")</f>
        <v>DESCARGA DE BATERÍA</v>
      </c>
      <c r="U49" s="64" t="str">
        <f>IFERROR(__xludf.DUMMYFUNCTION("""COMPUTED_VALUE"""),"PROBLEMAS DE SALUD")</f>
        <v>PROBLEMAS DE SALUD</v>
      </c>
      <c r="V49" s="64" t="str">
        <f>IFERROR(__xludf.DUMMYFUNCTION("""COMPUTED_VALUE"""),"OLVIDO LA LLAVE")</f>
        <v>OLVIDO LA LLAVE</v>
      </c>
      <c r="W49" s="64" t="str">
        <f>IFERROR(__xludf.DUMMYFUNCTION("""COMPUTED_VALUE"""),"CARGA SOBREDIMENSIONADA")</f>
        <v>CARGA SOBREDIMENSIONADA</v>
      </c>
      <c r="X49" s="64" t="str">
        <f>IFERROR(__xludf.DUMMYFUNCTION("""COMPUTED_VALUE"""),"VEHÍCULO ABANDONADO")</f>
        <v>VEHÍCULO ABANDONADO</v>
      </c>
      <c r="Y49" s="64" t="str">
        <f>IFERROR(__xludf.DUMMYFUNCTION("""COMPUTED_VALUE"""),"DESPRENDIMIENTO")</f>
        <v>DESPRENDIMIENTO</v>
      </c>
      <c r="Z49" s="64" t="str">
        <f>IFERROR(__xludf.DUMMYFUNCTION("""COMPUTED_VALUE"""),"CAÍDA DE POSTE")</f>
        <v>CAÍDA DE POSTE</v>
      </c>
      <c r="AA49" s="64" t="str">
        <f>IFERROR(__xludf.DUMMYFUNCTION("""COMPUTED_VALUE"""),"CAÍDA DE RAMA")</f>
        <v>CAÍDA DE RAMA</v>
      </c>
      <c r="AB49" s="64" t="str">
        <f>IFERROR(__xludf.DUMMYFUNCTION("""COMPUTED_VALUE"""),"OPERATIVO DGT")</f>
        <v>OPERATIVO DGT</v>
      </c>
      <c r="AC49" s="64" t="str">
        <f>IFERROR(__xludf.DUMMYFUNCTION("""COMPUTED_VALUE"""),"OPERATIVO PMT")</f>
        <v>OPERATIVO PMT</v>
      </c>
      <c r="AD49" s="64" t="str">
        <f>IFERROR(__xludf.DUMMYFUNCTION("""COMPUTED_VALUE"""),"APOYO A DIGEF")</f>
        <v>APOYO A DIGEF</v>
      </c>
      <c r="AE49" s="64" t="str">
        <f>IFERROR(__xludf.DUMMYFUNCTION("""COMPUTED_VALUE"""),"OPERATIVO PNC TRANSITO")</f>
        <v>OPERATIVO PNC TRANSITO</v>
      </c>
      <c r="AF49" s="64" t="str">
        <f>IFERROR(__xludf.DUMMYFUNCTION("""COMPUTED_VALUE"""),"SOBRECARGA ")</f>
        <v>SOBRECARGA </v>
      </c>
      <c r="AG49" s="64" t="str">
        <f>IFERROR(__xludf.DUMMYFUNCTION("""COMPUTED_VALUE"""),"OPERATIVO EN CONJUNTO")</f>
        <v>OPERATIVO EN CONJUNTO</v>
      </c>
      <c r="AH49" s="64" t="str">
        <f>IFERROR(__xludf.DUMMYFUNCTION("""COMPUTED_VALUE"""),"PUESTO DE ATENCION AL USUARIO")</f>
        <v>PUESTO DE ATENCION AL USUARIO</v>
      </c>
      <c r="AI49" s="64" t="str">
        <f>IFERROR(__xludf.DUMMYFUNCTION("""COMPUTED_VALUE"""),"INCENDIO EN RUTA")</f>
        <v>INCENDIO EN RUTA</v>
      </c>
      <c r="AJ49" s="64" t="str">
        <f>IFERROR(__xludf.DUMMYFUNCTION("""COMPUTED_VALUE"""),"APOYO ANTORCHA ")</f>
        <v>APOYO ANTORCHA </v>
      </c>
    </row>
    <row r="50">
      <c r="B50" s="64" t="s">
        <v>54</v>
      </c>
      <c r="C50" s="64" t="str">
        <f>IFERROR(__xludf.DUMMYFUNCTION(" TRANSPOSE( unique ( QUERY(DATOPRO,""select Col2 where Col1 = '""&amp;B50&amp;""'"")))"),"PINCHAZO")</f>
        <v>PINCHAZO</v>
      </c>
      <c r="D50" s="64" t="str">
        <f>IFERROR(__xludf.DUMMYFUNCTION("""COMPUTED_VALUE"""),"TRABAJOS DE CARRETERA")</f>
        <v>TRABAJOS DE CARRETERA</v>
      </c>
      <c r="E50" s="64" t="str">
        <f>IFERROR(__xludf.DUMMYFUNCTION("""COMPUTED_VALUE"""),"CONSIGNACIÓN")</f>
        <v>CONSIGNACIÓN</v>
      </c>
      <c r="F50" s="64" t="str">
        <f>IFERROR(__xludf.DUMMYFUNCTION("""COMPUTED_VALUE"""),"DERRAME")</f>
        <v>DERRAME</v>
      </c>
      <c r="G50" s="64" t="str">
        <f>IFERROR(__xludf.DUMMYFUNCTION("""COMPUTED_VALUE"""),"CALENTAMIENTO")</f>
        <v>CALENTAMIENTO</v>
      </c>
      <c r="H50" s="64" t="str">
        <f>IFERROR(__xludf.DUMMYFUNCTION("""COMPUTED_VALUE"""),"ESCOLTANDO")</f>
        <v>ESCOLTANDO</v>
      </c>
      <c r="I50" s="64" t="str">
        <f>IFERROR(__xludf.DUMMYFUNCTION("""COMPUTED_VALUE"""),"FALTA DE COMBUSTIBLE")</f>
        <v>FALTA DE COMBUSTIBLE</v>
      </c>
      <c r="J50" s="64" t="str">
        <f>IFERROR(__xludf.DUMMYFUNCTION("""COMPUTED_VALUE"""),"DESPERFECTOS MECÁNICOS")</f>
        <v>DESPERFECTOS MECÁNICOS</v>
      </c>
      <c r="K50" s="64" t="str">
        <f>IFERROR(__xludf.DUMMYFUNCTION("""COMPUTED_VALUE"""),"LLAMADA DE ATENCIÓN")</f>
        <v>LLAMADA DE ATENCIÓN</v>
      </c>
      <c r="L50" s="64" t="str">
        <f>IFERROR(__xludf.DUMMYFUNCTION("""COMPUTED_VALUE"""),"OPERATIVOS")</f>
        <v>OPERATIVOS</v>
      </c>
      <c r="M50" s="64" t="str">
        <f>IFERROR(__xludf.DUMMYFUNCTION("""COMPUTED_VALUE"""),"SANCIÓN")</f>
        <v>SANCIÓN</v>
      </c>
      <c r="N50" s="64" t="str">
        <f>IFERROR(__xludf.DUMMYFUNCTION("""COMPUTED_VALUE"""),"SISTEMA ELECTRICO")</f>
        <v>SISTEMA ELECTRICO</v>
      </c>
      <c r="O50" s="64" t="str">
        <f>IFERROR(__xludf.DUMMYFUNCTION("""COMPUTED_VALUE"""),"ASISTENCIA AL USUARIO")</f>
        <v>ASISTENCIA AL USUARIO</v>
      </c>
      <c r="P50" s="64" t="str">
        <f>IFERROR(__xludf.DUMMYFUNCTION("""COMPUTED_VALUE"""),"DOBLE REMOLQUE")</f>
        <v>DOBLE REMOLQUE</v>
      </c>
      <c r="Q50" s="64" t="str">
        <f>IFERROR(__xludf.DUMMYFUNCTION("""COMPUTED_VALUE"""),"SINAPRESE")</f>
        <v>SINAPRESE</v>
      </c>
      <c r="R50" s="64" t="str">
        <f>IFERROR(__xludf.DUMMYFUNCTION("""COMPUTED_VALUE"""),"APOYO ATLETISMO")</f>
        <v>APOYO ATLETISMO</v>
      </c>
      <c r="S50" s="64" t="str">
        <f>IFERROR(__xludf.DUMMYFUNCTION("""COMPUTED_VALUE"""),"APOYO A CICLISMO")</f>
        <v>APOYO A CICLISMO</v>
      </c>
      <c r="T50" s="64" t="str">
        <f>IFERROR(__xludf.DUMMYFUNCTION("""COMPUTED_VALUE"""),"DESCARGA DE BATERÍA")</f>
        <v>DESCARGA DE BATERÍA</v>
      </c>
      <c r="U50" s="64" t="str">
        <f>IFERROR(__xludf.DUMMYFUNCTION("""COMPUTED_VALUE"""),"PROBLEMAS DE SALUD")</f>
        <v>PROBLEMAS DE SALUD</v>
      </c>
      <c r="V50" s="64" t="str">
        <f>IFERROR(__xludf.DUMMYFUNCTION("""COMPUTED_VALUE"""),"OLVIDO LA LLAVE")</f>
        <v>OLVIDO LA LLAVE</v>
      </c>
      <c r="W50" s="64" t="str">
        <f>IFERROR(__xludf.DUMMYFUNCTION("""COMPUTED_VALUE"""),"CARGA SOBREDIMENSIONADA")</f>
        <v>CARGA SOBREDIMENSIONADA</v>
      </c>
      <c r="X50" s="64" t="str">
        <f>IFERROR(__xludf.DUMMYFUNCTION("""COMPUTED_VALUE"""),"VEHÍCULO ABANDONADO")</f>
        <v>VEHÍCULO ABANDONADO</v>
      </c>
      <c r="Y50" s="64" t="str">
        <f>IFERROR(__xludf.DUMMYFUNCTION("""COMPUTED_VALUE"""),"DESPRENDIMIENTO")</f>
        <v>DESPRENDIMIENTO</v>
      </c>
      <c r="Z50" s="64" t="str">
        <f>IFERROR(__xludf.DUMMYFUNCTION("""COMPUTED_VALUE"""),"CAÍDA DE POSTE")</f>
        <v>CAÍDA DE POSTE</v>
      </c>
      <c r="AA50" s="64" t="str">
        <f>IFERROR(__xludf.DUMMYFUNCTION("""COMPUTED_VALUE"""),"CAÍDA DE RAMA")</f>
        <v>CAÍDA DE RAMA</v>
      </c>
      <c r="AB50" s="64" t="str">
        <f>IFERROR(__xludf.DUMMYFUNCTION("""COMPUTED_VALUE"""),"OPERATIVO DGT")</f>
        <v>OPERATIVO DGT</v>
      </c>
      <c r="AC50" s="64" t="str">
        <f>IFERROR(__xludf.DUMMYFUNCTION("""COMPUTED_VALUE"""),"OPERATIVO PMT")</f>
        <v>OPERATIVO PMT</v>
      </c>
      <c r="AD50" s="64" t="str">
        <f>IFERROR(__xludf.DUMMYFUNCTION("""COMPUTED_VALUE"""),"APOYO A DIGEF")</f>
        <v>APOYO A DIGEF</v>
      </c>
      <c r="AE50" s="64" t="str">
        <f>IFERROR(__xludf.DUMMYFUNCTION("""COMPUTED_VALUE"""),"OPERATIVO PNC TRANSITO")</f>
        <v>OPERATIVO PNC TRANSITO</v>
      </c>
      <c r="AF50" s="64" t="str">
        <f>IFERROR(__xludf.DUMMYFUNCTION("""COMPUTED_VALUE"""),"SOBRECARGA ")</f>
        <v>SOBRECARGA </v>
      </c>
      <c r="AG50" s="64" t="str">
        <f>IFERROR(__xludf.DUMMYFUNCTION("""COMPUTED_VALUE"""),"OPERATIVO EN CONJUNTO")</f>
        <v>OPERATIVO EN CONJUNTO</v>
      </c>
      <c r="AH50" s="64" t="str">
        <f>IFERROR(__xludf.DUMMYFUNCTION("""COMPUTED_VALUE"""),"PUESTO DE ATENCION AL USUARIO")</f>
        <v>PUESTO DE ATENCION AL USUARIO</v>
      </c>
      <c r="AI50" s="64" t="str">
        <f>IFERROR(__xludf.DUMMYFUNCTION("""COMPUTED_VALUE"""),"INCENDIO EN RUTA")</f>
        <v>INCENDIO EN RUTA</v>
      </c>
      <c r="AJ50" s="64" t="str">
        <f>IFERROR(__xludf.DUMMYFUNCTION("""COMPUTED_VALUE"""),"APOYO ANTORCHA ")</f>
        <v>APOYO ANTORCHA </v>
      </c>
    </row>
    <row r="51">
      <c r="B51" s="64" t="s">
        <v>54</v>
      </c>
      <c r="C51" s="64" t="str">
        <f>IFERROR(__xludf.DUMMYFUNCTION(" TRANSPOSE( unique ( QUERY(DATOPRO,""select Col2 where Col1 = '""&amp;B51&amp;""'"")))"),"PINCHAZO")</f>
        <v>PINCHAZO</v>
      </c>
      <c r="D51" s="64" t="str">
        <f>IFERROR(__xludf.DUMMYFUNCTION("""COMPUTED_VALUE"""),"TRABAJOS DE CARRETERA")</f>
        <v>TRABAJOS DE CARRETERA</v>
      </c>
      <c r="E51" s="64" t="str">
        <f>IFERROR(__xludf.DUMMYFUNCTION("""COMPUTED_VALUE"""),"CONSIGNACIÓN")</f>
        <v>CONSIGNACIÓN</v>
      </c>
      <c r="F51" s="64" t="str">
        <f>IFERROR(__xludf.DUMMYFUNCTION("""COMPUTED_VALUE"""),"DERRAME")</f>
        <v>DERRAME</v>
      </c>
      <c r="G51" s="64" t="str">
        <f>IFERROR(__xludf.DUMMYFUNCTION("""COMPUTED_VALUE"""),"CALENTAMIENTO")</f>
        <v>CALENTAMIENTO</v>
      </c>
      <c r="H51" s="64" t="str">
        <f>IFERROR(__xludf.DUMMYFUNCTION("""COMPUTED_VALUE"""),"ESCOLTANDO")</f>
        <v>ESCOLTANDO</v>
      </c>
      <c r="I51" s="64" t="str">
        <f>IFERROR(__xludf.DUMMYFUNCTION("""COMPUTED_VALUE"""),"FALTA DE COMBUSTIBLE")</f>
        <v>FALTA DE COMBUSTIBLE</v>
      </c>
      <c r="J51" s="64" t="str">
        <f>IFERROR(__xludf.DUMMYFUNCTION("""COMPUTED_VALUE"""),"DESPERFECTOS MECÁNICOS")</f>
        <v>DESPERFECTOS MECÁNICOS</v>
      </c>
      <c r="K51" s="64" t="str">
        <f>IFERROR(__xludf.DUMMYFUNCTION("""COMPUTED_VALUE"""),"LLAMADA DE ATENCIÓN")</f>
        <v>LLAMADA DE ATENCIÓN</v>
      </c>
      <c r="L51" s="64" t="str">
        <f>IFERROR(__xludf.DUMMYFUNCTION("""COMPUTED_VALUE"""),"OPERATIVOS")</f>
        <v>OPERATIVOS</v>
      </c>
      <c r="M51" s="64" t="str">
        <f>IFERROR(__xludf.DUMMYFUNCTION("""COMPUTED_VALUE"""),"SANCIÓN")</f>
        <v>SANCIÓN</v>
      </c>
      <c r="N51" s="64" t="str">
        <f>IFERROR(__xludf.DUMMYFUNCTION("""COMPUTED_VALUE"""),"SISTEMA ELECTRICO")</f>
        <v>SISTEMA ELECTRICO</v>
      </c>
      <c r="O51" s="64" t="str">
        <f>IFERROR(__xludf.DUMMYFUNCTION("""COMPUTED_VALUE"""),"ASISTENCIA AL USUARIO")</f>
        <v>ASISTENCIA AL USUARIO</v>
      </c>
      <c r="P51" s="64" t="str">
        <f>IFERROR(__xludf.DUMMYFUNCTION("""COMPUTED_VALUE"""),"DOBLE REMOLQUE")</f>
        <v>DOBLE REMOLQUE</v>
      </c>
      <c r="Q51" s="64" t="str">
        <f>IFERROR(__xludf.DUMMYFUNCTION("""COMPUTED_VALUE"""),"SINAPRESE")</f>
        <v>SINAPRESE</v>
      </c>
      <c r="R51" s="64" t="str">
        <f>IFERROR(__xludf.DUMMYFUNCTION("""COMPUTED_VALUE"""),"APOYO ATLETISMO")</f>
        <v>APOYO ATLETISMO</v>
      </c>
      <c r="S51" s="64" t="str">
        <f>IFERROR(__xludf.DUMMYFUNCTION("""COMPUTED_VALUE"""),"APOYO A CICLISMO")</f>
        <v>APOYO A CICLISMO</v>
      </c>
      <c r="T51" s="64" t="str">
        <f>IFERROR(__xludf.DUMMYFUNCTION("""COMPUTED_VALUE"""),"DESCARGA DE BATERÍA")</f>
        <v>DESCARGA DE BATERÍA</v>
      </c>
      <c r="U51" s="64" t="str">
        <f>IFERROR(__xludf.DUMMYFUNCTION("""COMPUTED_VALUE"""),"PROBLEMAS DE SALUD")</f>
        <v>PROBLEMAS DE SALUD</v>
      </c>
      <c r="V51" s="64" t="str">
        <f>IFERROR(__xludf.DUMMYFUNCTION("""COMPUTED_VALUE"""),"OLVIDO LA LLAVE")</f>
        <v>OLVIDO LA LLAVE</v>
      </c>
      <c r="W51" s="64" t="str">
        <f>IFERROR(__xludf.DUMMYFUNCTION("""COMPUTED_VALUE"""),"CARGA SOBREDIMENSIONADA")</f>
        <v>CARGA SOBREDIMENSIONADA</v>
      </c>
      <c r="X51" s="64" t="str">
        <f>IFERROR(__xludf.DUMMYFUNCTION("""COMPUTED_VALUE"""),"VEHÍCULO ABANDONADO")</f>
        <v>VEHÍCULO ABANDONADO</v>
      </c>
      <c r="Y51" s="64" t="str">
        <f>IFERROR(__xludf.DUMMYFUNCTION("""COMPUTED_VALUE"""),"DESPRENDIMIENTO")</f>
        <v>DESPRENDIMIENTO</v>
      </c>
      <c r="Z51" s="64" t="str">
        <f>IFERROR(__xludf.DUMMYFUNCTION("""COMPUTED_VALUE"""),"CAÍDA DE POSTE")</f>
        <v>CAÍDA DE POSTE</v>
      </c>
      <c r="AA51" s="64" t="str">
        <f>IFERROR(__xludf.DUMMYFUNCTION("""COMPUTED_VALUE"""),"CAÍDA DE RAMA")</f>
        <v>CAÍDA DE RAMA</v>
      </c>
      <c r="AB51" s="64" t="str">
        <f>IFERROR(__xludf.DUMMYFUNCTION("""COMPUTED_VALUE"""),"OPERATIVO DGT")</f>
        <v>OPERATIVO DGT</v>
      </c>
      <c r="AC51" s="64" t="str">
        <f>IFERROR(__xludf.DUMMYFUNCTION("""COMPUTED_VALUE"""),"OPERATIVO PMT")</f>
        <v>OPERATIVO PMT</v>
      </c>
      <c r="AD51" s="64" t="str">
        <f>IFERROR(__xludf.DUMMYFUNCTION("""COMPUTED_VALUE"""),"APOYO A DIGEF")</f>
        <v>APOYO A DIGEF</v>
      </c>
      <c r="AE51" s="64" t="str">
        <f>IFERROR(__xludf.DUMMYFUNCTION("""COMPUTED_VALUE"""),"OPERATIVO PNC TRANSITO")</f>
        <v>OPERATIVO PNC TRANSITO</v>
      </c>
      <c r="AF51" s="64" t="str">
        <f>IFERROR(__xludf.DUMMYFUNCTION("""COMPUTED_VALUE"""),"SOBRECARGA ")</f>
        <v>SOBRECARGA </v>
      </c>
      <c r="AG51" s="64" t="str">
        <f>IFERROR(__xludf.DUMMYFUNCTION("""COMPUTED_VALUE"""),"OPERATIVO EN CONJUNTO")</f>
        <v>OPERATIVO EN CONJUNTO</v>
      </c>
      <c r="AH51" s="64" t="str">
        <f>IFERROR(__xludf.DUMMYFUNCTION("""COMPUTED_VALUE"""),"PUESTO DE ATENCION AL USUARIO")</f>
        <v>PUESTO DE ATENCION AL USUARIO</v>
      </c>
      <c r="AI51" s="64" t="str">
        <f>IFERROR(__xludf.DUMMYFUNCTION("""COMPUTED_VALUE"""),"INCENDIO EN RUTA")</f>
        <v>INCENDIO EN RUTA</v>
      </c>
      <c r="AJ51" s="64" t="str">
        <f>IFERROR(__xludf.DUMMYFUNCTION("""COMPUTED_VALUE"""),"APOYO ANTORCHA ")</f>
        <v>APOYO ANTORCHA </v>
      </c>
    </row>
    <row r="52">
      <c r="B52" s="64" t="s">
        <v>54</v>
      </c>
      <c r="C52" s="64" t="str">
        <f>IFERROR(__xludf.DUMMYFUNCTION(" TRANSPOSE( unique ( QUERY(DATOPRO,""select Col2 where Col1 = '""&amp;B52&amp;""'"")))"),"PINCHAZO")</f>
        <v>PINCHAZO</v>
      </c>
      <c r="D52" s="64" t="str">
        <f>IFERROR(__xludf.DUMMYFUNCTION("""COMPUTED_VALUE"""),"TRABAJOS DE CARRETERA")</f>
        <v>TRABAJOS DE CARRETERA</v>
      </c>
      <c r="E52" s="64" t="str">
        <f>IFERROR(__xludf.DUMMYFUNCTION("""COMPUTED_VALUE"""),"CONSIGNACIÓN")</f>
        <v>CONSIGNACIÓN</v>
      </c>
      <c r="F52" s="64" t="str">
        <f>IFERROR(__xludf.DUMMYFUNCTION("""COMPUTED_VALUE"""),"DERRAME")</f>
        <v>DERRAME</v>
      </c>
      <c r="G52" s="64" t="str">
        <f>IFERROR(__xludf.DUMMYFUNCTION("""COMPUTED_VALUE"""),"CALENTAMIENTO")</f>
        <v>CALENTAMIENTO</v>
      </c>
      <c r="H52" s="64" t="str">
        <f>IFERROR(__xludf.DUMMYFUNCTION("""COMPUTED_VALUE"""),"ESCOLTANDO")</f>
        <v>ESCOLTANDO</v>
      </c>
      <c r="I52" s="64" t="str">
        <f>IFERROR(__xludf.DUMMYFUNCTION("""COMPUTED_VALUE"""),"FALTA DE COMBUSTIBLE")</f>
        <v>FALTA DE COMBUSTIBLE</v>
      </c>
      <c r="J52" s="64" t="str">
        <f>IFERROR(__xludf.DUMMYFUNCTION("""COMPUTED_VALUE"""),"DESPERFECTOS MECÁNICOS")</f>
        <v>DESPERFECTOS MECÁNICOS</v>
      </c>
      <c r="K52" s="64" t="str">
        <f>IFERROR(__xludf.DUMMYFUNCTION("""COMPUTED_VALUE"""),"LLAMADA DE ATENCIÓN")</f>
        <v>LLAMADA DE ATENCIÓN</v>
      </c>
      <c r="L52" s="64" t="str">
        <f>IFERROR(__xludf.DUMMYFUNCTION("""COMPUTED_VALUE"""),"OPERATIVOS")</f>
        <v>OPERATIVOS</v>
      </c>
      <c r="M52" s="64" t="str">
        <f>IFERROR(__xludf.DUMMYFUNCTION("""COMPUTED_VALUE"""),"SANCIÓN")</f>
        <v>SANCIÓN</v>
      </c>
      <c r="N52" s="64" t="str">
        <f>IFERROR(__xludf.DUMMYFUNCTION("""COMPUTED_VALUE"""),"SISTEMA ELECTRICO")</f>
        <v>SISTEMA ELECTRICO</v>
      </c>
      <c r="O52" s="64" t="str">
        <f>IFERROR(__xludf.DUMMYFUNCTION("""COMPUTED_VALUE"""),"ASISTENCIA AL USUARIO")</f>
        <v>ASISTENCIA AL USUARIO</v>
      </c>
      <c r="P52" s="64" t="str">
        <f>IFERROR(__xludf.DUMMYFUNCTION("""COMPUTED_VALUE"""),"DOBLE REMOLQUE")</f>
        <v>DOBLE REMOLQUE</v>
      </c>
      <c r="Q52" s="64" t="str">
        <f>IFERROR(__xludf.DUMMYFUNCTION("""COMPUTED_VALUE"""),"SINAPRESE")</f>
        <v>SINAPRESE</v>
      </c>
      <c r="R52" s="64" t="str">
        <f>IFERROR(__xludf.DUMMYFUNCTION("""COMPUTED_VALUE"""),"APOYO ATLETISMO")</f>
        <v>APOYO ATLETISMO</v>
      </c>
      <c r="S52" s="64" t="str">
        <f>IFERROR(__xludf.DUMMYFUNCTION("""COMPUTED_VALUE"""),"APOYO A CICLISMO")</f>
        <v>APOYO A CICLISMO</v>
      </c>
      <c r="T52" s="64" t="str">
        <f>IFERROR(__xludf.DUMMYFUNCTION("""COMPUTED_VALUE"""),"DESCARGA DE BATERÍA")</f>
        <v>DESCARGA DE BATERÍA</v>
      </c>
      <c r="U52" s="64" t="str">
        <f>IFERROR(__xludf.DUMMYFUNCTION("""COMPUTED_VALUE"""),"PROBLEMAS DE SALUD")</f>
        <v>PROBLEMAS DE SALUD</v>
      </c>
      <c r="V52" s="64" t="str">
        <f>IFERROR(__xludf.DUMMYFUNCTION("""COMPUTED_VALUE"""),"OLVIDO LA LLAVE")</f>
        <v>OLVIDO LA LLAVE</v>
      </c>
      <c r="W52" s="64" t="str">
        <f>IFERROR(__xludf.DUMMYFUNCTION("""COMPUTED_VALUE"""),"CARGA SOBREDIMENSIONADA")</f>
        <v>CARGA SOBREDIMENSIONADA</v>
      </c>
      <c r="X52" s="64" t="str">
        <f>IFERROR(__xludf.DUMMYFUNCTION("""COMPUTED_VALUE"""),"VEHÍCULO ABANDONADO")</f>
        <v>VEHÍCULO ABANDONADO</v>
      </c>
      <c r="Y52" s="64" t="str">
        <f>IFERROR(__xludf.DUMMYFUNCTION("""COMPUTED_VALUE"""),"DESPRENDIMIENTO")</f>
        <v>DESPRENDIMIENTO</v>
      </c>
      <c r="Z52" s="64" t="str">
        <f>IFERROR(__xludf.DUMMYFUNCTION("""COMPUTED_VALUE"""),"CAÍDA DE POSTE")</f>
        <v>CAÍDA DE POSTE</v>
      </c>
      <c r="AA52" s="64" t="str">
        <f>IFERROR(__xludf.DUMMYFUNCTION("""COMPUTED_VALUE"""),"CAÍDA DE RAMA")</f>
        <v>CAÍDA DE RAMA</v>
      </c>
      <c r="AB52" s="64" t="str">
        <f>IFERROR(__xludf.DUMMYFUNCTION("""COMPUTED_VALUE"""),"OPERATIVO DGT")</f>
        <v>OPERATIVO DGT</v>
      </c>
      <c r="AC52" s="64" t="str">
        <f>IFERROR(__xludf.DUMMYFUNCTION("""COMPUTED_VALUE"""),"OPERATIVO PMT")</f>
        <v>OPERATIVO PMT</v>
      </c>
      <c r="AD52" s="64" t="str">
        <f>IFERROR(__xludf.DUMMYFUNCTION("""COMPUTED_VALUE"""),"APOYO A DIGEF")</f>
        <v>APOYO A DIGEF</v>
      </c>
      <c r="AE52" s="64" t="str">
        <f>IFERROR(__xludf.DUMMYFUNCTION("""COMPUTED_VALUE"""),"OPERATIVO PNC TRANSITO")</f>
        <v>OPERATIVO PNC TRANSITO</v>
      </c>
      <c r="AF52" s="64" t="str">
        <f>IFERROR(__xludf.DUMMYFUNCTION("""COMPUTED_VALUE"""),"SOBRECARGA ")</f>
        <v>SOBRECARGA </v>
      </c>
      <c r="AG52" s="64" t="str">
        <f>IFERROR(__xludf.DUMMYFUNCTION("""COMPUTED_VALUE"""),"OPERATIVO EN CONJUNTO")</f>
        <v>OPERATIVO EN CONJUNTO</v>
      </c>
      <c r="AH52" s="64" t="str">
        <f>IFERROR(__xludf.DUMMYFUNCTION("""COMPUTED_VALUE"""),"PUESTO DE ATENCION AL USUARIO")</f>
        <v>PUESTO DE ATENCION AL USUARIO</v>
      </c>
      <c r="AI52" s="64" t="str">
        <f>IFERROR(__xludf.DUMMYFUNCTION("""COMPUTED_VALUE"""),"INCENDIO EN RUTA")</f>
        <v>INCENDIO EN RUTA</v>
      </c>
      <c r="AJ52" s="64" t="str">
        <f>IFERROR(__xludf.DUMMYFUNCTION("""COMPUTED_VALUE"""),"APOYO ANTORCHA ")</f>
        <v>APOYO ANTORCHA </v>
      </c>
    </row>
    <row r="53">
      <c r="B53" s="64" t="s">
        <v>54</v>
      </c>
      <c r="C53" s="64" t="str">
        <f>IFERROR(__xludf.DUMMYFUNCTION(" TRANSPOSE( unique ( QUERY(DATOPRO,""select Col2 where Col1 = '""&amp;B53&amp;""'"")))"),"PINCHAZO")</f>
        <v>PINCHAZO</v>
      </c>
      <c r="D53" s="64" t="str">
        <f>IFERROR(__xludf.DUMMYFUNCTION("""COMPUTED_VALUE"""),"TRABAJOS DE CARRETERA")</f>
        <v>TRABAJOS DE CARRETERA</v>
      </c>
      <c r="E53" s="64" t="str">
        <f>IFERROR(__xludf.DUMMYFUNCTION("""COMPUTED_VALUE"""),"CONSIGNACIÓN")</f>
        <v>CONSIGNACIÓN</v>
      </c>
      <c r="F53" s="64" t="str">
        <f>IFERROR(__xludf.DUMMYFUNCTION("""COMPUTED_VALUE"""),"DERRAME")</f>
        <v>DERRAME</v>
      </c>
      <c r="G53" s="64" t="str">
        <f>IFERROR(__xludf.DUMMYFUNCTION("""COMPUTED_VALUE"""),"CALENTAMIENTO")</f>
        <v>CALENTAMIENTO</v>
      </c>
      <c r="H53" s="64" t="str">
        <f>IFERROR(__xludf.DUMMYFUNCTION("""COMPUTED_VALUE"""),"ESCOLTANDO")</f>
        <v>ESCOLTANDO</v>
      </c>
      <c r="I53" s="64" t="str">
        <f>IFERROR(__xludf.DUMMYFUNCTION("""COMPUTED_VALUE"""),"FALTA DE COMBUSTIBLE")</f>
        <v>FALTA DE COMBUSTIBLE</v>
      </c>
      <c r="J53" s="64" t="str">
        <f>IFERROR(__xludf.DUMMYFUNCTION("""COMPUTED_VALUE"""),"DESPERFECTOS MECÁNICOS")</f>
        <v>DESPERFECTOS MECÁNICOS</v>
      </c>
      <c r="K53" s="64" t="str">
        <f>IFERROR(__xludf.DUMMYFUNCTION("""COMPUTED_VALUE"""),"LLAMADA DE ATENCIÓN")</f>
        <v>LLAMADA DE ATENCIÓN</v>
      </c>
      <c r="L53" s="64" t="str">
        <f>IFERROR(__xludf.DUMMYFUNCTION("""COMPUTED_VALUE"""),"OPERATIVOS")</f>
        <v>OPERATIVOS</v>
      </c>
      <c r="M53" s="64" t="str">
        <f>IFERROR(__xludf.DUMMYFUNCTION("""COMPUTED_VALUE"""),"SANCIÓN")</f>
        <v>SANCIÓN</v>
      </c>
      <c r="N53" s="64" t="str">
        <f>IFERROR(__xludf.DUMMYFUNCTION("""COMPUTED_VALUE"""),"SISTEMA ELECTRICO")</f>
        <v>SISTEMA ELECTRICO</v>
      </c>
      <c r="O53" s="64" t="str">
        <f>IFERROR(__xludf.DUMMYFUNCTION("""COMPUTED_VALUE"""),"ASISTENCIA AL USUARIO")</f>
        <v>ASISTENCIA AL USUARIO</v>
      </c>
      <c r="P53" s="64" t="str">
        <f>IFERROR(__xludf.DUMMYFUNCTION("""COMPUTED_VALUE"""),"DOBLE REMOLQUE")</f>
        <v>DOBLE REMOLQUE</v>
      </c>
      <c r="Q53" s="64" t="str">
        <f>IFERROR(__xludf.DUMMYFUNCTION("""COMPUTED_VALUE"""),"SINAPRESE")</f>
        <v>SINAPRESE</v>
      </c>
      <c r="R53" s="64" t="str">
        <f>IFERROR(__xludf.DUMMYFUNCTION("""COMPUTED_VALUE"""),"APOYO ATLETISMO")</f>
        <v>APOYO ATLETISMO</v>
      </c>
      <c r="S53" s="64" t="str">
        <f>IFERROR(__xludf.DUMMYFUNCTION("""COMPUTED_VALUE"""),"APOYO A CICLISMO")</f>
        <v>APOYO A CICLISMO</v>
      </c>
      <c r="T53" s="64" t="str">
        <f>IFERROR(__xludf.DUMMYFUNCTION("""COMPUTED_VALUE"""),"DESCARGA DE BATERÍA")</f>
        <v>DESCARGA DE BATERÍA</v>
      </c>
      <c r="U53" s="64" t="str">
        <f>IFERROR(__xludf.DUMMYFUNCTION("""COMPUTED_VALUE"""),"PROBLEMAS DE SALUD")</f>
        <v>PROBLEMAS DE SALUD</v>
      </c>
      <c r="V53" s="64" t="str">
        <f>IFERROR(__xludf.DUMMYFUNCTION("""COMPUTED_VALUE"""),"OLVIDO LA LLAVE")</f>
        <v>OLVIDO LA LLAVE</v>
      </c>
      <c r="W53" s="64" t="str">
        <f>IFERROR(__xludf.DUMMYFUNCTION("""COMPUTED_VALUE"""),"CARGA SOBREDIMENSIONADA")</f>
        <v>CARGA SOBREDIMENSIONADA</v>
      </c>
      <c r="X53" s="64" t="str">
        <f>IFERROR(__xludf.DUMMYFUNCTION("""COMPUTED_VALUE"""),"VEHÍCULO ABANDONADO")</f>
        <v>VEHÍCULO ABANDONADO</v>
      </c>
      <c r="Y53" s="64" t="str">
        <f>IFERROR(__xludf.DUMMYFUNCTION("""COMPUTED_VALUE"""),"DESPRENDIMIENTO")</f>
        <v>DESPRENDIMIENTO</v>
      </c>
      <c r="Z53" s="64" t="str">
        <f>IFERROR(__xludf.DUMMYFUNCTION("""COMPUTED_VALUE"""),"CAÍDA DE POSTE")</f>
        <v>CAÍDA DE POSTE</v>
      </c>
      <c r="AA53" s="64" t="str">
        <f>IFERROR(__xludf.DUMMYFUNCTION("""COMPUTED_VALUE"""),"CAÍDA DE RAMA")</f>
        <v>CAÍDA DE RAMA</v>
      </c>
      <c r="AB53" s="64" t="str">
        <f>IFERROR(__xludf.DUMMYFUNCTION("""COMPUTED_VALUE"""),"OPERATIVO DGT")</f>
        <v>OPERATIVO DGT</v>
      </c>
      <c r="AC53" s="64" t="str">
        <f>IFERROR(__xludf.DUMMYFUNCTION("""COMPUTED_VALUE"""),"OPERATIVO PMT")</f>
        <v>OPERATIVO PMT</v>
      </c>
      <c r="AD53" s="64" t="str">
        <f>IFERROR(__xludf.DUMMYFUNCTION("""COMPUTED_VALUE"""),"APOYO A DIGEF")</f>
        <v>APOYO A DIGEF</v>
      </c>
      <c r="AE53" s="64" t="str">
        <f>IFERROR(__xludf.DUMMYFUNCTION("""COMPUTED_VALUE"""),"OPERATIVO PNC TRANSITO")</f>
        <v>OPERATIVO PNC TRANSITO</v>
      </c>
      <c r="AF53" s="64" t="str">
        <f>IFERROR(__xludf.DUMMYFUNCTION("""COMPUTED_VALUE"""),"SOBRECARGA ")</f>
        <v>SOBRECARGA </v>
      </c>
      <c r="AG53" s="64" t="str">
        <f>IFERROR(__xludf.DUMMYFUNCTION("""COMPUTED_VALUE"""),"OPERATIVO EN CONJUNTO")</f>
        <v>OPERATIVO EN CONJUNTO</v>
      </c>
      <c r="AH53" s="64" t="str">
        <f>IFERROR(__xludf.DUMMYFUNCTION("""COMPUTED_VALUE"""),"PUESTO DE ATENCION AL USUARIO")</f>
        <v>PUESTO DE ATENCION AL USUARIO</v>
      </c>
      <c r="AI53" s="64" t="str">
        <f>IFERROR(__xludf.DUMMYFUNCTION("""COMPUTED_VALUE"""),"INCENDIO EN RUTA")</f>
        <v>INCENDIO EN RUTA</v>
      </c>
      <c r="AJ53" s="64" t="str">
        <f>IFERROR(__xludf.DUMMYFUNCTION("""COMPUTED_VALUE"""),"APOYO ANTORCHA ")</f>
        <v>APOYO ANTORCHA </v>
      </c>
    </row>
    <row r="54">
      <c r="B54" s="64"/>
      <c r="C54" s="64" t="str">
        <f>IFERROR(__xludf.DUMMYFUNCTION(" TRANSPOSE( unique ( QUERY(DATOPRO,""select Col2 where Col1 = '""&amp;B54&amp;""'"")))"),"")</f>
        <v/>
      </c>
    </row>
    <row r="55">
      <c r="B55" s="64" t="s">
        <v>38</v>
      </c>
      <c r="C55" s="64" t="str">
        <f>IFERROR(__xludf.DUMMYFUNCTION(" TRANSPOSE( unique ( QUERY(DATOPRO,""select Col2 where Col1 = '""&amp;B55&amp;""'"")))"),"ATAQUE ARMADO")</f>
        <v>ATAQUE ARMADO</v>
      </c>
      <c r="D55" s="64" t="str">
        <f>IFERROR(__xludf.DUMMYFUNCTION("""COMPUTED_VALUE"""),"DESBALANCE DE CARGA")</f>
        <v>DESBALANCE DE CARGA</v>
      </c>
      <c r="E55" s="64" t="str">
        <f>IFERROR(__xludf.DUMMYFUNCTION("""COMPUTED_VALUE"""),"PERSONA FALLECIDA")</f>
        <v>PERSONA FALLECIDA</v>
      </c>
      <c r="F55" s="64" t="str">
        <f>IFERROR(__xludf.DUMMYFUNCTION("""COMPUTED_VALUE"""),"DESPRENDIMIENTO DE NEUMATICO")</f>
        <v>DESPRENDIMIENTO DE NEUMATICO</v>
      </c>
      <c r="G55" s="64" t="str">
        <f>IFERROR(__xludf.DUMMYFUNCTION("""COMPUTED_VALUE"""),"SALIDA DE PISTA")</f>
        <v>SALIDA DE PISTA</v>
      </c>
      <c r="H55" s="64" t="str">
        <f>IFERROR(__xludf.DUMMYFUNCTION("""COMPUTED_VALUE"""),"DESPRENDIMIENTO DE CONTENEDOR")</f>
        <v>DESPRENDIMIENTO DE CONTENEDOR</v>
      </c>
      <c r="I55" s="64" t="str">
        <f>IFERROR(__xludf.DUMMYFUNCTION("""COMPUTED_VALUE"""),"CAÍDA DE CARGA")</f>
        <v>CAÍDA DE CARGA</v>
      </c>
      <c r="J55" s="64" t="str">
        <f>IFERROR(__xludf.DUMMYFUNCTION("""COMPUTED_VALUE"""),"CHOQUE")</f>
        <v>CHOQUE</v>
      </c>
      <c r="K55" s="64" t="str">
        <f>IFERROR(__xludf.DUMMYFUNCTION("""COMPUTED_VALUE"""),"COLISIÓN")</f>
        <v>COLISIÓN</v>
      </c>
      <c r="L55" s="64" t="str">
        <f>IFERROR(__xludf.DUMMYFUNCTION("""COMPUTED_VALUE"""),"COLISIÓN MÚLTIPLE")</f>
        <v>COLISIÓN MÚLTIPLE</v>
      </c>
      <c r="M55" s="64" t="str">
        <f>IFERROR(__xludf.DUMMYFUNCTION("""COMPUTED_VALUE"""),"DERRAPE")</f>
        <v>DERRAPE</v>
      </c>
      <c r="N55" s="64" t="str">
        <f>IFERROR(__xludf.DUMMYFUNCTION("""COMPUTED_VALUE"""),"VEHÍCULO INCENDIADO")</f>
        <v>VEHÍCULO INCENDIADO</v>
      </c>
      <c r="O55" s="64" t="str">
        <f>IFERROR(__xludf.DUMMYFUNCTION("""COMPUTED_VALUE"""),"VUELCO")</f>
        <v>VUELCO</v>
      </c>
      <c r="P55" s="64" t="str">
        <f>IFERROR(__xludf.DUMMYFUNCTION("""COMPUTED_VALUE"""),"DESPRENDIMIENTO")</f>
        <v>DESPRENDIMIENTO</v>
      </c>
      <c r="Q55" s="64" t="str">
        <f>IFERROR(__xludf.DUMMYFUNCTION("""COMPUTED_VALUE"""),"CAÍDA DE ÁRBOL")</f>
        <v>CAÍDA DE ÁRBOL</v>
      </c>
      <c r="R55" s="64" t="str">
        <f>IFERROR(__xludf.DUMMYFUNCTION("""COMPUTED_VALUE"""),"DESPRENDIMIENTO DE EJE")</f>
        <v>DESPRENDIMIENTO DE EJE</v>
      </c>
      <c r="S55" s="64" t="str">
        <f>IFERROR(__xludf.DUMMYFUNCTION("""COMPUTED_VALUE"""),"PERSONA ATROPELLADA")</f>
        <v>PERSONA ATROPELLADA</v>
      </c>
    </row>
    <row r="56">
      <c r="B56" s="64" t="s">
        <v>54</v>
      </c>
      <c r="C56" s="64" t="str">
        <f>IFERROR(__xludf.DUMMYFUNCTION(" TRANSPOSE( unique ( QUERY(DATOPRO,""select Col2 where Col1 = '""&amp;B56&amp;""'"")))"),"PINCHAZO")</f>
        <v>PINCHAZO</v>
      </c>
      <c r="D56" s="64" t="str">
        <f>IFERROR(__xludf.DUMMYFUNCTION("""COMPUTED_VALUE"""),"TRABAJOS DE CARRETERA")</f>
        <v>TRABAJOS DE CARRETERA</v>
      </c>
      <c r="E56" s="64" t="str">
        <f>IFERROR(__xludf.DUMMYFUNCTION("""COMPUTED_VALUE"""),"CONSIGNACIÓN")</f>
        <v>CONSIGNACIÓN</v>
      </c>
      <c r="F56" s="64" t="str">
        <f>IFERROR(__xludf.DUMMYFUNCTION("""COMPUTED_VALUE"""),"DERRAME")</f>
        <v>DERRAME</v>
      </c>
      <c r="G56" s="64" t="str">
        <f>IFERROR(__xludf.DUMMYFUNCTION("""COMPUTED_VALUE"""),"CALENTAMIENTO")</f>
        <v>CALENTAMIENTO</v>
      </c>
      <c r="H56" s="64" t="str">
        <f>IFERROR(__xludf.DUMMYFUNCTION("""COMPUTED_VALUE"""),"ESCOLTANDO")</f>
        <v>ESCOLTANDO</v>
      </c>
      <c r="I56" s="64" t="str">
        <f>IFERROR(__xludf.DUMMYFUNCTION("""COMPUTED_VALUE"""),"FALTA DE COMBUSTIBLE")</f>
        <v>FALTA DE COMBUSTIBLE</v>
      </c>
      <c r="J56" s="64" t="str">
        <f>IFERROR(__xludf.DUMMYFUNCTION("""COMPUTED_VALUE"""),"DESPERFECTOS MECÁNICOS")</f>
        <v>DESPERFECTOS MECÁNICOS</v>
      </c>
      <c r="K56" s="64" t="str">
        <f>IFERROR(__xludf.DUMMYFUNCTION("""COMPUTED_VALUE"""),"LLAMADA DE ATENCIÓN")</f>
        <v>LLAMADA DE ATENCIÓN</v>
      </c>
      <c r="L56" s="64" t="str">
        <f>IFERROR(__xludf.DUMMYFUNCTION("""COMPUTED_VALUE"""),"OPERATIVOS")</f>
        <v>OPERATIVOS</v>
      </c>
      <c r="M56" s="64" t="str">
        <f>IFERROR(__xludf.DUMMYFUNCTION("""COMPUTED_VALUE"""),"SANCIÓN")</f>
        <v>SANCIÓN</v>
      </c>
      <c r="N56" s="64" t="str">
        <f>IFERROR(__xludf.DUMMYFUNCTION("""COMPUTED_VALUE"""),"SISTEMA ELECTRICO")</f>
        <v>SISTEMA ELECTRICO</v>
      </c>
      <c r="O56" s="64" t="str">
        <f>IFERROR(__xludf.DUMMYFUNCTION("""COMPUTED_VALUE"""),"ASISTENCIA AL USUARIO")</f>
        <v>ASISTENCIA AL USUARIO</v>
      </c>
      <c r="P56" s="64" t="str">
        <f>IFERROR(__xludf.DUMMYFUNCTION("""COMPUTED_VALUE"""),"DOBLE REMOLQUE")</f>
        <v>DOBLE REMOLQUE</v>
      </c>
      <c r="Q56" s="64" t="str">
        <f>IFERROR(__xludf.DUMMYFUNCTION("""COMPUTED_VALUE"""),"SINAPRESE")</f>
        <v>SINAPRESE</v>
      </c>
      <c r="R56" s="64" t="str">
        <f>IFERROR(__xludf.DUMMYFUNCTION("""COMPUTED_VALUE"""),"APOYO ATLETISMO")</f>
        <v>APOYO ATLETISMO</v>
      </c>
      <c r="S56" s="64" t="str">
        <f>IFERROR(__xludf.DUMMYFUNCTION("""COMPUTED_VALUE"""),"APOYO A CICLISMO")</f>
        <v>APOYO A CICLISMO</v>
      </c>
      <c r="T56" s="64" t="str">
        <f>IFERROR(__xludf.DUMMYFUNCTION("""COMPUTED_VALUE"""),"DESCARGA DE BATERÍA")</f>
        <v>DESCARGA DE BATERÍA</v>
      </c>
      <c r="U56" s="64" t="str">
        <f>IFERROR(__xludf.DUMMYFUNCTION("""COMPUTED_VALUE"""),"PROBLEMAS DE SALUD")</f>
        <v>PROBLEMAS DE SALUD</v>
      </c>
      <c r="V56" s="64" t="str">
        <f>IFERROR(__xludf.DUMMYFUNCTION("""COMPUTED_VALUE"""),"OLVIDO LA LLAVE")</f>
        <v>OLVIDO LA LLAVE</v>
      </c>
      <c r="W56" s="64" t="str">
        <f>IFERROR(__xludf.DUMMYFUNCTION("""COMPUTED_VALUE"""),"CARGA SOBREDIMENSIONADA")</f>
        <v>CARGA SOBREDIMENSIONADA</v>
      </c>
      <c r="X56" s="64" t="str">
        <f>IFERROR(__xludf.DUMMYFUNCTION("""COMPUTED_VALUE"""),"VEHÍCULO ABANDONADO")</f>
        <v>VEHÍCULO ABANDONADO</v>
      </c>
      <c r="Y56" s="64" t="str">
        <f>IFERROR(__xludf.DUMMYFUNCTION("""COMPUTED_VALUE"""),"DESPRENDIMIENTO")</f>
        <v>DESPRENDIMIENTO</v>
      </c>
      <c r="Z56" s="64" t="str">
        <f>IFERROR(__xludf.DUMMYFUNCTION("""COMPUTED_VALUE"""),"CAÍDA DE POSTE")</f>
        <v>CAÍDA DE POSTE</v>
      </c>
      <c r="AA56" s="64" t="str">
        <f>IFERROR(__xludf.DUMMYFUNCTION("""COMPUTED_VALUE"""),"CAÍDA DE RAMA")</f>
        <v>CAÍDA DE RAMA</v>
      </c>
      <c r="AB56" s="64" t="str">
        <f>IFERROR(__xludf.DUMMYFUNCTION("""COMPUTED_VALUE"""),"OPERATIVO DGT")</f>
        <v>OPERATIVO DGT</v>
      </c>
      <c r="AC56" s="64" t="str">
        <f>IFERROR(__xludf.DUMMYFUNCTION("""COMPUTED_VALUE"""),"OPERATIVO PMT")</f>
        <v>OPERATIVO PMT</v>
      </c>
      <c r="AD56" s="64" t="str">
        <f>IFERROR(__xludf.DUMMYFUNCTION("""COMPUTED_VALUE"""),"APOYO A DIGEF")</f>
        <v>APOYO A DIGEF</v>
      </c>
      <c r="AE56" s="64" t="str">
        <f>IFERROR(__xludf.DUMMYFUNCTION("""COMPUTED_VALUE"""),"OPERATIVO PNC TRANSITO")</f>
        <v>OPERATIVO PNC TRANSITO</v>
      </c>
      <c r="AF56" s="64" t="str">
        <f>IFERROR(__xludf.DUMMYFUNCTION("""COMPUTED_VALUE"""),"SOBRECARGA ")</f>
        <v>SOBRECARGA </v>
      </c>
      <c r="AG56" s="64" t="str">
        <f>IFERROR(__xludf.DUMMYFUNCTION("""COMPUTED_VALUE"""),"OPERATIVO EN CONJUNTO")</f>
        <v>OPERATIVO EN CONJUNTO</v>
      </c>
      <c r="AH56" s="64" t="str">
        <f>IFERROR(__xludf.DUMMYFUNCTION("""COMPUTED_VALUE"""),"PUESTO DE ATENCION AL USUARIO")</f>
        <v>PUESTO DE ATENCION AL USUARIO</v>
      </c>
      <c r="AI56" s="64" t="str">
        <f>IFERROR(__xludf.DUMMYFUNCTION("""COMPUTED_VALUE"""),"INCENDIO EN RUTA")</f>
        <v>INCENDIO EN RUTA</v>
      </c>
      <c r="AJ56" s="64" t="str">
        <f>IFERROR(__xludf.DUMMYFUNCTION("""COMPUTED_VALUE"""),"APOYO ANTORCHA ")</f>
        <v>APOYO ANTORCHA </v>
      </c>
    </row>
    <row r="57">
      <c r="B57" s="64" t="s">
        <v>38</v>
      </c>
      <c r="C57" s="64" t="str">
        <f>IFERROR(__xludf.DUMMYFUNCTION(" TRANSPOSE( unique ( QUERY(DATOPRO,""select Col2 where Col1 = '""&amp;B57&amp;""'"")))"),"ATAQUE ARMADO")</f>
        <v>ATAQUE ARMADO</v>
      </c>
      <c r="D57" s="64" t="str">
        <f>IFERROR(__xludf.DUMMYFUNCTION("""COMPUTED_VALUE"""),"DESBALANCE DE CARGA")</f>
        <v>DESBALANCE DE CARGA</v>
      </c>
      <c r="E57" s="64" t="str">
        <f>IFERROR(__xludf.DUMMYFUNCTION("""COMPUTED_VALUE"""),"PERSONA FALLECIDA")</f>
        <v>PERSONA FALLECIDA</v>
      </c>
      <c r="F57" s="64" t="str">
        <f>IFERROR(__xludf.DUMMYFUNCTION("""COMPUTED_VALUE"""),"DESPRENDIMIENTO DE NEUMATICO")</f>
        <v>DESPRENDIMIENTO DE NEUMATICO</v>
      </c>
      <c r="G57" s="64" t="str">
        <f>IFERROR(__xludf.DUMMYFUNCTION("""COMPUTED_VALUE"""),"SALIDA DE PISTA")</f>
        <v>SALIDA DE PISTA</v>
      </c>
      <c r="H57" s="64" t="str">
        <f>IFERROR(__xludf.DUMMYFUNCTION("""COMPUTED_VALUE"""),"DESPRENDIMIENTO DE CONTENEDOR")</f>
        <v>DESPRENDIMIENTO DE CONTENEDOR</v>
      </c>
      <c r="I57" s="64" t="str">
        <f>IFERROR(__xludf.DUMMYFUNCTION("""COMPUTED_VALUE"""),"CAÍDA DE CARGA")</f>
        <v>CAÍDA DE CARGA</v>
      </c>
      <c r="J57" s="64" t="str">
        <f>IFERROR(__xludf.DUMMYFUNCTION("""COMPUTED_VALUE"""),"CHOQUE")</f>
        <v>CHOQUE</v>
      </c>
      <c r="K57" s="64" t="str">
        <f>IFERROR(__xludf.DUMMYFUNCTION("""COMPUTED_VALUE"""),"COLISIÓN")</f>
        <v>COLISIÓN</v>
      </c>
      <c r="L57" s="64" t="str">
        <f>IFERROR(__xludf.DUMMYFUNCTION("""COMPUTED_VALUE"""),"COLISIÓN MÚLTIPLE")</f>
        <v>COLISIÓN MÚLTIPLE</v>
      </c>
      <c r="M57" s="64" t="str">
        <f>IFERROR(__xludf.DUMMYFUNCTION("""COMPUTED_VALUE"""),"DERRAPE")</f>
        <v>DERRAPE</v>
      </c>
      <c r="N57" s="64" t="str">
        <f>IFERROR(__xludf.DUMMYFUNCTION("""COMPUTED_VALUE"""),"VEHÍCULO INCENDIADO")</f>
        <v>VEHÍCULO INCENDIADO</v>
      </c>
      <c r="O57" s="64" t="str">
        <f>IFERROR(__xludf.DUMMYFUNCTION("""COMPUTED_VALUE"""),"VUELCO")</f>
        <v>VUELCO</v>
      </c>
      <c r="P57" s="64" t="str">
        <f>IFERROR(__xludf.DUMMYFUNCTION("""COMPUTED_VALUE"""),"DESPRENDIMIENTO")</f>
        <v>DESPRENDIMIENTO</v>
      </c>
      <c r="Q57" s="64" t="str">
        <f>IFERROR(__xludf.DUMMYFUNCTION("""COMPUTED_VALUE"""),"CAÍDA DE ÁRBOL")</f>
        <v>CAÍDA DE ÁRBOL</v>
      </c>
      <c r="R57" s="64" t="str">
        <f>IFERROR(__xludf.DUMMYFUNCTION("""COMPUTED_VALUE"""),"DESPRENDIMIENTO DE EJE")</f>
        <v>DESPRENDIMIENTO DE EJE</v>
      </c>
      <c r="S57" s="64" t="str">
        <f>IFERROR(__xludf.DUMMYFUNCTION("""COMPUTED_VALUE"""),"PERSONA ATROPELLADA")</f>
        <v>PERSONA ATROPELLADA</v>
      </c>
    </row>
    <row r="58">
      <c r="B58" s="64"/>
      <c r="C58" s="64" t="str">
        <f>IFERROR(__xludf.DUMMYFUNCTION(" TRANSPOSE( unique ( QUERY(DATOPRO,""select Col2 where Col1 = '""&amp;B58&amp;""'"")))"),"")</f>
        <v/>
      </c>
    </row>
    <row r="59">
      <c r="B59" s="64" t="s">
        <v>38</v>
      </c>
      <c r="C59" s="64" t="str">
        <f>IFERROR(__xludf.DUMMYFUNCTION(" TRANSPOSE( unique ( QUERY(DATOPRO,""select Col2 where Col1 = '""&amp;B59&amp;""'"")))"),"ATAQUE ARMADO")</f>
        <v>ATAQUE ARMADO</v>
      </c>
      <c r="D59" s="64" t="str">
        <f>IFERROR(__xludf.DUMMYFUNCTION("""COMPUTED_VALUE"""),"DESBALANCE DE CARGA")</f>
        <v>DESBALANCE DE CARGA</v>
      </c>
      <c r="E59" s="64" t="str">
        <f>IFERROR(__xludf.DUMMYFUNCTION("""COMPUTED_VALUE"""),"PERSONA FALLECIDA")</f>
        <v>PERSONA FALLECIDA</v>
      </c>
      <c r="F59" s="64" t="str">
        <f>IFERROR(__xludf.DUMMYFUNCTION("""COMPUTED_VALUE"""),"DESPRENDIMIENTO DE NEUMATICO")</f>
        <v>DESPRENDIMIENTO DE NEUMATICO</v>
      </c>
      <c r="G59" s="64" t="str">
        <f>IFERROR(__xludf.DUMMYFUNCTION("""COMPUTED_VALUE"""),"SALIDA DE PISTA")</f>
        <v>SALIDA DE PISTA</v>
      </c>
      <c r="H59" s="64" t="str">
        <f>IFERROR(__xludf.DUMMYFUNCTION("""COMPUTED_VALUE"""),"DESPRENDIMIENTO DE CONTENEDOR")</f>
        <v>DESPRENDIMIENTO DE CONTENEDOR</v>
      </c>
      <c r="I59" s="64" t="str">
        <f>IFERROR(__xludf.DUMMYFUNCTION("""COMPUTED_VALUE"""),"CAÍDA DE CARGA")</f>
        <v>CAÍDA DE CARGA</v>
      </c>
      <c r="J59" s="64" t="str">
        <f>IFERROR(__xludf.DUMMYFUNCTION("""COMPUTED_VALUE"""),"CHOQUE")</f>
        <v>CHOQUE</v>
      </c>
      <c r="K59" s="64" t="str">
        <f>IFERROR(__xludf.DUMMYFUNCTION("""COMPUTED_VALUE"""),"COLISIÓN")</f>
        <v>COLISIÓN</v>
      </c>
      <c r="L59" s="64" t="str">
        <f>IFERROR(__xludf.DUMMYFUNCTION("""COMPUTED_VALUE"""),"COLISIÓN MÚLTIPLE")</f>
        <v>COLISIÓN MÚLTIPLE</v>
      </c>
      <c r="M59" s="64" t="str">
        <f>IFERROR(__xludf.DUMMYFUNCTION("""COMPUTED_VALUE"""),"DERRAPE")</f>
        <v>DERRAPE</v>
      </c>
      <c r="N59" s="64" t="str">
        <f>IFERROR(__xludf.DUMMYFUNCTION("""COMPUTED_VALUE"""),"VEHÍCULO INCENDIADO")</f>
        <v>VEHÍCULO INCENDIADO</v>
      </c>
      <c r="O59" s="64" t="str">
        <f>IFERROR(__xludf.DUMMYFUNCTION("""COMPUTED_VALUE"""),"VUELCO")</f>
        <v>VUELCO</v>
      </c>
      <c r="P59" s="64" t="str">
        <f>IFERROR(__xludf.DUMMYFUNCTION("""COMPUTED_VALUE"""),"DESPRENDIMIENTO")</f>
        <v>DESPRENDIMIENTO</v>
      </c>
      <c r="Q59" s="64" t="str">
        <f>IFERROR(__xludf.DUMMYFUNCTION("""COMPUTED_VALUE"""),"CAÍDA DE ÁRBOL")</f>
        <v>CAÍDA DE ÁRBOL</v>
      </c>
      <c r="R59" s="64" t="str">
        <f>IFERROR(__xludf.DUMMYFUNCTION("""COMPUTED_VALUE"""),"DESPRENDIMIENTO DE EJE")</f>
        <v>DESPRENDIMIENTO DE EJE</v>
      </c>
      <c r="S59" s="64" t="str">
        <f>IFERROR(__xludf.DUMMYFUNCTION("""COMPUTED_VALUE"""),"PERSONA ATROPELLADA")</f>
        <v>PERSONA ATROPELLADA</v>
      </c>
    </row>
    <row r="60">
      <c r="B60" s="64" t="s">
        <v>54</v>
      </c>
      <c r="C60" s="64" t="str">
        <f>IFERROR(__xludf.DUMMYFUNCTION(" TRANSPOSE( unique ( QUERY(DATOPRO,""select Col2 where Col1 = '""&amp;B60&amp;""'"")))"),"PINCHAZO")</f>
        <v>PINCHAZO</v>
      </c>
      <c r="D60" s="64" t="str">
        <f>IFERROR(__xludf.DUMMYFUNCTION("""COMPUTED_VALUE"""),"TRABAJOS DE CARRETERA")</f>
        <v>TRABAJOS DE CARRETERA</v>
      </c>
      <c r="E60" s="64" t="str">
        <f>IFERROR(__xludf.DUMMYFUNCTION("""COMPUTED_VALUE"""),"CONSIGNACIÓN")</f>
        <v>CONSIGNACIÓN</v>
      </c>
      <c r="F60" s="64" t="str">
        <f>IFERROR(__xludf.DUMMYFUNCTION("""COMPUTED_VALUE"""),"DERRAME")</f>
        <v>DERRAME</v>
      </c>
      <c r="G60" s="64" t="str">
        <f>IFERROR(__xludf.DUMMYFUNCTION("""COMPUTED_VALUE"""),"CALENTAMIENTO")</f>
        <v>CALENTAMIENTO</v>
      </c>
      <c r="H60" s="64" t="str">
        <f>IFERROR(__xludf.DUMMYFUNCTION("""COMPUTED_VALUE"""),"ESCOLTANDO")</f>
        <v>ESCOLTANDO</v>
      </c>
      <c r="I60" s="64" t="str">
        <f>IFERROR(__xludf.DUMMYFUNCTION("""COMPUTED_VALUE"""),"FALTA DE COMBUSTIBLE")</f>
        <v>FALTA DE COMBUSTIBLE</v>
      </c>
      <c r="J60" s="64" t="str">
        <f>IFERROR(__xludf.DUMMYFUNCTION("""COMPUTED_VALUE"""),"DESPERFECTOS MECÁNICOS")</f>
        <v>DESPERFECTOS MECÁNICOS</v>
      </c>
      <c r="K60" s="64" t="str">
        <f>IFERROR(__xludf.DUMMYFUNCTION("""COMPUTED_VALUE"""),"LLAMADA DE ATENCIÓN")</f>
        <v>LLAMADA DE ATENCIÓN</v>
      </c>
      <c r="L60" s="64" t="str">
        <f>IFERROR(__xludf.DUMMYFUNCTION("""COMPUTED_VALUE"""),"OPERATIVOS")</f>
        <v>OPERATIVOS</v>
      </c>
      <c r="M60" s="64" t="str">
        <f>IFERROR(__xludf.DUMMYFUNCTION("""COMPUTED_VALUE"""),"SANCIÓN")</f>
        <v>SANCIÓN</v>
      </c>
      <c r="N60" s="64" t="str">
        <f>IFERROR(__xludf.DUMMYFUNCTION("""COMPUTED_VALUE"""),"SISTEMA ELECTRICO")</f>
        <v>SISTEMA ELECTRICO</v>
      </c>
      <c r="O60" s="64" t="str">
        <f>IFERROR(__xludf.DUMMYFUNCTION("""COMPUTED_VALUE"""),"ASISTENCIA AL USUARIO")</f>
        <v>ASISTENCIA AL USUARIO</v>
      </c>
      <c r="P60" s="64" t="str">
        <f>IFERROR(__xludf.DUMMYFUNCTION("""COMPUTED_VALUE"""),"DOBLE REMOLQUE")</f>
        <v>DOBLE REMOLQUE</v>
      </c>
      <c r="Q60" s="64" t="str">
        <f>IFERROR(__xludf.DUMMYFUNCTION("""COMPUTED_VALUE"""),"SINAPRESE")</f>
        <v>SINAPRESE</v>
      </c>
      <c r="R60" s="64" t="str">
        <f>IFERROR(__xludf.DUMMYFUNCTION("""COMPUTED_VALUE"""),"APOYO ATLETISMO")</f>
        <v>APOYO ATLETISMO</v>
      </c>
      <c r="S60" s="64" t="str">
        <f>IFERROR(__xludf.DUMMYFUNCTION("""COMPUTED_VALUE"""),"APOYO A CICLISMO")</f>
        <v>APOYO A CICLISMO</v>
      </c>
      <c r="T60" s="64" t="str">
        <f>IFERROR(__xludf.DUMMYFUNCTION("""COMPUTED_VALUE"""),"DESCARGA DE BATERÍA")</f>
        <v>DESCARGA DE BATERÍA</v>
      </c>
      <c r="U60" s="64" t="str">
        <f>IFERROR(__xludf.DUMMYFUNCTION("""COMPUTED_VALUE"""),"PROBLEMAS DE SALUD")</f>
        <v>PROBLEMAS DE SALUD</v>
      </c>
      <c r="V60" s="64" t="str">
        <f>IFERROR(__xludf.DUMMYFUNCTION("""COMPUTED_VALUE"""),"OLVIDO LA LLAVE")</f>
        <v>OLVIDO LA LLAVE</v>
      </c>
      <c r="W60" s="64" t="str">
        <f>IFERROR(__xludf.DUMMYFUNCTION("""COMPUTED_VALUE"""),"CARGA SOBREDIMENSIONADA")</f>
        <v>CARGA SOBREDIMENSIONADA</v>
      </c>
      <c r="X60" s="64" t="str">
        <f>IFERROR(__xludf.DUMMYFUNCTION("""COMPUTED_VALUE"""),"VEHÍCULO ABANDONADO")</f>
        <v>VEHÍCULO ABANDONADO</v>
      </c>
      <c r="Y60" s="64" t="str">
        <f>IFERROR(__xludf.DUMMYFUNCTION("""COMPUTED_VALUE"""),"DESPRENDIMIENTO")</f>
        <v>DESPRENDIMIENTO</v>
      </c>
      <c r="Z60" s="64" t="str">
        <f>IFERROR(__xludf.DUMMYFUNCTION("""COMPUTED_VALUE"""),"CAÍDA DE POSTE")</f>
        <v>CAÍDA DE POSTE</v>
      </c>
      <c r="AA60" s="64" t="str">
        <f>IFERROR(__xludf.DUMMYFUNCTION("""COMPUTED_VALUE"""),"CAÍDA DE RAMA")</f>
        <v>CAÍDA DE RAMA</v>
      </c>
      <c r="AB60" s="64" t="str">
        <f>IFERROR(__xludf.DUMMYFUNCTION("""COMPUTED_VALUE"""),"OPERATIVO DGT")</f>
        <v>OPERATIVO DGT</v>
      </c>
      <c r="AC60" s="64" t="str">
        <f>IFERROR(__xludf.DUMMYFUNCTION("""COMPUTED_VALUE"""),"OPERATIVO PMT")</f>
        <v>OPERATIVO PMT</v>
      </c>
      <c r="AD60" s="64" t="str">
        <f>IFERROR(__xludf.DUMMYFUNCTION("""COMPUTED_VALUE"""),"APOYO A DIGEF")</f>
        <v>APOYO A DIGEF</v>
      </c>
      <c r="AE60" s="64" t="str">
        <f>IFERROR(__xludf.DUMMYFUNCTION("""COMPUTED_VALUE"""),"OPERATIVO PNC TRANSITO")</f>
        <v>OPERATIVO PNC TRANSITO</v>
      </c>
      <c r="AF60" s="64" t="str">
        <f>IFERROR(__xludf.DUMMYFUNCTION("""COMPUTED_VALUE"""),"SOBRECARGA ")</f>
        <v>SOBRECARGA </v>
      </c>
      <c r="AG60" s="64" t="str">
        <f>IFERROR(__xludf.DUMMYFUNCTION("""COMPUTED_VALUE"""),"OPERATIVO EN CONJUNTO")</f>
        <v>OPERATIVO EN CONJUNTO</v>
      </c>
      <c r="AH60" s="64" t="str">
        <f>IFERROR(__xludf.DUMMYFUNCTION("""COMPUTED_VALUE"""),"PUESTO DE ATENCION AL USUARIO")</f>
        <v>PUESTO DE ATENCION AL USUARIO</v>
      </c>
      <c r="AI60" s="64" t="str">
        <f>IFERROR(__xludf.DUMMYFUNCTION("""COMPUTED_VALUE"""),"INCENDIO EN RUTA")</f>
        <v>INCENDIO EN RUTA</v>
      </c>
      <c r="AJ60" s="64" t="str">
        <f>IFERROR(__xludf.DUMMYFUNCTION("""COMPUTED_VALUE"""),"APOYO ANTORCHA ")</f>
        <v>APOYO ANTORCHA </v>
      </c>
    </row>
    <row r="61">
      <c r="B61" s="64" t="s">
        <v>54</v>
      </c>
      <c r="C61" s="64" t="str">
        <f>IFERROR(__xludf.DUMMYFUNCTION(" TRANSPOSE( unique ( QUERY(DATOPRO,""select Col2 where Col1 = '""&amp;B61&amp;""'"")))"),"PINCHAZO")</f>
        <v>PINCHAZO</v>
      </c>
      <c r="D61" s="64" t="str">
        <f>IFERROR(__xludf.DUMMYFUNCTION("""COMPUTED_VALUE"""),"TRABAJOS DE CARRETERA")</f>
        <v>TRABAJOS DE CARRETERA</v>
      </c>
      <c r="E61" s="64" t="str">
        <f>IFERROR(__xludf.DUMMYFUNCTION("""COMPUTED_VALUE"""),"CONSIGNACIÓN")</f>
        <v>CONSIGNACIÓN</v>
      </c>
      <c r="F61" s="64" t="str">
        <f>IFERROR(__xludf.DUMMYFUNCTION("""COMPUTED_VALUE"""),"DERRAME")</f>
        <v>DERRAME</v>
      </c>
      <c r="G61" s="64" t="str">
        <f>IFERROR(__xludf.DUMMYFUNCTION("""COMPUTED_VALUE"""),"CALENTAMIENTO")</f>
        <v>CALENTAMIENTO</v>
      </c>
      <c r="H61" s="64" t="str">
        <f>IFERROR(__xludf.DUMMYFUNCTION("""COMPUTED_VALUE"""),"ESCOLTANDO")</f>
        <v>ESCOLTANDO</v>
      </c>
      <c r="I61" s="64" t="str">
        <f>IFERROR(__xludf.DUMMYFUNCTION("""COMPUTED_VALUE"""),"FALTA DE COMBUSTIBLE")</f>
        <v>FALTA DE COMBUSTIBLE</v>
      </c>
      <c r="J61" s="64" t="str">
        <f>IFERROR(__xludf.DUMMYFUNCTION("""COMPUTED_VALUE"""),"DESPERFECTOS MECÁNICOS")</f>
        <v>DESPERFECTOS MECÁNICOS</v>
      </c>
      <c r="K61" s="64" t="str">
        <f>IFERROR(__xludf.DUMMYFUNCTION("""COMPUTED_VALUE"""),"LLAMADA DE ATENCIÓN")</f>
        <v>LLAMADA DE ATENCIÓN</v>
      </c>
      <c r="L61" s="64" t="str">
        <f>IFERROR(__xludf.DUMMYFUNCTION("""COMPUTED_VALUE"""),"OPERATIVOS")</f>
        <v>OPERATIVOS</v>
      </c>
      <c r="M61" s="64" t="str">
        <f>IFERROR(__xludf.DUMMYFUNCTION("""COMPUTED_VALUE"""),"SANCIÓN")</f>
        <v>SANCIÓN</v>
      </c>
      <c r="N61" s="64" t="str">
        <f>IFERROR(__xludf.DUMMYFUNCTION("""COMPUTED_VALUE"""),"SISTEMA ELECTRICO")</f>
        <v>SISTEMA ELECTRICO</v>
      </c>
      <c r="O61" s="64" t="str">
        <f>IFERROR(__xludf.DUMMYFUNCTION("""COMPUTED_VALUE"""),"ASISTENCIA AL USUARIO")</f>
        <v>ASISTENCIA AL USUARIO</v>
      </c>
      <c r="P61" s="64" t="str">
        <f>IFERROR(__xludf.DUMMYFUNCTION("""COMPUTED_VALUE"""),"DOBLE REMOLQUE")</f>
        <v>DOBLE REMOLQUE</v>
      </c>
      <c r="Q61" s="64" t="str">
        <f>IFERROR(__xludf.DUMMYFUNCTION("""COMPUTED_VALUE"""),"SINAPRESE")</f>
        <v>SINAPRESE</v>
      </c>
      <c r="R61" s="64" t="str">
        <f>IFERROR(__xludf.DUMMYFUNCTION("""COMPUTED_VALUE"""),"APOYO ATLETISMO")</f>
        <v>APOYO ATLETISMO</v>
      </c>
      <c r="S61" s="64" t="str">
        <f>IFERROR(__xludf.DUMMYFUNCTION("""COMPUTED_VALUE"""),"APOYO A CICLISMO")</f>
        <v>APOYO A CICLISMO</v>
      </c>
      <c r="T61" s="64" t="str">
        <f>IFERROR(__xludf.DUMMYFUNCTION("""COMPUTED_VALUE"""),"DESCARGA DE BATERÍA")</f>
        <v>DESCARGA DE BATERÍA</v>
      </c>
      <c r="U61" s="64" t="str">
        <f>IFERROR(__xludf.DUMMYFUNCTION("""COMPUTED_VALUE"""),"PROBLEMAS DE SALUD")</f>
        <v>PROBLEMAS DE SALUD</v>
      </c>
      <c r="V61" s="64" t="str">
        <f>IFERROR(__xludf.DUMMYFUNCTION("""COMPUTED_VALUE"""),"OLVIDO LA LLAVE")</f>
        <v>OLVIDO LA LLAVE</v>
      </c>
      <c r="W61" s="64" t="str">
        <f>IFERROR(__xludf.DUMMYFUNCTION("""COMPUTED_VALUE"""),"CARGA SOBREDIMENSIONADA")</f>
        <v>CARGA SOBREDIMENSIONADA</v>
      </c>
      <c r="X61" s="64" t="str">
        <f>IFERROR(__xludf.DUMMYFUNCTION("""COMPUTED_VALUE"""),"VEHÍCULO ABANDONADO")</f>
        <v>VEHÍCULO ABANDONADO</v>
      </c>
      <c r="Y61" s="64" t="str">
        <f>IFERROR(__xludf.DUMMYFUNCTION("""COMPUTED_VALUE"""),"DESPRENDIMIENTO")</f>
        <v>DESPRENDIMIENTO</v>
      </c>
      <c r="Z61" s="64" t="str">
        <f>IFERROR(__xludf.DUMMYFUNCTION("""COMPUTED_VALUE"""),"CAÍDA DE POSTE")</f>
        <v>CAÍDA DE POSTE</v>
      </c>
      <c r="AA61" s="64" t="str">
        <f>IFERROR(__xludf.DUMMYFUNCTION("""COMPUTED_VALUE"""),"CAÍDA DE RAMA")</f>
        <v>CAÍDA DE RAMA</v>
      </c>
      <c r="AB61" s="64" t="str">
        <f>IFERROR(__xludf.DUMMYFUNCTION("""COMPUTED_VALUE"""),"OPERATIVO DGT")</f>
        <v>OPERATIVO DGT</v>
      </c>
      <c r="AC61" s="64" t="str">
        <f>IFERROR(__xludf.DUMMYFUNCTION("""COMPUTED_VALUE"""),"OPERATIVO PMT")</f>
        <v>OPERATIVO PMT</v>
      </c>
      <c r="AD61" s="64" t="str">
        <f>IFERROR(__xludf.DUMMYFUNCTION("""COMPUTED_VALUE"""),"APOYO A DIGEF")</f>
        <v>APOYO A DIGEF</v>
      </c>
      <c r="AE61" s="64" t="str">
        <f>IFERROR(__xludf.DUMMYFUNCTION("""COMPUTED_VALUE"""),"OPERATIVO PNC TRANSITO")</f>
        <v>OPERATIVO PNC TRANSITO</v>
      </c>
      <c r="AF61" s="64" t="str">
        <f>IFERROR(__xludf.DUMMYFUNCTION("""COMPUTED_VALUE"""),"SOBRECARGA ")</f>
        <v>SOBRECARGA </v>
      </c>
      <c r="AG61" s="64" t="str">
        <f>IFERROR(__xludf.DUMMYFUNCTION("""COMPUTED_VALUE"""),"OPERATIVO EN CONJUNTO")</f>
        <v>OPERATIVO EN CONJUNTO</v>
      </c>
      <c r="AH61" s="64" t="str">
        <f>IFERROR(__xludf.DUMMYFUNCTION("""COMPUTED_VALUE"""),"PUESTO DE ATENCION AL USUARIO")</f>
        <v>PUESTO DE ATENCION AL USUARIO</v>
      </c>
      <c r="AI61" s="64" t="str">
        <f>IFERROR(__xludf.DUMMYFUNCTION("""COMPUTED_VALUE"""),"INCENDIO EN RUTA")</f>
        <v>INCENDIO EN RUTA</v>
      </c>
      <c r="AJ61" s="64" t="str">
        <f>IFERROR(__xludf.DUMMYFUNCTION("""COMPUTED_VALUE"""),"APOYO ANTORCHA ")</f>
        <v>APOYO ANTORCHA </v>
      </c>
    </row>
    <row r="62">
      <c r="B62" s="64" t="s">
        <v>54</v>
      </c>
      <c r="C62" s="64" t="str">
        <f>IFERROR(__xludf.DUMMYFUNCTION(" TRANSPOSE( unique ( QUERY(DATOPRO,""select Col2 where Col1 = '""&amp;B62&amp;""'"")))"),"PINCHAZO")</f>
        <v>PINCHAZO</v>
      </c>
      <c r="D62" s="64" t="str">
        <f>IFERROR(__xludf.DUMMYFUNCTION("""COMPUTED_VALUE"""),"TRABAJOS DE CARRETERA")</f>
        <v>TRABAJOS DE CARRETERA</v>
      </c>
      <c r="E62" s="64" t="str">
        <f>IFERROR(__xludf.DUMMYFUNCTION("""COMPUTED_VALUE"""),"CONSIGNACIÓN")</f>
        <v>CONSIGNACIÓN</v>
      </c>
      <c r="F62" s="64" t="str">
        <f>IFERROR(__xludf.DUMMYFUNCTION("""COMPUTED_VALUE"""),"DERRAME")</f>
        <v>DERRAME</v>
      </c>
      <c r="G62" s="64" t="str">
        <f>IFERROR(__xludf.DUMMYFUNCTION("""COMPUTED_VALUE"""),"CALENTAMIENTO")</f>
        <v>CALENTAMIENTO</v>
      </c>
      <c r="H62" s="64" t="str">
        <f>IFERROR(__xludf.DUMMYFUNCTION("""COMPUTED_VALUE"""),"ESCOLTANDO")</f>
        <v>ESCOLTANDO</v>
      </c>
      <c r="I62" s="64" t="str">
        <f>IFERROR(__xludf.DUMMYFUNCTION("""COMPUTED_VALUE"""),"FALTA DE COMBUSTIBLE")</f>
        <v>FALTA DE COMBUSTIBLE</v>
      </c>
      <c r="J62" s="64" t="str">
        <f>IFERROR(__xludf.DUMMYFUNCTION("""COMPUTED_VALUE"""),"DESPERFECTOS MECÁNICOS")</f>
        <v>DESPERFECTOS MECÁNICOS</v>
      </c>
      <c r="K62" s="64" t="str">
        <f>IFERROR(__xludf.DUMMYFUNCTION("""COMPUTED_VALUE"""),"LLAMADA DE ATENCIÓN")</f>
        <v>LLAMADA DE ATENCIÓN</v>
      </c>
      <c r="L62" s="64" t="str">
        <f>IFERROR(__xludf.DUMMYFUNCTION("""COMPUTED_VALUE"""),"OPERATIVOS")</f>
        <v>OPERATIVOS</v>
      </c>
      <c r="M62" s="64" t="str">
        <f>IFERROR(__xludf.DUMMYFUNCTION("""COMPUTED_VALUE"""),"SANCIÓN")</f>
        <v>SANCIÓN</v>
      </c>
      <c r="N62" s="64" t="str">
        <f>IFERROR(__xludf.DUMMYFUNCTION("""COMPUTED_VALUE"""),"SISTEMA ELECTRICO")</f>
        <v>SISTEMA ELECTRICO</v>
      </c>
      <c r="O62" s="64" t="str">
        <f>IFERROR(__xludf.DUMMYFUNCTION("""COMPUTED_VALUE"""),"ASISTENCIA AL USUARIO")</f>
        <v>ASISTENCIA AL USUARIO</v>
      </c>
      <c r="P62" s="64" t="str">
        <f>IFERROR(__xludf.DUMMYFUNCTION("""COMPUTED_VALUE"""),"DOBLE REMOLQUE")</f>
        <v>DOBLE REMOLQUE</v>
      </c>
      <c r="Q62" s="64" t="str">
        <f>IFERROR(__xludf.DUMMYFUNCTION("""COMPUTED_VALUE"""),"SINAPRESE")</f>
        <v>SINAPRESE</v>
      </c>
      <c r="R62" s="64" t="str">
        <f>IFERROR(__xludf.DUMMYFUNCTION("""COMPUTED_VALUE"""),"APOYO ATLETISMO")</f>
        <v>APOYO ATLETISMO</v>
      </c>
      <c r="S62" s="64" t="str">
        <f>IFERROR(__xludf.DUMMYFUNCTION("""COMPUTED_VALUE"""),"APOYO A CICLISMO")</f>
        <v>APOYO A CICLISMO</v>
      </c>
      <c r="T62" s="64" t="str">
        <f>IFERROR(__xludf.DUMMYFUNCTION("""COMPUTED_VALUE"""),"DESCARGA DE BATERÍA")</f>
        <v>DESCARGA DE BATERÍA</v>
      </c>
      <c r="U62" s="64" t="str">
        <f>IFERROR(__xludf.DUMMYFUNCTION("""COMPUTED_VALUE"""),"PROBLEMAS DE SALUD")</f>
        <v>PROBLEMAS DE SALUD</v>
      </c>
      <c r="V62" s="64" t="str">
        <f>IFERROR(__xludf.DUMMYFUNCTION("""COMPUTED_VALUE"""),"OLVIDO LA LLAVE")</f>
        <v>OLVIDO LA LLAVE</v>
      </c>
      <c r="W62" s="64" t="str">
        <f>IFERROR(__xludf.DUMMYFUNCTION("""COMPUTED_VALUE"""),"CARGA SOBREDIMENSIONADA")</f>
        <v>CARGA SOBREDIMENSIONADA</v>
      </c>
      <c r="X62" s="64" t="str">
        <f>IFERROR(__xludf.DUMMYFUNCTION("""COMPUTED_VALUE"""),"VEHÍCULO ABANDONADO")</f>
        <v>VEHÍCULO ABANDONADO</v>
      </c>
      <c r="Y62" s="64" t="str">
        <f>IFERROR(__xludf.DUMMYFUNCTION("""COMPUTED_VALUE"""),"DESPRENDIMIENTO")</f>
        <v>DESPRENDIMIENTO</v>
      </c>
      <c r="Z62" s="64" t="str">
        <f>IFERROR(__xludf.DUMMYFUNCTION("""COMPUTED_VALUE"""),"CAÍDA DE POSTE")</f>
        <v>CAÍDA DE POSTE</v>
      </c>
      <c r="AA62" s="64" t="str">
        <f>IFERROR(__xludf.DUMMYFUNCTION("""COMPUTED_VALUE"""),"CAÍDA DE RAMA")</f>
        <v>CAÍDA DE RAMA</v>
      </c>
      <c r="AB62" s="64" t="str">
        <f>IFERROR(__xludf.DUMMYFUNCTION("""COMPUTED_VALUE"""),"OPERATIVO DGT")</f>
        <v>OPERATIVO DGT</v>
      </c>
      <c r="AC62" s="64" t="str">
        <f>IFERROR(__xludf.DUMMYFUNCTION("""COMPUTED_VALUE"""),"OPERATIVO PMT")</f>
        <v>OPERATIVO PMT</v>
      </c>
      <c r="AD62" s="64" t="str">
        <f>IFERROR(__xludf.DUMMYFUNCTION("""COMPUTED_VALUE"""),"APOYO A DIGEF")</f>
        <v>APOYO A DIGEF</v>
      </c>
      <c r="AE62" s="64" t="str">
        <f>IFERROR(__xludf.DUMMYFUNCTION("""COMPUTED_VALUE"""),"OPERATIVO PNC TRANSITO")</f>
        <v>OPERATIVO PNC TRANSITO</v>
      </c>
      <c r="AF62" s="64" t="str">
        <f>IFERROR(__xludf.DUMMYFUNCTION("""COMPUTED_VALUE"""),"SOBRECARGA ")</f>
        <v>SOBRECARGA </v>
      </c>
      <c r="AG62" s="64" t="str">
        <f>IFERROR(__xludf.DUMMYFUNCTION("""COMPUTED_VALUE"""),"OPERATIVO EN CONJUNTO")</f>
        <v>OPERATIVO EN CONJUNTO</v>
      </c>
      <c r="AH62" s="64" t="str">
        <f>IFERROR(__xludf.DUMMYFUNCTION("""COMPUTED_VALUE"""),"PUESTO DE ATENCION AL USUARIO")</f>
        <v>PUESTO DE ATENCION AL USUARIO</v>
      </c>
      <c r="AI62" s="64" t="str">
        <f>IFERROR(__xludf.DUMMYFUNCTION("""COMPUTED_VALUE"""),"INCENDIO EN RUTA")</f>
        <v>INCENDIO EN RUTA</v>
      </c>
      <c r="AJ62" s="64" t="str">
        <f>IFERROR(__xludf.DUMMYFUNCTION("""COMPUTED_VALUE"""),"APOYO ANTORCHA ")</f>
        <v>APOYO ANTORCHA </v>
      </c>
    </row>
    <row r="63">
      <c r="B63" s="64" t="s">
        <v>54</v>
      </c>
      <c r="C63" s="64" t="str">
        <f>IFERROR(__xludf.DUMMYFUNCTION(" TRANSPOSE( unique ( QUERY(DATOPRO,""select Col2 where Col1 = '""&amp;B63&amp;""'"")))"),"PINCHAZO")</f>
        <v>PINCHAZO</v>
      </c>
      <c r="D63" s="64" t="str">
        <f>IFERROR(__xludf.DUMMYFUNCTION("""COMPUTED_VALUE"""),"TRABAJOS DE CARRETERA")</f>
        <v>TRABAJOS DE CARRETERA</v>
      </c>
      <c r="E63" s="64" t="str">
        <f>IFERROR(__xludf.DUMMYFUNCTION("""COMPUTED_VALUE"""),"CONSIGNACIÓN")</f>
        <v>CONSIGNACIÓN</v>
      </c>
      <c r="F63" s="64" t="str">
        <f>IFERROR(__xludf.DUMMYFUNCTION("""COMPUTED_VALUE"""),"DERRAME")</f>
        <v>DERRAME</v>
      </c>
      <c r="G63" s="64" t="str">
        <f>IFERROR(__xludf.DUMMYFUNCTION("""COMPUTED_VALUE"""),"CALENTAMIENTO")</f>
        <v>CALENTAMIENTO</v>
      </c>
      <c r="H63" s="64" t="str">
        <f>IFERROR(__xludf.DUMMYFUNCTION("""COMPUTED_VALUE"""),"ESCOLTANDO")</f>
        <v>ESCOLTANDO</v>
      </c>
      <c r="I63" s="64" t="str">
        <f>IFERROR(__xludf.DUMMYFUNCTION("""COMPUTED_VALUE"""),"FALTA DE COMBUSTIBLE")</f>
        <v>FALTA DE COMBUSTIBLE</v>
      </c>
      <c r="J63" s="64" t="str">
        <f>IFERROR(__xludf.DUMMYFUNCTION("""COMPUTED_VALUE"""),"DESPERFECTOS MECÁNICOS")</f>
        <v>DESPERFECTOS MECÁNICOS</v>
      </c>
      <c r="K63" s="64" t="str">
        <f>IFERROR(__xludf.DUMMYFUNCTION("""COMPUTED_VALUE"""),"LLAMADA DE ATENCIÓN")</f>
        <v>LLAMADA DE ATENCIÓN</v>
      </c>
      <c r="L63" s="64" t="str">
        <f>IFERROR(__xludf.DUMMYFUNCTION("""COMPUTED_VALUE"""),"OPERATIVOS")</f>
        <v>OPERATIVOS</v>
      </c>
      <c r="M63" s="64" t="str">
        <f>IFERROR(__xludf.DUMMYFUNCTION("""COMPUTED_VALUE"""),"SANCIÓN")</f>
        <v>SANCIÓN</v>
      </c>
      <c r="N63" s="64" t="str">
        <f>IFERROR(__xludf.DUMMYFUNCTION("""COMPUTED_VALUE"""),"SISTEMA ELECTRICO")</f>
        <v>SISTEMA ELECTRICO</v>
      </c>
      <c r="O63" s="64" t="str">
        <f>IFERROR(__xludf.DUMMYFUNCTION("""COMPUTED_VALUE"""),"ASISTENCIA AL USUARIO")</f>
        <v>ASISTENCIA AL USUARIO</v>
      </c>
      <c r="P63" s="64" t="str">
        <f>IFERROR(__xludf.DUMMYFUNCTION("""COMPUTED_VALUE"""),"DOBLE REMOLQUE")</f>
        <v>DOBLE REMOLQUE</v>
      </c>
      <c r="Q63" s="64" t="str">
        <f>IFERROR(__xludf.DUMMYFUNCTION("""COMPUTED_VALUE"""),"SINAPRESE")</f>
        <v>SINAPRESE</v>
      </c>
      <c r="R63" s="64" t="str">
        <f>IFERROR(__xludf.DUMMYFUNCTION("""COMPUTED_VALUE"""),"APOYO ATLETISMO")</f>
        <v>APOYO ATLETISMO</v>
      </c>
      <c r="S63" s="64" t="str">
        <f>IFERROR(__xludf.DUMMYFUNCTION("""COMPUTED_VALUE"""),"APOYO A CICLISMO")</f>
        <v>APOYO A CICLISMO</v>
      </c>
      <c r="T63" s="64" t="str">
        <f>IFERROR(__xludf.DUMMYFUNCTION("""COMPUTED_VALUE"""),"DESCARGA DE BATERÍA")</f>
        <v>DESCARGA DE BATERÍA</v>
      </c>
      <c r="U63" s="64" t="str">
        <f>IFERROR(__xludf.DUMMYFUNCTION("""COMPUTED_VALUE"""),"PROBLEMAS DE SALUD")</f>
        <v>PROBLEMAS DE SALUD</v>
      </c>
      <c r="V63" s="64" t="str">
        <f>IFERROR(__xludf.DUMMYFUNCTION("""COMPUTED_VALUE"""),"OLVIDO LA LLAVE")</f>
        <v>OLVIDO LA LLAVE</v>
      </c>
      <c r="W63" s="64" t="str">
        <f>IFERROR(__xludf.DUMMYFUNCTION("""COMPUTED_VALUE"""),"CARGA SOBREDIMENSIONADA")</f>
        <v>CARGA SOBREDIMENSIONADA</v>
      </c>
      <c r="X63" s="64" t="str">
        <f>IFERROR(__xludf.DUMMYFUNCTION("""COMPUTED_VALUE"""),"VEHÍCULO ABANDONADO")</f>
        <v>VEHÍCULO ABANDONADO</v>
      </c>
      <c r="Y63" s="64" t="str">
        <f>IFERROR(__xludf.DUMMYFUNCTION("""COMPUTED_VALUE"""),"DESPRENDIMIENTO")</f>
        <v>DESPRENDIMIENTO</v>
      </c>
      <c r="Z63" s="64" t="str">
        <f>IFERROR(__xludf.DUMMYFUNCTION("""COMPUTED_VALUE"""),"CAÍDA DE POSTE")</f>
        <v>CAÍDA DE POSTE</v>
      </c>
      <c r="AA63" s="64" t="str">
        <f>IFERROR(__xludf.DUMMYFUNCTION("""COMPUTED_VALUE"""),"CAÍDA DE RAMA")</f>
        <v>CAÍDA DE RAMA</v>
      </c>
      <c r="AB63" s="64" t="str">
        <f>IFERROR(__xludf.DUMMYFUNCTION("""COMPUTED_VALUE"""),"OPERATIVO DGT")</f>
        <v>OPERATIVO DGT</v>
      </c>
      <c r="AC63" s="64" t="str">
        <f>IFERROR(__xludf.DUMMYFUNCTION("""COMPUTED_VALUE"""),"OPERATIVO PMT")</f>
        <v>OPERATIVO PMT</v>
      </c>
      <c r="AD63" s="64" t="str">
        <f>IFERROR(__xludf.DUMMYFUNCTION("""COMPUTED_VALUE"""),"APOYO A DIGEF")</f>
        <v>APOYO A DIGEF</v>
      </c>
      <c r="AE63" s="64" t="str">
        <f>IFERROR(__xludf.DUMMYFUNCTION("""COMPUTED_VALUE"""),"OPERATIVO PNC TRANSITO")</f>
        <v>OPERATIVO PNC TRANSITO</v>
      </c>
      <c r="AF63" s="64" t="str">
        <f>IFERROR(__xludf.DUMMYFUNCTION("""COMPUTED_VALUE"""),"SOBRECARGA ")</f>
        <v>SOBRECARGA </v>
      </c>
      <c r="AG63" s="64" t="str">
        <f>IFERROR(__xludf.DUMMYFUNCTION("""COMPUTED_VALUE"""),"OPERATIVO EN CONJUNTO")</f>
        <v>OPERATIVO EN CONJUNTO</v>
      </c>
      <c r="AH63" s="64" t="str">
        <f>IFERROR(__xludf.DUMMYFUNCTION("""COMPUTED_VALUE"""),"PUESTO DE ATENCION AL USUARIO")</f>
        <v>PUESTO DE ATENCION AL USUARIO</v>
      </c>
      <c r="AI63" s="64" t="str">
        <f>IFERROR(__xludf.DUMMYFUNCTION("""COMPUTED_VALUE"""),"INCENDIO EN RUTA")</f>
        <v>INCENDIO EN RUTA</v>
      </c>
      <c r="AJ63" s="64" t="str">
        <f>IFERROR(__xludf.DUMMYFUNCTION("""COMPUTED_VALUE"""),"APOYO ANTORCHA ")</f>
        <v>APOYO ANTORCHA </v>
      </c>
    </row>
    <row r="64">
      <c r="B64" s="64" t="s">
        <v>54</v>
      </c>
      <c r="C64" s="64" t="str">
        <f>IFERROR(__xludf.DUMMYFUNCTION(" TRANSPOSE( unique ( QUERY(DATOPRO,""select Col2 where Col1 = '""&amp;B64&amp;""'"")))"),"PINCHAZO")</f>
        <v>PINCHAZO</v>
      </c>
      <c r="D64" s="64" t="str">
        <f>IFERROR(__xludf.DUMMYFUNCTION("""COMPUTED_VALUE"""),"TRABAJOS DE CARRETERA")</f>
        <v>TRABAJOS DE CARRETERA</v>
      </c>
      <c r="E64" s="64" t="str">
        <f>IFERROR(__xludf.DUMMYFUNCTION("""COMPUTED_VALUE"""),"CONSIGNACIÓN")</f>
        <v>CONSIGNACIÓN</v>
      </c>
      <c r="F64" s="64" t="str">
        <f>IFERROR(__xludf.DUMMYFUNCTION("""COMPUTED_VALUE"""),"DERRAME")</f>
        <v>DERRAME</v>
      </c>
      <c r="G64" s="64" t="str">
        <f>IFERROR(__xludf.DUMMYFUNCTION("""COMPUTED_VALUE"""),"CALENTAMIENTO")</f>
        <v>CALENTAMIENTO</v>
      </c>
      <c r="H64" s="64" t="str">
        <f>IFERROR(__xludf.DUMMYFUNCTION("""COMPUTED_VALUE"""),"ESCOLTANDO")</f>
        <v>ESCOLTANDO</v>
      </c>
      <c r="I64" s="64" t="str">
        <f>IFERROR(__xludf.DUMMYFUNCTION("""COMPUTED_VALUE"""),"FALTA DE COMBUSTIBLE")</f>
        <v>FALTA DE COMBUSTIBLE</v>
      </c>
      <c r="J64" s="64" t="str">
        <f>IFERROR(__xludf.DUMMYFUNCTION("""COMPUTED_VALUE"""),"DESPERFECTOS MECÁNICOS")</f>
        <v>DESPERFECTOS MECÁNICOS</v>
      </c>
      <c r="K64" s="64" t="str">
        <f>IFERROR(__xludf.DUMMYFUNCTION("""COMPUTED_VALUE"""),"LLAMADA DE ATENCIÓN")</f>
        <v>LLAMADA DE ATENCIÓN</v>
      </c>
      <c r="L64" s="64" t="str">
        <f>IFERROR(__xludf.DUMMYFUNCTION("""COMPUTED_VALUE"""),"OPERATIVOS")</f>
        <v>OPERATIVOS</v>
      </c>
      <c r="M64" s="64" t="str">
        <f>IFERROR(__xludf.DUMMYFUNCTION("""COMPUTED_VALUE"""),"SANCIÓN")</f>
        <v>SANCIÓN</v>
      </c>
      <c r="N64" s="64" t="str">
        <f>IFERROR(__xludf.DUMMYFUNCTION("""COMPUTED_VALUE"""),"SISTEMA ELECTRICO")</f>
        <v>SISTEMA ELECTRICO</v>
      </c>
      <c r="O64" s="64" t="str">
        <f>IFERROR(__xludf.DUMMYFUNCTION("""COMPUTED_VALUE"""),"ASISTENCIA AL USUARIO")</f>
        <v>ASISTENCIA AL USUARIO</v>
      </c>
      <c r="P64" s="64" t="str">
        <f>IFERROR(__xludf.DUMMYFUNCTION("""COMPUTED_VALUE"""),"DOBLE REMOLQUE")</f>
        <v>DOBLE REMOLQUE</v>
      </c>
      <c r="Q64" s="64" t="str">
        <f>IFERROR(__xludf.DUMMYFUNCTION("""COMPUTED_VALUE"""),"SINAPRESE")</f>
        <v>SINAPRESE</v>
      </c>
      <c r="R64" s="64" t="str">
        <f>IFERROR(__xludf.DUMMYFUNCTION("""COMPUTED_VALUE"""),"APOYO ATLETISMO")</f>
        <v>APOYO ATLETISMO</v>
      </c>
      <c r="S64" s="64" t="str">
        <f>IFERROR(__xludf.DUMMYFUNCTION("""COMPUTED_VALUE"""),"APOYO A CICLISMO")</f>
        <v>APOYO A CICLISMO</v>
      </c>
      <c r="T64" s="64" t="str">
        <f>IFERROR(__xludf.DUMMYFUNCTION("""COMPUTED_VALUE"""),"DESCARGA DE BATERÍA")</f>
        <v>DESCARGA DE BATERÍA</v>
      </c>
      <c r="U64" s="64" t="str">
        <f>IFERROR(__xludf.DUMMYFUNCTION("""COMPUTED_VALUE"""),"PROBLEMAS DE SALUD")</f>
        <v>PROBLEMAS DE SALUD</v>
      </c>
      <c r="V64" s="64" t="str">
        <f>IFERROR(__xludf.DUMMYFUNCTION("""COMPUTED_VALUE"""),"OLVIDO LA LLAVE")</f>
        <v>OLVIDO LA LLAVE</v>
      </c>
      <c r="W64" s="64" t="str">
        <f>IFERROR(__xludf.DUMMYFUNCTION("""COMPUTED_VALUE"""),"CARGA SOBREDIMENSIONADA")</f>
        <v>CARGA SOBREDIMENSIONADA</v>
      </c>
      <c r="X64" s="64" t="str">
        <f>IFERROR(__xludf.DUMMYFUNCTION("""COMPUTED_VALUE"""),"VEHÍCULO ABANDONADO")</f>
        <v>VEHÍCULO ABANDONADO</v>
      </c>
      <c r="Y64" s="64" t="str">
        <f>IFERROR(__xludf.DUMMYFUNCTION("""COMPUTED_VALUE"""),"DESPRENDIMIENTO")</f>
        <v>DESPRENDIMIENTO</v>
      </c>
      <c r="Z64" s="64" t="str">
        <f>IFERROR(__xludf.DUMMYFUNCTION("""COMPUTED_VALUE"""),"CAÍDA DE POSTE")</f>
        <v>CAÍDA DE POSTE</v>
      </c>
      <c r="AA64" s="64" t="str">
        <f>IFERROR(__xludf.DUMMYFUNCTION("""COMPUTED_VALUE"""),"CAÍDA DE RAMA")</f>
        <v>CAÍDA DE RAMA</v>
      </c>
      <c r="AB64" s="64" t="str">
        <f>IFERROR(__xludf.DUMMYFUNCTION("""COMPUTED_VALUE"""),"OPERATIVO DGT")</f>
        <v>OPERATIVO DGT</v>
      </c>
      <c r="AC64" s="64" t="str">
        <f>IFERROR(__xludf.DUMMYFUNCTION("""COMPUTED_VALUE"""),"OPERATIVO PMT")</f>
        <v>OPERATIVO PMT</v>
      </c>
      <c r="AD64" s="64" t="str">
        <f>IFERROR(__xludf.DUMMYFUNCTION("""COMPUTED_VALUE"""),"APOYO A DIGEF")</f>
        <v>APOYO A DIGEF</v>
      </c>
      <c r="AE64" s="64" t="str">
        <f>IFERROR(__xludf.DUMMYFUNCTION("""COMPUTED_VALUE"""),"OPERATIVO PNC TRANSITO")</f>
        <v>OPERATIVO PNC TRANSITO</v>
      </c>
      <c r="AF64" s="64" t="str">
        <f>IFERROR(__xludf.DUMMYFUNCTION("""COMPUTED_VALUE"""),"SOBRECARGA ")</f>
        <v>SOBRECARGA </v>
      </c>
      <c r="AG64" s="64" t="str">
        <f>IFERROR(__xludf.DUMMYFUNCTION("""COMPUTED_VALUE"""),"OPERATIVO EN CONJUNTO")</f>
        <v>OPERATIVO EN CONJUNTO</v>
      </c>
      <c r="AH64" s="64" t="str">
        <f>IFERROR(__xludf.DUMMYFUNCTION("""COMPUTED_VALUE"""),"PUESTO DE ATENCION AL USUARIO")</f>
        <v>PUESTO DE ATENCION AL USUARIO</v>
      </c>
      <c r="AI64" s="64" t="str">
        <f>IFERROR(__xludf.DUMMYFUNCTION("""COMPUTED_VALUE"""),"INCENDIO EN RUTA")</f>
        <v>INCENDIO EN RUTA</v>
      </c>
      <c r="AJ64" s="64" t="str">
        <f>IFERROR(__xludf.DUMMYFUNCTION("""COMPUTED_VALUE"""),"APOYO ANTORCHA ")</f>
        <v>APOYO ANTORCHA </v>
      </c>
    </row>
    <row r="65">
      <c r="B65" s="64" t="s">
        <v>54</v>
      </c>
      <c r="C65" s="64" t="str">
        <f>IFERROR(__xludf.DUMMYFUNCTION(" TRANSPOSE( unique ( QUERY(DATOPRO,""select Col2 where Col1 = '""&amp;B65&amp;""'"")))"),"PINCHAZO")</f>
        <v>PINCHAZO</v>
      </c>
      <c r="D65" s="64" t="str">
        <f>IFERROR(__xludf.DUMMYFUNCTION("""COMPUTED_VALUE"""),"TRABAJOS DE CARRETERA")</f>
        <v>TRABAJOS DE CARRETERA</v>
      </c>
      <c r="E65" s="64" t="str">
        <f>IFERROR(__xludf.DUMMYFUNCTION("""COMPUTED_VALUE"""),"CONSIGNACIÓN")</f>
        <v>CONSIGNACIÓN</v>
      </c>
      <c r="F65" s="64" t="str">
        <f>IFERROR(__xludf.DUMMYFUNCTION("""COMPUTED_VALUE"""),"DERRAME")</f>
        <v>DERRAME</v>
      </c>
      <c r="G65" s="64" t="str">
        <f>IFERROR(__xludf.DUMMYFUNCTION("""COMPUTED_VALUE"""),"CALENTAMIENTO")</f>
        <v>CALENTAMIENTO</v>
      </c>
      <c r="H65" s="64" t="str">
        <f>IFERROR(__xludf.DUMMYFUNCTION("""COMPUTED_VALUE"""),"ESCOLTANDO")</f>
        <v>ESCOLTANDO</v>
      </c>
      <c r="I65" s="64" t="str">
        <f>IFERROR(__xludf.DUMMYFUNCTION("""COMPUTED_VALUE"""),"FALTA DE COMBUSTIBLE")</f>
        <v>FALTA DE COMBUSTIBLE</v>
      </c>
      <c r="J65" s="64" t="str">
        <f>IFERROR(__xludf.DUMMYFUNCTION("""COMPUTED_VALUE"""),"DESPERFECTOS MECÁNICOS")</f>
        <v>DESPERFECTOS MECÁNICOS</v>
      </c>
      <c r="K65" s="64" t="str">
        <f>IFERROR(__xludf.DUMMYFUNCTION("""COMPUTED_VALUE"""),"LLAMADA DE ATENCIÓN")</f>
        <v>LLAMADA DE ATENCIÓN</v>
      </c>
      <c r="L65" s="64" t="str">
        <f>IFERROR(__xludf.DUMMYFUNCTION("""COMPUTED_VALUE"""),"OPERATIVOS")</f>
        <v>OPERATIVOS</v>
      </c>
      <c r="M65" s="64" t="str">
        <f>IFERROR(__xludf.DUMMYFUNCTION("""COMPUTED_VALUE"""),"SANCIÓN")</f>
        <v>SANCIÓN</v>
      </c>
      <c r="N65" s="64" t="str">
        <f>IFERROR(__xludf.DUMMYFUNCTION("""COMPUTED_VALUE"""),"SISTEMA ELECTRICO")</f>
        <v>SISTEMA ELECTRICO</v>
      </c>
      <c r="O65" s="64" t="str">
        <f>IFERROR(__xludf.DUMMYFUNCTION("""COMPUTED_VALUE"""),"ASISTENCIA AL USUARIO")</f>
        <v>ASISTENCIA AL USUARIO</v>
      </c>
      <c r="P65" s="64" t="str">
        <f>IFERROR(__xludf.DUMMYFUNCTION("""COMPUTED_VALUE"""),"DOBLE REMOLQUE")</f>
        <v>DOBLE REMOLQUE</v>
      </c>
      <c r="Q65" s="64" t="str">
        <f>IFERROR(__xludf.DUMMYFUNCTION("""COMPUTED_VALUE"""),"SINAPRESE")</f>
        <v>SINAPRESE</v>
      </c>
      <c r="R65" s="64" t="str">
        <f>IFERROR(__xludf.DUMMYFUNCTION("""COMPUTED_VALUE"""),"APOYO ATLETISMO")</f>
        <v>APOYO ATLETISMO</v>
      </c>
      <c r="S65" s="64" t="str">
        <f>IFERROR(__xludf.DUMMYFUNCTION("""COMPUTED_VALUE"""),"APOYO A CICLISMO")</f>
        <v>APOYO A CICLISMO</v>
      </c>
      <c r="T65" s="64" t="str">
        <f>IFERROR(__xludf.DUMMYFUNCTION("""COMPUTED_VALUE"""),"DESCARGA DE BATERÍA")</f>
        <v>DESCARGA DE BATERÍA</v>
      </c>
      <c r="U65" s="64" t="str">
        <f>IFERROR(__xludf.DUMMYFUNCTION("""COMPUTED_VALUE"""),"PROBLEMAS DE SALUD")</f>
        <v>PROBLEMAS DE SALUD</v>
      </c>
      <c r="V65" s="64" t="str">
        <f>IFERROR(__xludf.DUMMYFUNCTION("""COMPUTED_VALUE"""),"OLVIDO LA LLAVE")</f>
        <v>OLVIDO LA LLAVE</v>
      </c>
      <c r="W65" s="64" t="str">
        <f>IFERROR(__xludf.DUMMYFUNCTION("""COMPUTED_VALUE"""),"CARGA SOBREDIMENSIONADA")</f>
        <v>CARGA SOBREDIMENSIONADA</v>
      </c>
      <c r="X65" s="64" t="str">
        <f>IFERROR(__xludf.DUMMYFUNCTION("""COMPUTED_VALUE"""),"VEHÍCULO ABANDONADO")</f>
        <v>VEHÍCULO ABANDONADO</v>
      </c>
      <c r="Y65" s="64" t="str">
        <f>IFERROR(__xludf.DUMMYFUNCTION("""COMPUTED_VALUE"""),"DESPRENDIMIENTO")</f>
        <v>DESPRENDIMIENTO</v>
      </c>
      <c r="Z65" s="64" t="str">
        <f>IFERROR(__xludf.DUMMYFUNCTION("""COMPUTED_VALUE"""),"CAÍDA DE POSTE")</f>
        <v>CAÍDA DE POSTE</v>
      </c>
      <c r="AA65" s="64" t="str">
        <f>IFERROR(__xludf.DUMMYFUNCTION("""COMPUTED_VALUE"""),"CAÍDA DE RAMA")</f>
        <v>CAÍDA DE RAMA</v>
      </c>
      <c r="AB65" s="64" t="str">
        <f>IFERROR(__xludf.DUMMYFUNCTION("""COMPUTED_VALUE"""),"OPERATIVO DGT")</f>
        <v>OPERATIVO DGT</v>
      </c>
      <c r="AC65" s="64" t="str">
        <f>IFERROR(__xludf.DUMMYFUNCTION("""COMPUTED_VALUE"""),"OPERATIVO PMT")</f>
        <v>OPERATIVO PMT</v>
      </c>
      <c r="AD65" s="64" t="str">
        <f>IFERROR(__xludf.DUMMYFUNCTION("""COMPUTED_VALUE"""),"APOYO A DIGEF")</f>
        <v>APOYO A DIGEF</v>
      </c>
      <c r="AE65" s="64" t="str">
        <f>IFERROR(__xludf.DUMMYFUNCTION("""COMPUTED_VALUE"""),"OPERATIVO PNC TRANSITO")</f>
        <v>OPERATIVO PNC TRANSITO</v>
      </c>
      <c r="AF65" s="64" t="str">
        <f>IFERROR(__xludf.DUMMYFUNCTION("""COMPUTED_VALUE"""),"SOBRECARGA ")</f>
        <v>SOBRECARGA </v>
      </c>
      <c r="AG65" s="64" t="str">
        <f>IFERROR(__xludf.DUMMYFUNCTION("""COMPUTED_VALUE"""),"OPERATIVO EN CONJUNTO")</f>
        <v>OPERATIVO EN CONJUNTO</v>
      </c>
      <c r="AH65" s="64" t="str">
        <f>IFERROR(__xludf.DUMMYFUNCTION("""COMPUTED_VALUE"""),"PUESTO DE ATENCION AL USUARIO")</f>
        <v>PUESTO DE ATENCION AL USUARIO</v>
      </c>
      <c r="AI65" s="64" t="str">
        <f>IFERROR(__xludf.DUMMYFUNCTION("""COMPUTED_VALUE"""),"INCENDIO EN RUTA")</f>
        <v>INCENDIO EN RUTA</v>
      </c>
      <c r="AJ65" s="64" t="str">
        <f>IFERROR(__xludf.DUMMYFUNCTION("""COMPUTED_VALUE"""),"APOYO ANTORCHA ")</f>
        <v>APOYO ANTORCHA </v>
      </c>
    </row>
    <row r="66">
      <c r="B66" s="64" t="s">
        <v>54</v>
      </c>
      <c r="C66" s="64" t="str">
        <f>IFERROR(__xludf.DUMMYFUNCTION(" TRANSPOSE( unique ( QUERY(DATOPRO,""select Col2 where Col1 = '""&amp;B66&amp;""'"")))"),"PINCHAZO")</f>
        <v>PINCHAZO</v>
      </c>
      <c r="D66" s="64" t="str">
        <f>IFERROR(__xludf.DUMMYFUNCTION("""COMPUTED_VALUE"""),"TRABAJOS DE CARRETERA")</f>
        <v>TRABAJOS DE CARRETERA</v>
      </c>
      <c r="E66" s="64" t="str">
        <f>IFERROR(__xludf.DUMMYFUNCTION("""COMPUTED_VALUE"""),"CONSIGNACIÓN")</f>
        <v>CONSIGNACIÓN</v>
      </c>
      <c r="F66" s="64" t="str">
        <f>IFERROR(__xludf.DUMMYFUNCTION("""COMPUTED_VALUE"""),"DERRAME")</f>
        <v>DERRAME</v>
      </c>
      <c r="G66" s="64" t="str">
        <f>IFERROR(__xludf.DUMMYFUNCTION("""COMPUTED_VALUE"""),"CALENTAMIENTO")</f>
        <v>CALENTAMIENTO</v>
      </c>
      <c r="H66" s="64" t="str">
        <f>IFERROR(__xludf.DUMMYFUNCTION("""COMPUTED_VALUE"""),"ESCOLTANDO")</f>
        <v>ESCOLTANDO</v>
      </c>
      <c r="I66" s="64" t="str">
        <f>IFERROR(__xludf.DUMMYFUNCTION("""COMPUTED_VALUE"""),"FALTA DE COMBUSTIBLE")</f>
        <v>FALTA DE COMBUSTIBLE</v>
      </c>
      <c r="J66" s="64" t="str">
        <f>IFERROR(__xludf.DUMMYFUNCTION("""COMPUTED_VALUE"""),"DESPERFECTOS MECÁNICOS")</f>
        <v>DESPERFECTOS MECÁNICOS</v>
      </c>
      <c r="K66" s="64" t="str">
        <f>IFERROR(__xludf.DUMMYFUNCTION("""COMPUTED_VALUE"""),"LLAMADA DE ATENCIÓN")</f>
        <v>LLAMADA DE ATENCIÓN</v>
      </c>
      <c r="L66" s="64" t="str">
        <f>IFERROR(__xludf.DUMMYFUNCTION("""COMPUTED_VALUE"""),"OPERATIVOS")</f>
        <v>OPERATIVOS</v>
      </c>
      <c r="M66" s="64" t="str">
        <f>IFERROR(__xludf.DUMMYFUNCTION("""COMPUTED_VALUE"""),"SANCIÓN")</f>
        <v>SANCIÓN</v>
      </c>
      <c r="N66" s="64" t="str">
        <f>IFERROR(__xludf.DUMMYFUNCTION("""COMPUTED_VALUE"""),"SISTEMA ELECTRICO")</f>
        <v>SISTEMA ELECTRICO</v>
      </c>
      <c r="O66" s="64" t="str">
        <f>IFERROR(__xludf.DUMMYFUNCTION("""COMPUTED_VALUE"""),"ASISTENCIA AL USUARIO")</f>
        <v>ASISTENCIA AL USUARIO</v>
      </c>
      <c r="P66" s="64" t="str">
        <f>IFERROR(__xludf.DUMMYFUNCTION("""COMPUTED_VALUE"""),"DOBLE REMOLQUE")</f>
        <v>DOBLE REMOLQUE</v>
      </c>
      <c r="Q66" s="64" t="str">
        <f>IFERROR(__xludf.DUMMYFUNCTION("""COMPUTED_VALUE"""),"SINAPRESE")</f>
        <v>SINAPRESE</v>
      </c>
      <c r="R66" s="64" t="str">
        <f>IFERROR(__xludf.DUMMYFUNCTION("""COMPUTED_VALUE"""),"APOYO ATLETISMO")</f>
        <v>APOYO ATLETISMO</v>
      </c>
      <c r="S66" s="64" t="str">
        <f>IFERROR(__xludf.DUMMYFUNCTION("""COMPUTED_VALUE"""),"APOYO A CICLISMO")</f>
        <v>APOYO A CICLISMO</v>
      </c>
      <c r="T66" s="64" t="str">
        <f>IFERROR(__xludf.DUMMYFUNCTION("""COMPUTED_VALUE"""),"DESCARGA DE BATERÍA")</f>
        <v>DESCARGA DE BATERÍA</v>
      </c>
      <c r="U66" s="64" t="str">
        <f>IFERROR(__xludf.DUMMYFUNCTION("""COMPUTED_VALUE"""),"PROBLEMAS DE SALUD")</f>
        <v>PROBLEMAS DE SALUD</v>
      </c>
      <c r="V66" s="64" t="str">
        <f>IFERROR(__xludf.DUMMYFUNCTION("""COMPUTED_VALUE"""),"OLVIDO LA LLAVE")</f>
        <v>OLVIDO LA LLAVE</v>
      </c>
      <c r="W66" s="64" t="str">
        <f>IFERROR(__xludf.DUMMYFUNCTION("""COMPUTED_VALUE"""),"CARGA SOBREDIMENSIONADA")</f>
        <v>CARGA SOBREDIMENSIONADA</v>
      </c>
      <c r="X66" s="64" t="str">
        <f>IFERROR(__xludf.DUMMYFUNCTION("""COMPUTED_VALUE"""),"VEHÍCULO ABANDONADO")</f>
        <v>VEHÍCULO ABANDONADO</v>
      </c>
      <c r="Y66" s="64" t="str">
        <f>IFERROR(__xludf.DUMMYFUNCTION("""COMPUTED_VALUE"""),"DESPRENDIMIENTO")</f>
        <v>DESPRENDIMIENTO</v>
      </c>
      <c r="Z66" s="64" t="str">
        <f>IFERROR(__xludf.DUMMYFUNCTION("""COMPUTED_VALUE"""),"CAÍDA DE POSTE")</f>
        <v>CAÍDA DE POSTE</v>
      </c>
      <c r="AA66" s="64" t="str">
        <f>IFERROR(__xludf.DUMMYFUNCTION("""COMPUTED_VALUE"""),"CAÍDA DE RAMA")</f>
        <v>CAÍDA DE RAMA</v>
      </c>
      <c r="AB66" s="64" t="str">
        <f>IFERROR(__xludf.DUMMYFUNCTION("""COMPUTED_VALUE"""),"OPERATIVO DGT")</f>
        <v>OPERATIVO DGT</v>
      </c>
      <c r="AC66" s="64" t="str">
        <f>IFERROR(__xludf.DUMMYFUNCTION("""COMPUTED_VALUE"""),"OPERATIVO PMT")</f>
        <v>OPERATIVO PMT</v>
      </c>
      <c r="AD66" s="64" t="str">
        <f>IFERROR(__xludf.DUMMYFUNCTION("""COMPUTED_VALUE"""),"APOYO A DIGEF")</f>
        <v>APOYO A DIGEF</v>
      </c>
      <c r="AE66" s="64" t="str">
        <f>IFERROR(__xludf.DUMMYFUNCTION("""COMPUTED_VALUE"""),"OPERATIVO PNC TRANSITO")</f>
        <v>OPERATIVO PNC TRANSITO</v>
      </c>
      <c r="AF66" s="64" t="str">
        <f>IFERROR(__xludf.DUMMYFUNCTION("""COMPUTED_VALUE"""),"SOBRECARGA ")</f>
        <v>SOBRECARGA </v>
      </c>
      <c r="AG66" s="64" t="str">
        <f>IFERROR(__xludf.DUMMYFUNCTION("""COMPUTED_VALUE"""),"OPERATIVO EN CONJUNTO")</f>
        <v>OPERATIVO EN CONJUNTO</v>
      </c>
      <c r="AH66" s="64" t="str">
        <f>IFERROR(__xludf.DUMMYFUNCTION("""COMPUTED_VALUE"""),"PUESTO DE ATENCION AL USUARIO")</f>
        <v>PUESTO DE ATENCION AL USUARIO</v>
      </c>
      <c r="AI66" s="64" t="str">
        <f>IFERROR(__xludf.DUMMYFUNCTION("""COMPUTED_VALUE"""),"INCENDIO EN RUTA")</f>
        <v>INCENDIO EN RUTA</v>
      </c>
      <c r="AJ66" s="64" t="str">
        <f>IFERROR(__xludf.DUMMYFUNCTION("""COMPUTED_VALUE"""),"APOYO ANTORCHA ")</f>
        <v>APOYO ANTORCHA </v>
      </c>
    </row>
    <row r="67">
      <c r="B67" s="64" t="s">
        <v>54</v>
      </c>
      <c r="C67" s="64" t="str">
        <f>IFERROR(__xludf.DUMMYFUNCTION(" TRANSPOSE( unique ( QUERY(DATOPRO,""select Col2 where Col1 = '""&amp;B67&amp;""'"")))"),"PINCHAZO")</f>
        <v>PINCHAZO</v>
      </c>
      <c r="D67" s="64" t="str">
        <f>IFERROR(__xludf.DUMMYFUNCTION("""COMPUTED_VALUE"""),"TRABAJOS DE CARRETERA")</f>
        <v>TRABAJOS DE CARRETERA</v>
      </c>
      <c r="E67" s="64" t="str">
        <f>IFERROR(__xludf.DUMMYFUNCTION("""COMPUTED_VALUE"""),"CONSIGNACIÓN")</f>
        <v>CONSIGNACIÓN</v>
      </c>
      <c r="F67" s="64" t="str">
        <f>IFERROR(__xludf.DUMMYFUNCTION("""COMPUTED_VALUE"""),"DERRAME")</f>
        <v>DERRAME</v>
      </c>
      <c r="G67" s="64" t="str">
        <f>IFERROR(__xludf.DUMMYFUNCTION("""COMPUTED_VALUE"""),"CALENTAMIENTO")</f>
        <v>CALENTAMIENTO</v>
      </c>
      <c r="H67" s="64" t="str">
        <f>IFERROR(__xludf.DUMMYFUNCTION("""COMPUTED_VALUE"""),"ESCOLTANDO")</f>
        <v>ESCOLTANDO</v>
      </c>
      <c r="I67" s="64" t="str">
        <f>IFERROR(__xludf.DUMMYFUNCTION("""COMPUTED_VALUE"""),"FALTA DE COMBUSTIBLE")</f>
        <v>FALTA DE COMBUSTIBLE</v>
      </c>
      <c r="J67" s="64" t="str">
        <f>IFERROR(__xludf.DUMMYFUNCTION("""COMPUTED_VALUE"""),"DESPERFECTOS MECÁNICOS")</f>
        <v>DESPERFECTOS MECÁNICOS</v>
      </c>
      <c r="K67" s="64" t="str">
        <f>IFERROR(__xludf.DUMMYFUNCTION("""COMPUTED_VALUE"""),"LLAMADA DE ATENCIÓN")</f>
        <v>LLAMADA DE ATENCIÓN</v>
      </c>
      <c r="L67" s="64" t="str">
        <f>IFERROR(__xludf.DUMMYFUNCTION("""COMPUTED_VALUE"""),"OPERATIVOS")</f>
        <v>OPERATIVOS</v>
      </c>
      <c r="M67" s="64" t="str">
        <f>IFERROR(__xludf.DUMMYFUNCTION("""COMPUTED_VALUE"""),"SANCIÓN")</f>
        <v>SANCIÓN</v>
      </c>
      <c r="N67" s="64" t="str">
        <f>IFERROR(__xludf.DUMMYFUNCTION("""COMPUTED_VALUE"""),"SISTEMA ELECTRICO")</f>
        <v>SISTEMA ELECTRICO</v>
      </c>
      <c r="O67" s="64" t="str">
        <f>IFERROR(__xludf.DUMMYFUNCTION("""COMPUTED_VALUE"""),"ASISTENCIA AL USUARIO")</f>
        <v>ASISTENCIA AL USUARIO</v>
      </c>
      <c r="P67" s="64" t="str">
        <f>IFERROR(__xludf.DUMMYFUNCTION("""COMPUTED_VALUE"""),"DOBLE REMOLQUE")</f>
        <v>DOBLE REMOLQUE</v>
      </c>
      <c r="Q67" s="64" t="str">
        <f>IFERROR(__xludf.DUMMYFUNCTION("""COMPUTED_VALUE"""),"SINAPRESE")</f>
        <v>SINAPRESE</v>
      </c>
      <c r="R67" s="64" t="str">
        <f>IFERROR(__xludf.DUMMYFUNCTION("""COMPUTED_VALUE"""),"APOYO ATLETISMO")</f>
        <v>APOYO ATLETISMO</v>
      </c>
      <c r="S67" s="64" t="str">
        <f>IFERROR(__xludf.DUMMYFUNCTION("""COMPUTED_VALUE"""),"APOYO A CICLISMO")</f>
        <v>APOYO A CICLISMO</v>
      </c>
      <c r="T67" s="64" t="str">
        <f>IFERROR(__xludf.DUMMYFUNCTION("""COMPUTED_VALUE"""),"DESCARGA DE BATERÍA")</f>
        <v>DESCARGA DE BATERÍA</v>
      </c>
      <c r="U67" s="64" t="str">
        <f>IFERROR(__xludf.DUMMYFUNCTION("""COMPUTED_VALUE"""),"PROBLEMAS DE SALUD")</f>
        <v>PROBLEMAS DE SALUD</v>
      </c>
      <c r="V67" s="64" t="str">
        <f>IFERROR(__xludf.DUMMYFUNCTION("""COMPUTED_VALUE"""),"OLVIDO LA LLAVE")</f>
        <v>OLVIDO LA LLAVE</v>
      </c>
      <c r="W67" s="64" t="str">
        <f>IFERROR(__xludf.DUMMYFUNCTION("""COMPUTED_VALUE"""),"CARGA SOBREDIMENSIONADA")</f>
        <v>CARGA SOBREDIMENSIONADA</v>
      </c>
      <c r="X67" s="64" t="str">
        <f>IFERROR(__xludf.DUMMYFUNCTION("""COMPUTED_VALUE"""),"VEHÍCULO ABANDONADO")</f>
        <v>VEHÍCULO ABANDONADO</v>
      </c>
      <c r="Y67" s="64" t="str">
        <f>IFERROR(__xludf.DUMMYFUNCTION("""COMPUTED_VALUE"""),"DESPRENDIMIENTO")</f>
        <v>DESPRENDIMIENTO</v>
      </c>
      <c r="Z67" s="64" t="str">
        <f>IFERROR(__xludf.DUMMYFUNCTION("""COMPUTED_VALUE"""),"CAÍDA DE POSTE")</f>
        <v>CAÍDA DE POSTE</v>
      </c>
      <c r="AA67" s="64" t="str">
        <f>IFERROR(__xludf.DUMMYFUNCTION("""COMPUTED_VALUE"""),"CAÍDA DE RAMA")</f>
        <v>CAÍDA DE RAMA</v>
      </c>
      <c r="AB67" s="64" t="str">
        <f>IFERROR(__xludf.DUMMYFUNCTION("""COMPUTED_VALUE"""),"OPERATIVO DGT")</f>
        <v>OPERATIVO DGT</v>
      </c>
      <c r="AC67" s="64" t="str">
        <f>IFERROR(__xludf.DUMMYFUNCTION("""COMPUTED_VALUE"""),"OPERATIVO PMT")</f>
        <v>OPERATIVO PMT</v>
      </c>
      <c r="AD67" s="64" t="str">
        <f>IFERROR(__xludf.DUMMYFUNCTION("""COMPUTED_VALUE"""),"APOYO A DIGEF")</f>
        <v>APOYO A DIGEF</v>
      </c>
      <c r="AE67" s="64" t="str">
        <f>IFERROR(__xludf.DUMMYFUNCTION("""COMPUTED_VALUE"""),"OPERATIVO PNC TRANSITO")</f>
        <v>OPERATIVO PNC TRANSITO</v>
      </c>
      <c r="AF67" s="64" t="str">
        <f>IFERROR(__xludf.DUMMYFUNCTION("""COMPUTED_VALUE"""),"SOBRECARGA ")</f>
        <v>SOBRECARGA </v>
      </c>
      <c r="AG67" s="64" t="str">
        <f>IFERROR(__xludf.DUMMYFUNCTION("""COMPUTED_VALUE"""),"OPERATIVO EN CONJUNTO")</f>
        <v>OPERATIVO EN CONJUNTO</v>
      </c>
      <c r="AH67" s="64" t="str">
        <f>IFERROR(__xludf.DUMMYFUNCTION("""COMPUTED_VALUE"""),"PUESTO DE ATENCION AL USUARIO")</f>
        <v>PUESTO DE ATENCION AL USUARIO</v>
      </c>
      <c r="AI67" s="64" t="str">
        <f>IFERROR(__xludf.DUMMYFUNCTION("""COMPUTED_VALUE"""),"INCENDIO EN RUTA")</f>
        <v>INCENDIO EN RUTA</v>
      </c>
      <c r="AJ67" s="64" t="str">
        <f>IFERROR(__xludf.DUMMYFUNCTION("""COMPUTED_VALUE"""),"APOYO ANTORCHA ")</f>
        <v>APOYO ANTORCHA </v>
      </c>
    </row>
    <row r="68">
      <c r="B68" s="64" t="s">
        <v>54</v>
      </c>
      <c r="C68" s="64" t="str">
        <f>IFERROR(__xludf.DUMMYFUNCTION(" TRANSPOSE( unique ( QUERY(DATOPRO,""select Col2 where Col1 = '""&amp;B68&amp;""'"")))"),"PINCHAZO")</f>
        <v>PINCHAZO</v>
      </c>
      <c r="D68" s="64" t="str">
        <f>IFERROR(__xludf.DUMMYFUNCTION("""COMPUTED_VALUE"""),"TRABAJOS DE CARRETERA")</f>
        <v>TRABAJOS DE CARRETERA</v>
      </c>
      <c r="E68" s="64" t="str">
        <f>IFERROR(__xludf.DUMMYFUNCTION("""COMPUTED_VALUE"""),"CONSIGNACIÓN")</f>
        <v>CONSIGNACIÓN</v>
      </c>
      <c r="F68" s="64" t="str">
        <f>IFERROR(__xludf.DUMMYFUNCTION("""COMPUTED_VALUE"""),"DERRAME")</f>
        <v>DERRAME</v>
      </c>
      <c r="G68" s="64" t="str">
        <f>IFERROR(__xludf.DUMMYFUNCTION("""COMPUTED_VALUE"""),"CALENTAMIENTO")</f>
        <v>CALENTAMIENTO</v>
      </c>
      <c r="H68" s="64" t="str">
        <f>IFERROR(__xludf.DUMMYFUNCTION("""COMPUTED_VALUE"""),"ESCOLTANDO")</f>
        <v>ESCOLTANDO</v>
      </c>
      <c r="I68" s="64" t="str">
        <f>IFERROR(__xludf.DUMMYFUNCTION("""COMPUTED_VALUE"""),"FALTA DE COMBUSTIBLE")</f>
        <v>FALTA DE COMBUSTIBLE</v>
      </c>
      <c r="J68" s="64" t="str">
        <f>IFERROR(__xludf.DUMMYFUNCTION("""COMPUTED_VALUE"""),"DESPERFECTOS MECÁNICOS")</f>
        <v>DESPERFECTOS MECÁNICOS</v>
      </c>
      <c r="K68" s="64" t="str">
        <f>IFERROR(__xludf.DUMMYFUNCTION("""COMPUTED_VALUE"""),"LLAMADA DE ATENCIÓN")</f>
        <v>LLAMADA DE ATENCIÓN</v>
      </c>
      <c r="L68" s="64" t="str">
        <f>IFERROR(__xludf.DUMMYFUNCTION("""COMPUTED_VALUE"""),"OPERATIVOS")</f>
        <v>OPERATIVOS</v>
      </c>
      <c r="M68" s="64" t="str">
        <f>IFERROR(__xludf.DUMMYFUNCTION("""COMPUTED_VALUE"""),"SANCIÓN")</f>
        <v>SANCIÓN</v>
      </c>
      <c r="N68" s="64" t="str">
        <f>IFERROR(__xludf.DUMMYFUNCTION("""COMPUTED_VALUE"""),"SISTEMA ELECTRICO")</f>
        <v>SISTEMA ELECTRICO</v>
      </c>
      <c r="O68" s="64" t="str">
        <f>IFERROR(__xludf.DUMMYFUNCTION("""COMPUTED_VALUE"""),"ASISTENCIA AL USUARIO")</f>
        <v>ASISTENCIA AL USUARIO</v>
      </c>
      <c r="P68" s="64" t="str">
        <f>IFERROR(__xludf.DUMMYFUNCTION("""COMPUTED_VALUE"""),"DOBLE REMOLQUE")</f>
        <v>DOBLE REMOLQUE</v>
      </c>
      <c r="Q68" s="64" t="str">
        <f>IFERROR(__xludf.DUMMYFUNCTION("""COMPUTED_VALUE"""),"SINAPRESE")</f>
        <v>SINAPRESE</v>
      </c>
      <c r="R68" s="64" t="str">
        <f>IFERROR(__xludf.DUMMYFUNCTION("""COMPUTED_VALUE"""),"APOYO ATLETISMO")</f>
        <v>APOYO ATLETISMO</v>
      </c>
      <c r="S68" s="64" t="str">
        <f>IFERROR(__xludf.DUMMYFUNCTION("""COMPUTED_VALUE"""),"APOYO A CICLISMO")</f>
        <v>APOYO A CICLISMO</v>
      </c>
      <c r="T68" s="64" t="str">
        <f>IFERROR(__xludf.DUMMYFUNCTION("""COMPUTED_VALUE"""),"DESCARGA DE BATERÍA")</f>
        <v>DESCARGA DE BATERÍA</v>
      </c>
      <c r="U68" s="64" t="str">
        <f>IFERROR(__xludf.DUMMYFUNCTION("""COMPUTED_VALUE"""),"PROBLEMAS DE SALUD")</f>
        <v>PROBLEMAS DE SALUD</v>
      </c>
      <c r="V68" s="64" t="str">
        <f>IFERROR(__xludf.DUMMYFUNCTION("""COMPUTED_VALUE"""),"OLVIDO LA LLAVE")</f>
        <v>OLVIDO LA LLAVE</v>
      </c>
      <c r="W68" s="64" t="str">
        <f>IFERROR(__xludf.DUMMYFUNCTION("""COMPUTED_VALUE"""),"CARGA SOBREDIMENSIONADA")</f>
        <v>CARGA SOBREDIMENSIONADA</v>
      </c>
      <c r="X68" s="64" t="str">
        <f>IFERROR(__xludf.DUMMYFUNCTION("""COMPUTED_VALUE"""),"VEHÍCULO ABANDONADO")</f>
        <v>VEHÍCULO ABANDONADO</v>
      </c>
      <c r="Y68" s="64" t="str">
        <f>IFERROR(__xludf.DUMMYFUNCTION("""COMPUTED_VALUE"""),"DESPRENDIMIENTO")</f>
        <v>DESPRENDIMIENTO</v>
      </c>
      <c r="Z68" s="64" t="str">
        <f>IFERROR(__xludf.DUMMYFUNCTION("""COMPUTED_VALUE"""),"CAÍDA DE POSTE")</f>
        <v>CAÍDA DE POSTE</v>
      </c>
      <c r="AA68" s="64" t="str">
        <f>IFERROR(__xludf.DUMMYFUNCTION("""COMPUTED_VALUE"""),"CAÍDA DE RAMA")</f>
        <v>CAÍDA DE RAMA</v>
      </c>
      <c r="AB68" s="64" t="str">
        <f>IFERROR(__xludf.DUMMYFUNCTION("""COMPUTED_VALUE"""),"OPERATIVO DGT")</f>
        <v>OPERATIVO DGT</v>
      </c>
      <c r="AC68" s="64" t="str">
        <f>IFERROR(__xludf.DUMMYFUNCTION("""COMPUTED_VALUE"""),"OPERATIVO PMT")</f>
        <v>OPERATIVO PMT</v>
      </c>
      <c r="AD68" s="64" t="str">
        <f>IFERROR(__xludf.DUMMYFUNCTION("""COMPUTED_VALUE"""),"APOYO A DIGEF")</f>
        <v>APOYO A DIGEF</v>
      </c>
      <c r="AE68" s="64" t="str">
        <f>IFERROR(__xludf.DUMMYFUNCTION("""COMPUTED_VALUE"""),"OPERATIVO PNC TRANSITO")</f>
        <v>OPERATIVO PNC TRANSITO</v>
      </c>
      <c r="AF68" s="64" t="str">
        <f>IFERROR(__xludf.DUMMYFUNCTION("""COMPUTED_VALUE"""),"SOBRECARGA ")</f>
        <v>SOBRECARGA </v>
      </c>
      <c r="AG68" s="64" t="str">
        <f>IFERROR(__xludf.DUMMYFUNCTION("""COMPUTED_VALUE"""),"OPERATIVO EN CONJUNTO")</f>
        <v>OPERATIVO EN CONJUNTO</v>
      </c>
      <c r="AH68" s="64" t="str">
        <f>IFERROR(__xludf.DUMMYFUNCTION("""COMPUTED_VALUE"""),"PUESTO DE ATENCION AL USUARIO")</f>
        <v>PUESTO DE ATENCION AL USUARIO</v>
      </c>
      <c r="AI68" s="64" t="str">
        <f>IFERROR(__xludf.DUMMYFUNCTION("""COMPUTED_VALUE"""),"INCENDIO EN RUTA")</f>
        <v>INCENDIO EN RUTA</v>
      </c>
      <c r="AJ68" s="64" t="str">
        <f>IFERROR(__xludf.DUMMYFUNCTION("""COMPUTED_VALUE"""),"APOYO ANTORCHA ")</f>
        <v>APOYO ANTORCHA </v>
      </c>
    </row>
    <row r="69">
      <c r="B69" s="64" t="s">
        <v>54</v>
      </c>
      <c r="C69" s="64" t="str">
        <f>IFERROR(__xludf.DUMMYFUNCTION(" TRANSPOSE( unique ( QUERY(DATOPRO,""select Col2 where Col1 = '""&amp;B69&amp;""'"")))"),"PINCHAZO")</f>
        <v>PINCHAZO</v>
      </c>
      <c r="D69" s="64" t="str">
        <f>IFERROR(__xludf.DUMMYFUNCTION("""COMPUTED_VALUE"""),"TRABAJOS DE CARRETERA")</f>
        <v>TRABAJOS DE CARRETERA</v>
      </c>
      <c r="E69" s="64" t="str">
        <f>IFERROR(__xludf.DUMMYFUNCTION("""COMPUTED_VALUE"""),"CONSIGNACIÓN")</f>
        <v>CONSIGNACIÓN</v>
      </c>
      <c r="F69" s="64" t="str">
        <f>IFERROR(__xludf.DUMMYFUNCTION("""COMPUTED_VALUE"""),"DERRAME")</f>
        <v>DERRAME</v>
      </c>
      <c r="G69" s="64" t="str">
        <f>IFERROR(__xludf.DUMMYFUNCTION("""COMPUTED_VALUE"""),"CALENTAMIENTO")</f>
        <v>CALENTAMIENTO</v>
      </c>
      <c r="H69" s="64" t="str">
        <f>IFERROR(__xludf.DUMMYFUNCTION("""COMPUTED_VALUE"""),"ESCOLTANDO")</f>
        <v>ESCOLTANDO</v>
      </c>
      <c r="I69" s="64" t="str">
        <f>IFERROR(__xludf.DUMMYFUNCTION("""COMPUTED_VALUE"""),"FALTA DE COMBUSTIBLE")</f>
        <v>FALTA DE COMBUSTIBLE</v>
      </c>
      <c r="J69" s="64" t="str">
        <f>IFERROR(__xludf.DUMMYFUNCTION("""COMPUTED_VALUE"""),"DESPERFECTOS MECÁNICOS")</f>
        <v>DESPERFECTOS MECÁNICOS</v>
      </c>
      <c r="K69" s="64" t="str">
        <f>IFERROR(__xludf.DUMMYFUNCTION("""COMPUTED_VALUE"""),"LLAMADA DE ATENCIÓN")</f>
        <v>LLAMADA DE ATENCIÓN</v>
      </c>
      <c r="L69" s="64" t="str">
        <f>IFERROR(__xludf.DUMMYFUNCTION("""COMPUTED_VALUE"""),"OPERATIVOS")</f>
        <v>OPERATIVOS</v>
      </c>
      <c r="M69" s="64" t="str">
        <f>IFERROR(__xludf.DUMMYFUNCTION("""COMPUTED_VALUE"""),"SANCIÓN")</f>
        <v>SANCIÓN</v>
      </c>
      <c r="N69" s="64" t="str">
        <f>IFERROR(__xludf.DUMMYFUNCTION("""COMPUTED_VALUE"""),"SISTEMA ELECTRICO")</f>
        <v>SISTEMA ELECTRICO</v>
      </c>
      <c r="O69" s="64" t="str">
        <f>IFERROR(__xludf.DUMMYFUNCTION("""COMPUTED_VALUE"""),"ASISTENCIA AL USUARIO")</f>
        <v>ASISTENCIA AL USUARIO</v>
      </c>
      <c r="P69" s="64" t="str">
        <f>IFERROR(__xludf.DUMMYFUNCTION("""COMPUTED_VALUE"""),"DOBLE REMOLQUE")</f>
        <v>DOBLE REMOLQUE</v>
      </c>
      <c r="Q69" s="64" t="str">
        <f>IFERROR(__xludf.DUMMYFUNCTION("""COMPUTED_VALUE"""),"SINAPRESE")</f>
        <v>SINAPRESE</v>
      </c>
      <c r="R69" s="64" t="str">
        <f>IFERROR(__xludf.DUMMYFUNCTION("""COMPUTED_VALUE"""),"APOYO ATLETISMO")</f>
        <v>APOYO ATLETISMO</v>
      </c>
      <c r="S69" s="64" t="str">
        <f>IFERROR(__xludf.DUMMYFUNCTION("""COMPUTED_VALUE"""),"APOYO A CICLISMO")</f>
        <v>APOYO A CICLISMO</v>
      </c>
      <c r="T69" s="64" t="str">
        <f>IFERROR(__xludf.DUMMYFUNCTION("""COMPUTED_VALUE"""),"DESCARGA DE BATERÍA")</f>
        <v>DESCARGA DE BATERÍA</v>
      </c>
      <c r="U69" s="64" t="str">
        <f>IFERROR(__xludf.DUMMYFUNCTION("""COMPUTED_VALUE"""),"PROBLEMAS DE SALUD")</f>
        <v>PROBLEMAS DE SALUD</v>
      </c>
      <c r="V69" s="64" t="str">
        <f>IFERROR(__xludf.DUMMYFUNCTION("""COMPUTED_VALUE"""),"OLVIDO LA LLAVE")</f>
        <v>OLVIDO LA LLAVE</v>
      </c>
      <c r="W69" s="64" t="str">
        <f>IFERROR(__xludf.DUMMYFUNCTION("""COMPUTED_VALUE"""),"CARGA SOBREDIMENSIONADA")</f>
        <v>CARGA SOBREDIMENSIONADA</v>
      </c>
      <c r="X69" s="64" t="str">
        <f>IFERROR(__xludf.DUMMYFUNCTION("""COMPUTED_VALUE"""),"VEHÍCULO ABANDONADO")</f>
        <v>VEHÍCULO ABANDONADO</v>
      </c>
      <c r="Y69" s="64" t="str">
        <f>IFERROR(__xludf.DUMMYFUNCTION("""COMPUTED_VALUE"""),"DESPRENDIMIENTO")</f>
        <v>DESPRENDIMIENTO</v>
      </c>
      <c r="Z69" s="64" t="str">
        <f>IFERROR(__xludf.DUMMYFUNCTION("""COMPUTED_VALUE"""),"CAÍDA DE POSTE")</f>
        <v>CAÍDA DE POSTE</v>
      </c>
      <c r="AA69" s="64" t="str">
        <f>IFERROR(__xludf.DUMMYFUNCTION("""COMPUTED_VALUE"""),"CAÍDA DE RAMA")</f>
        <v>CAÍDA DE RAMA</v>
      </c>
      <c r="AB69" s="64" t="str">
        <f>IFERROR(__xludf.DUMMYFUNCTION("""COMPUTED_VALUE"""),"OPERATIVO DGT")</f>
        <v>OPERATIVO DGT</v>
      </c>
      <c r="AC69" s="64" t="str">
        <f>IFERROR(__xludf.DUMMYFUNCTION("""COMPUTED_VALUE"""),"OPERATIVO PMT")</f>
        <v>OPERATIVO PMT</v>
      </c>
      <c r="AD69" s="64" t="str">
        <f>IFERROR(__xludf.DUMMYFUNCTION("""COMPUTED_VALUE"""),"APOYO A DIGEF")</f>
        <v>APOYO A DIGEF</v>
      </c>
      <c r="AE69" s="64" t="str">
        <f>IFERROR(__xludf.DUMMYFUNCTION("""COMPUTED_VALUE"""),"OPERATIVO PNC TRANSITO")</f>
        <v>OPERATIVO PNC TRANSITO</v>
      </c>
      <c r="AF69" s="64" t="str">
        <f>IFERROR(__xludf.DUMMYFUNCTION("""COMPUTED_VALUE"""),"SOBRECARGA ")</f>
        <v>SOBRECARGA </v>
      </c>
      <c r="AG69" s="64" t="str">
        <f>IFERROR(__xludf.DUMMYFUNCTION("""COMPUTED_VALUE"""),"OPERATIVO EN CONJUNTO")</f>
        <v>OPERATIVO EN CONJUNTO</v>
      </c>
      <c r="AH69" s="64" t="str">
        <f>IFERROR(__xludf.DUMMYFUNCTION("""COMPUTED_VALUE"""),"PUESTO DE ATENCION AL USUARIO")</f>
        <v>PUESTO DE ATENCION AL USUARIO</v>
      </c>
      <c r="AI69" s="64" t="str">
        <f>IFERROR(__xludf.DUMMYFUNCTION("""COMPUTED_VALUE"""),"INCENDIO EN RUTA")</f>
        <v>INCENDIO EN RUTA</v>
      </c>
      <c r="AJ69" s="64" t="str">
        <f>IFERROR(__xludf.DUMMYFUNCTION("""COMPUTED_VALUE"""),"APOYO ANTORCHA ")</f>
        <v>APOYO ANTORCHA </v>
      </c>
    </row>
    <row r="70">
      <c r="B70" s="64" t="s">
        <v>38</v>
      </c>
      <c r="C70" s="64" t="str">
        <f>IFERROR(__xludf.DUMMYFUNCTION(" TRANSPOSE( unique ( QUERY(DATOPRO,""select Col2 where Col1 = '""&amp;B70&amp;""'"")))"),"ATAQUE ARMADO")</f>
        <v>ATAQUE ARMADO</v>
      </c>
      <c r="D70" s="64" t="str">
        <f>IFERROR(__xludf.DUMMYFUNCTION("""COMPUTED_VALUE"""),"DESBALANCE DE CARGA")</f>
        <v>DESBALANCE DE CARGA</v>
      </c>
      <c r="E70" s="64" t="str">
        <f>IFERROR(__xludf.DUMMYFUNCTION("""COMPUTED_VALUE"""),"PERSONA FALLECIDA")</f>
        <v>PERSONA FALLECIDA</v>
      </c>
      <c r="F70" s="64" t="str">
        <f>IFERROR(__xludf.DUMMYFUNCTION("""COMPUTED_VALUE"""),"DESPRENDIMIENTO DE NEUMATICO")</f>
        <v>DESPRENDIMIENTO DE NEUMATICO</v>
      </c>
      <c r="G70" s="64" t="str">
        <f>IFERROR(__xludf.DUMMYFUNCTION("""COMPUTED_VALUE"""),"SALIDA DE PISTA")</f>
        <v>SALIDA DE PISTA</v>
      </c>
      <c r="H70" s="64" t="str">
        <f>IFERROR(__xludf.DUMMYFUNCTION("""COMPUTED_VALUE"""),"DESPRENDIMIENTO DE CONTENEDOR")</f>
        <v>DESPRENDIMIENTO DE CONTENEDOR</v>
      </c>
      <c r="I70" s="64" t="str">
        <f>IFERROR(__xludf.DUMMYFUNCTION("""COMPUTED_VALUE"""),"CAÍDA DE CARGA")</f>
        <v>CAÍDA DE CARGA</v>
      </c>
      <c r="J70" s="64" t="str">
        <f>IFERROR(__xludf.DUMMYFUNCTION("""COMPUTED_VALUE"""),"CHOQUE")</f>
        <v>CHOQUE</v>
      </c>
      <c r="K70" s="64" t="str">
        <f>IFERROR(__xludf.DUMMYFUNCTION("""COMPUTED_VALUE"""),"COLISIÓN")</f>
        <v>COLISIÓN</v>
      </c>
      <c r="L70" s="64" t="str">
        <f>IFERROR(__xludf.DUMMYFUNCTION("""COMPUTED_VALUE"""),"COLISIÓN MÚLTIPLE")</f>
        <v>COLISIÓN MÚLTIPLE</v>
      </c>
      <c r="M70" s="64" t="str">
        <f>IFERROR(__xludf.DUMMYFUNCTION("""COMPUTED_VALUE"""),"DERRAPE")</f>
        <v>DERRAPE</v>
      </c>
      <c r="N70" s="64" t="str">
        <f>IFERROR(__xludf.DUMMYFUNCTION("""COMPUTED_VALUE"""),"VEHÍCULO INCENDIADO")</f>
        <v>VEHÍCULO INCENDIADO</v>
      </c>
      <c r="O70" s="64" t="str">
        <f>IFERROR(__xludf.DUMMYFUNCTION("""COMPUTED_VALUE"""),"VUELCO")</f>
        <v>VUELCO</v>
      </c>
      <c r="P70" s="64" t="str">
        <f>IFERROR(__xludf.DUMMYFUNCTION("""COMPUTED_VALUE"""),"DESPRENDIMIENTO")</f>
        <v>DESPRENDIMIENTO</v>
      </c>
      <c r="Q70" s="64" t="str">
        <f>IFERROR(__xludf.DUMMYFUNCTION("""COMPUTED_VALUE"""),"CAÍDA DE ÁRBOL")</f>
        <v>CAÍDA DE ÁRBOL</v>
      </c>
      <c r="R70" s="64" t="str">
        <f>IFERROR(__xludf.DUMMYFUNCTION("""COMPUTED_VALUE"""),"DESPRENDIMIENTO DE EJE")</f>
        <v>DESPRENDIMIENTO DE EJE</v>
      </c>
      <c r="S70" s="64" t="str">
        <f>IFERROR(__xludf.DUMMYFUNCTION("""COMPUTED_VALUE"""),"PERSONA ATROPELLADA")</f>
        <v>PERSONA ATROPELLADA</v>
      </c>
    </row>
    <row r="71">
      <c r="B71" s="64" t="s">
        <v>38</v>
      </c>
      <c r="C71" s="64" t="str">
        <f>IFERROR(__xludf.DUMMYFUNCTION(" TRANSPOSE( unique ( QUERY(DATOPRO,""select Col2 where Col1 = '""&amp;B71&amp;""'"")))"),"ATAQUE ARMADO")</f>
        <v>ATAQUE ARMADO</v>
      </c>
      <c r="D71" s="64" t="str">
        <f>IFERROR(__xludf.DUMMYFUNCTION("""COMPUTED_VALUE"""),"DESBALANCE DE CARGA")</f>
        <v>DESBALANCE DE CARGA</v>
      </c>
      <c r="E71" s="64" t="str">
        <f>IFERROR(__xludf.DUMMYFUNCTION("""COMPUTED_VALUE"""),"PERSONA FALLECIDA")</f>
        <v>PERSONA FALLECIDA</v>
      </c>
      <c r="F71" s="64" t="str">
        <f>IFERROR(__xludf.DUMMYFUNCTION("""COMPUTED_VALUE"""),"DESPRENDIMIENTO DE NEUMATICO")</f>
        <v>DESPRENDIMIENTO DE NEUMATICO</v>
      </c>
      <c r="G71" s="64" t="str">
        <f>IFERROR(__xludf.DUMMYFUNCTION("""COMPUTED_VALUE"""),"SALIDA DE PISTA")</f>
        <v>SALIDA DE PISTA</v>
      </c>
      <c r="H71" s="64" t="str">
        <f>IFERROR(__xludf.DUMMYFUNCTION("""COMPUTED_VALUE"""),"DESPRENDIMIENTO DE CONTENEDOR")</f>
        <v>DESPRENDIMIENTO DE CONTENEDOR</v>
      </c>
      <c r="I71" s="64" t="str">
        <f>IFERROR(__xludf.DUMMYFUNCTION("""COMPUTED_VALUE"""),"CAÍDA DE CARGA")</f>
        <v>CAÍDA DE CARGA</v>
      </c>
      <c r="J71" s="64" t="str">
        <f>IFERROR(__xludf.DUMMYFUNCTION("""COMPUTED_VALUE"""),"CHOQUE")</f>
        <v>CHOQUE</v>
      </c>
      <c r="K71" s="64" t="str">
        <f>IFERROR(__xludf.DUMMYFUNCTION("""COMPUTED_VALUE"""),"COLISIÓN")</f>
        <v>COLISIÓN</v>
      </c>
      <c r="L71" s="64" t="str">
        <f>IFERROR(__xludf.DUMMYFUNCTION("""COMPUTED_VALUE"""),"COLISIÓN MÚLTIPLE")</f>
        <v>COLISIÓN MÚLTIPLE</v>
      </c>
      <c r="M71" s="64" t="str">
        <f>IFERROR(__xludf.DUMMYFUNCTION("""COMPUTED_VALUE"""),"DERRAPE")</f>
        <v>DERRAPE</v>
      </c>
      <c r="N71" s="64" t="str">
        <f>IFERROR(__xludf.DUMMYFUNCTION("""COMPUTED_VALUE"""),"VEHÍCULO INCENDIADO")</f>
        <v>VEHÍCULO INCENDIADO</v>
      </c>
      <c r="O71" s="64" t="str">
        <f>IFERROR(__xludf.DUMMYFUNCTION("""COMPUTED_VALUE"""),"VUELCO")</f>
        <v>VUELCO</v>
      </c>
      <c r="P71" s="64" t="str">
        <f>IFERROR(__xludf.DUMMYFUNCTION("""COMPUTED_VALUE"""),"DESPRENDIMIENTO")</f>
        <v>DESPRENDIMIENTO</v>
      </c>
      <c r="Q71" s="64" t="str">
        <f>IFERROR(__xludf.DUMMYFUNCTION("""COMPUTED_VALUE"""),"CAÍDA DE ÁRBOL")</f>
        <v>CAÍDA DE ÁRBOL</v>
      </c>
      <c r="R71" s="64" t="str">
        <f>IFERROR(__xludf.DUMMYFUNCTION("""COMPUTED_VALUE"""),"DESPRENDIMIENTO DE EJE")</f>
        <v>DESPRENDIMIENTO DE EJE</v>
      </c>
      <c r="S71" s="64" t="str">
        <f>IFERROR(__xludf.DUMMYFUNCTION("""COMPUTED_VALUE"""),"PERSONA ATROPELLADA")</f>
        <v>PERSONA ATROPELLADA</v>
      </c>
    </row>
    <row r="72">
      <c r="B72" s="64" t="s">
        <v>54</v>
      </c>
      <c r="C72" s="64" t="str">
        <f>IFERROR(__xludf.DUMMYFUNCTION(" TRANSPOSE( unique ( QUERY(DATOPRO,""select Col2 where Col1 = '""&amp;B72&amp;""'"")))"),"PINCHAZO")</f>
        <v>PINCHAZO</v>
      </c>
      <c r="D72" s="64" t="str">
        <f>IFERROR(__xludf.DUMMYFUNCTION("""COMPUTED_VALUE"""),"TRABAJOS DE CARRETERA")</f>
        <v>TRABAJOS DE CARRETERA</v>
      </c>
      <c r="E72" s="64" t="str">
        <f>IFERROR(__xludf.DUMMYFUNCTION("""COMPUTED_VALUE"""),"CONSIGNACIÓN")</f>
        <v>CONSIGNACIÓN</v>
      </c>
      <c r="F72" s="64" t="str">
        <f>IFERROR(__xludf.DUMMYFUNCTION("""COMPUTED_VALUE"""),"DERRAME")</f>
        <v>DERRAME</v>
      </c>
      <c r="G72" s="64" t="str">
        <f>IFERROR(__xludf.DUMMYFUNCTION("""COMPUTED_VALUE"""),"CALENTAMIENTO")</f>
        <v>CALENTAMIENTO</v>
      </c>
      <c r="H72" s="64" t="str">
        <f>IFERROR(__xludf.DUMMYFUNCTION("""COMPUTED_VALUE"""),"ESCOLTANDO")</f>
        <v>ESCOLTANDO</v>
      </c>
      <c r="I72" s="64" t="str">
        <f>IFERROR(__xludf.DUMMYFUNCTION("""COMPUTED_VALUE"""),"FALTA DE COMBUSTIBLE")</f>
        <v>FALTA DE COMBUSTIBLE</v>
      </c>
      <c r="J72" s="64" t="str">
        <f>IFERROR(__xludf.DUMMYFUNCTION("""COMPUTED_VALUE"""),"DESPERFECTOS MECÁNICOS")</f>
        <v>DESPERFECTOS MECÁNICOS</v>
      </c>
      <c r="K72" s="64" t="str">
        <f>IFERROR(__xludf.DUMMYFUNCTION("""COMPUTED_VALUE"""),"LLAMADA DE ATENCIÓN")</f>
        <v>LLAMADA DE ATENCIÓN</v>
      </c>
      <c r="L72" s="64" t="str">
        <f>IFERROR(__xludf.DUMMYFUNCTION("""COMPUTED_VALUE"""),"OPERATIVOS")</f>
        <v>OPERATIVOS</v>
      </c>
      <c r="M72" s="64" t="str">
        <f>IFERROR(__xludf.DUMMYFUNCTION("""COMPUTED_VALUE"""),"SANCIÓN")</f>
        <v>SANCIÓN</v>
      </c>
      <c r="N72" s="64" t="str">
        <f>IFERROR(__xludf.DUMMYFUNCTION("""COMPUTED_VALUE"""),"SISTEMA ELECTRICO")</f>
        <v>SISTEMA ELECTRICO</v>
      </c>
      <c r="O72" s="64" t="str">
        <f>IFERROR(__xludf.DUMMYFUNCTION("""COMPUTED_VALUE"""),"ASISTENCIA AL USUARIO")</f>
        <v>ASISTENCIA AL USUARIO</v>
      </c>
      <c r="P72" s="64" t="str">
        <f>IFERROR(__xludf.DUMMYFUNCTION("""COMPUTED_VALUE"""),"DOBLE REMOLQUE")</f>
        <v>DOBLE REMOLQUE</v>
      </c>
      <c r="Q72" s="64" t="str">
        <f>IFERROR(__xludf.DUMMYFUNCTION("""COMPUTED_VALUE"""),"SINAPRESE")</f>
        <v>SINAPRESE</v>
      </c>
      <c r="R72" s="64" t="str">
        <f>IFERROR(__xludf.DUMMYFUNCTION("""COMPUTED_VALUE"""),"APOYO ATLETISMO")</f>
        <v>APOYO ATLETISMO</v>
      </c>
      <c r="S72" s="64" t="str">
        <f>IFERROR(__xludf.DUMMYFUNCTION("""COMPUTED_VALUE"""),"APOYO A CICLISMO")</f>
        <v>APOYO A CICLISMO</v>
      </c>
      <c r="T72" s="64" t="str">
        <f>IFERROR(__xludf.DUMMYFUNCTION("""COMPUTED_VALUE"""),"DESCARGA DE BATERÍA")</f>
        <v>DESCARGA DE BATERÍA</v>
      </c>
      <c r="U72" s="64" t="str">
        <f>IFERROR(__xludf.DUMMYFUNCTION("""COMPUTED_VALUE"""),"PROBLEMAS DE SALUD")</f>
        <v>PROBLEMAS DE SALUD</v>
      </c>
      <c r="V72" s="64" t="str">
        <f>IFERROR(__xludf.DUMMYFUNCTION("""COMPUTED_VALUE"""),"OLVIDO LA LLAVE")</f>
        <v>OLVIDO LA LLAVE</v>
      </c>
      <c r="W72" s="64" t="str">
        <f>IFERROR(__xludf.DUMMYFUNCTION("""COMPUTED_VALUE"""),"CARGA SOBREDIMENSIONADA")</f>
        <v>CARGA SOBREDIMENSIONADA</v>
      </c>
      <c r="X72" s="64" t="str">
        <f>IFERROR(__xludf.DUMMYFUNCTION("""COMPUTED_VALUE"""),"VEHÍCULO ABANDONADO")</f>
        <v>VEHÍCULO ABANDONADO</v>
      </c>
      <c r="Y72" s="64" t="str">
        <f>IFERROR(__xludf.DUMMYFUNCTION("""COMPUTED_VALUE"""),"DESPRENDIMIENTO")</f>
        <v>DESPRENDIMIENTO</v>
      </c>
      <c r="Z72" s="64" t="str">
        <f>IFERROR(__xludf.DUMMYFUNCTION("""COMPUTED_VALUE"""),"CAÍDA DE POSTE")</f>
        <v>CAÍDA DE POSTE</v>
      </c>
      <c r="AA72" s="64" t="str">
        <f>IFERROR(__xludf.DUMMYFUNCTION("""COMPUTED_VALUE"""),"CAÍDA DE RAMA")</f>
        <v>CAÍDA DE RAMA</v>
      </c>
      <c r="AB72" s="64" t="str">
        <f>IFERROR(__xludf.DUMMYFUNCTION("""COMPUTED_VALUE"""),"OPERATIVO DGT")</f>
        <v>OPERATIVO DGT</v>
      </c>
      <c r="AC72" s="64" t="str">
        <f>IFERROR(__xludf.DUMMYFUNCTION("""COMPUTED_VALUE"""),"OPERATIVO PMT")</f>
        <v>OPERATIVO PMT</v>
      </c>
      <c r="AD72" s="64" t="str">
        <f>IFERROR(__xludf.DUMMYFUNCTION("""COMPUTED_VALUE"""),"APOYO A DIGEF")</f>
        <v>APOYO A DIGEF</v>
      </c>
      <c r="AE72" s="64" t="str">
        <f>IFERROR(__xludf.DUMMYFUNCTION("""COMPUTED_VALUE"""),"OPERATIVO PNC TRANSITO")</f>
        <v>OPERATIVO PNC TRANSITO</v>
      </c>
      <c r="AF72" s="64" t="str">
        <f>IFERROR(__xludf.DUMMYFUNCTION("""COMPUTED_VALUE"""),"SOBRECARGA ")</f>
        <v>SOBRECARGA </v>
      </c>
      <c r="AG72" s="64" t="str">
        <f>IFERROR(__xludf.DUMMYFUNCTION("""COMPUTED_VALUE"""),"OPERATIVO EN CONJUNTO")</f>
        <v>OPERATIVO EN CONJUNTO</v>
      </c>
      <c r="AH72" s="64" t="str">
        <f>IFERROR(__xludf.DUMMYFUNCTION("""COMPUTED_VALUE"""),"PUESTO DE ATENCION AL USUARIO")</f>
        <v>PUESTO DE ATENCION AL USUARIO</v>
      </c>
      <c r="AI72" s="64" t="str">
        <f>IFERROR(__xludf.DUMMYFUNCTION("""COMPUTED_VALUE"""),"INCENDIO EN RUTA")</f>
        <v>INCENDIO EN RUTA</v>
      </c>
      <c r="AJ72" s="64" t="str">
        <f>IFERROR(__xludf.DUMMYFUNCTION("""COMPUTED_VALUE"""),"APOYO ANTORCHA ")</f>
        <v>APOYO ANTORCHA </v>
      </c>
    </row>
    <row r="73">
      <c r="B73" s="64" t="s">
        <v>38</v>
      </c>
      <c r="C73" s="64" t="str">
        <f>IFERROR(__xludf.DUMMYFUNCTION(" TRANSPOSE( unique ( QUERY(DATOPRO,""select Col2 where Col1 = '""&amp;B73&amp;""'"")))"),"ATAQUE ARMADO")</f>
        <v>ATAQUE ARMADO</v>
      </c>
      <c r="D73" s="64" t="str">
        <f>IFERROR(__xludf.DUMMYFUNCTION("""COMPUTED_VALUE"""),"DESBALANCE DE CARGA")</f>
        <v>DESBALANCE DE CARGA</v>
      </c>
      <c r="E73" s="64" t="str">
        <f>IFERROR(__xludf.DUMMYFUNCTION("""COMPUTED_VALUE"""),"PERSONA FALLECIDA")</f>
        <v>PERSONA FALLECIDA</v>
      </c>
      <c r="F73" s="64" t="str">
        <f>IFERROR(__xludf.DUMMYFUNCTION("""COMPUTED_VALUE"""),"DESPRENDIMIENTO DE NEUMATICO")</f>
        <v>DESPRENDIMIENTO DE NEUMATICO</v>
      </c>
      <c r="G73" s="64" t="str">
        <f>IFERROR(__xludf.DUMMYFUNCTION("""COMPUTED_VALUE"""),"SALIDA DE PISTA")</f>
        <v>SALIDA DE PISTA</v>
      </c>
      <c r="H73" s="64" t="str">
        <f>IFERROR(__xludf.DUMMYFUNCTION("""COMPUTED_VALUE"""),"DESPRENDIMIENTO DE CONTENEDOR")</f>
        <v>DESPRENDIMIENTO DE CONTENEDOR</v>
      </c>
      <c r="I73" s="64" t="str">
        <f>IFERROR(__xludf.DUMMYFUNCTION("""COMPUTED_VALUE"""),"CAÍDA DE CARGA")</f>
        <v>CAÍDA DE CARGA</v>
      </c>
      <c r="J73" s="64" t="str">
        <f>IFERROR(__xludf.DUMMYFUNCTION("""COMPUTED_VALUE"""),"CHOQUE")</f>
        <v>CHOQUE</v>
      </c>
      <c r="K73" s="64" t="str">
        <f>IFERROR(__xludf.DUMMYFUNCTION("""COMPUTED_VALUE"""),"COLISIÓN")</f>
        <v>COLISIÓN</v>
      </c>
      <c r="L73" s="64" t="str">
        <f>IFERROR(__xludf.DUMMYFUNCTION("""COMPUTED_VALUE"""),"COLISIÓN MÚLTIPLE")</f>
        <v>COLISIÓN MÚLTIPLE</v>
      </c>
      <c r="M73" s="64" t="str">
        <f>IFERROR(__xludf.DUMMYFUNCTION("""COMPUTED_VALUE"""),"DERRAPE")</f>
        <v>DERRAPE</v>
      </c>
      <c r="N73" s="64" t="str">
        <f>IFERROR(__xludf.DUMMYFUNCTION("""COMPUTED_VALUE"""),"VEHÍCULO INCENDIADO")</f>
        <v>VEHÍCULO INCENDIADO</v>
      </c>
      <c r="O73" s="64" t="str">
        <f>IFERROR(__xludf.DUMMYFUNCTION("""COMPUTED_VALUE"""),"VUELCO")</f>
        <v>VUELCO</v>
      </c>
      <c r="P73" s="64" t="str">
        <f>IFERROR(__xludf.DUMMYFUNCTION("""COMPUTED_VALUE"""),"DESPRENDIMIENTO")</f>
        <v>DESPRENDIMIENTO</v>
      </c>
      <c r="Q73" s="64" t="str">
        <f>IFERROR(__xludf.DUMMYFUNCTION("""COMPUTED_VALUE"""),"CAÍDA DE ÁRBOL")</f>
        <v>CAÍDA DE ÁRBOL</v>
      </c>
      <c r="R73" s="64" t="str">
        <f>IFERROR(__xludf.DUMMYFUNCTION("""COMPUTED_VALUE"""),"DESPRENDIMIENTO DE EJE")</f>
        <v>DESPRENDIMIENTO DE EJE</v>
      </c>
      <c r="S73" s="64" t="str">
        <f>IFERROR(__xludf.DUMMYFUNCTION("""COMPUTED_VALUE"""),"PERSONA ATROPELLADA")</f>
        <v>PERSONA ATROPELLADA</v>
      </c>
    </row>
    <row r="74">
      <c r="B74" s="64" t="s">
        <v>54</v>
      </c>
      <c r="C74" s="64" t="str">
        <f>IFERROR(__xludf.DUMMYFUNCTION(" TRANSPOSE( unique ( QUERY(DATOPRO,""select Col2 where Col1 = '""&amp;B74&amp;""'"")))"),"PINCHAZO")</f>
        <v>PINCHAZO</v>
      </c>
      <c r="D74" s="64" t="str">
        <f>IFERROR(__xludf.DUMMYFUNCTION("""COMPUTED_VALUE"""),"TRABAJOS DE CARRETERA")</f>
        <v>TRABAJOS DE CARRETERA</v>
      </c>
      <c r="E74" s="64" t="str">
        <f>IFERROR(__xludf.DUMMYFUNCTION("""COMPUTED_VALUE"""),"CONSIGNACIÓN")</f>
        <v>CONSIGNACIÓN</v>
      </c>
      <c r="F74" s="64" t="str">
        <f>IFERROR(__xludf.DUMMYFUNCTION("""COMPUTED_VALUE"""),"DERRAME")</f>
        <v>DERRAME</v>
      </c>
      <c r="G74" s="64" t="str">
        <f>IFERROR(__xludf.DUMMYFUNCTION("""COMPUTED_VALUE"""),"CALENTAMIENTO")</f>
        <v>CALENTAMIENTO</v>
      </c>
      <c r="H74" s="64" t="str">
        <f>IFERROR(__xludf.DUMMYFUNCTION("""COMPUTED_VALUE"""),"ESCOLTANDO")</f>
        <v>ESCOLTANDO</v>
      </c>
      <c r="I74" s="64" t="str">
        <f>IFERROR(__xludf.DUMMYFUNCTION("""COMPUTED_VALUE"""),"FALTA DE COMBUSTIBLE")</f>
        <v>FALTA DE COMBUSTIBLE</v>
      </c>
      <c r="J74" s="64" t="str">
        <f>IFERROR(__xludf.DUMMYFUNCTION("""COMPUTED_VALUE"""),"DESPERFECTOS MECÁNICOS")</f>
        <v>DESPERFECTOS MECÁNICOS</v>
      </c>
      <c r="K74" s="64" t="str">
        <f>IFERROR(__xludf.DUMMYFUNCTION("""COMPUTED_VALUE"""),"LLAMADA DE ATENCIÓN")</f>
        <v>LLAMADA DE ATENCIÓN</v>
      </c>
      <c r="L74" s="64" t="str">
        <f>IFERROR(__xludf.DUMMYFUNCTION("""COMPUTED_VALUE"""),"OPERATIVOS")</f>
        <v>OPERATIVOS</v>
      </c>
      <c r="M74" s="64" t="str">
        <f>IFERROR(__xludf.DUMMYFUNCTION("""COMPUTED_VALUE"""),"SANCIÓN")</f>
        <v>SANCIÓN</v>
      </c>
      <c r="N74" s="64" t="str">
        <f>IFERROR(__xludf.DUMMYFUNCTION("""COMPUTED_VALUE"""),"SISTEMA ELECTRICO")</f>
        <v>SISTEMA ELECTRICO</v>
      </c>
      <c r="O74" s="64" t="str">
        <f>IFERROR(__xludf.DUMMYFUNCTION("""COMPUTED_VALUE"""),"ASISTENCIA AL USUARIO")</f>
        <v>ASISTENCIA AL USUARIO</v>
      </c>
      <c r="P74" s="64" t="str">
        <f>IFERROR(__xludf.DUMMYFUNCTION("""COMPUTED_VALUE"""),"DOBLE REMOLQUE")</f>
        <v>DOBLE REMOLQUE</v>
      </c>
      <c r="Q74" s="64" t="str">
        <f>IFERROR(__xludf.DUMMYFUNCTION("""COMPUTED_VALUE"""),"SINAPRESE")</f>
        <v>SINAPRESE</v>
      </c>
      <c r="R74" s="64" t="str">
        <f>IFERROR(__xludf.DUMMYFUNCTION("""COMPUTED_VALUE"""),"APOYO ATLETISMO")</f>
        <v>APOYO ATLETISMO</v>
      </c>
      <c r="S74" s="64" t="str">
        <f>IFERROR(__xludf.DUMMYFUNCTION("""COMPUTED_VALUE"""),"APOYO A CICLISMO")</f>
        <v>APOYO A CICLISMO</v>
      </c>
      <c r="T74" s="64" t="str">
        <f>IFERROR(__xludf.DUMMYFUNCTION("""COMPUTED_VALUE"""),"DESCARGA DE BATERÍA")</f>
        <v>DESCARGA DE BATERÍA</v>
      </c>
      <c r="U74" s="64" t="str">
        <f>IFERROR(__xludf.DUMMYFUNCTION("""COMPUTED_VALUE"""),"PROBLEMAS DE SALUD")</f>
        <v>PROBLEMAS DE SALUD</v>
      </c>
      <c r="V74" s="64" t="str">
        <f>IFERROR(__xludf.DUMMYFUNCTION("""COMPUTED_VALUE"""),"OLVIDO LA LLAVE")</f>
        <v>OLVIDO LA LLAVE</v>
      </c>
      <c r="W74" s="64" t="str">
        <f>IFERROR(__xludf.DUMMYFUNCTION("""COMPUTED_VALUE"""),"CARGA SOBREDIMENSIONADA")</f>
        <v>CARGA SOBREDIMENSIONADA</v>
      </c>
      <c r="X74" s="64" t="str">
        <f>IFERROR(__xludf.DUMMYFUNCTION("""COMPUTED_VALUE"""),"VEHÍCULO ABANDONADO")</f>
        <v>VEHÍCULO ABANDONADO</v>
      </c>
      <c r="Y74" s="64" t="str">
        <f>IFERROR(__xludf.DUMMYFUNCTION("""COMPUTED_VALUE"""),"DESPRENDIMIENTO")</f>
        <v>DESPRENDIMIENTO</v>
      </c>
      <c r="Z74" s="64" t="str">
        <f>IFERROR(__xludf.DUMMYFUNCTION("""COMPUTED_VALUE"""),"CAÍDA DE POSTE")</f>
        <v>CAÍDA DE POSTE</v>
      </c>
      <c r="AA74" s="64" t="str">
        <f>IFERROR(__xludf.DUMMYFUNCTION("""COMPUTED_VALUE"""),"CAÍDA DE RAMA")</f>
        <v>CAÍDA DE RAMA</v>
      </c>
      <c r="AB74" s="64" t="str">
        <f>IFERROR(__xludf.DUMMYFUNCTION("""COMPUTED_VALUE"""),"OPERATIVO DGT")</f>
        <v>OPERATIVO DGT</v>
      </c>
      <c r="AC74" s="64" t="str">
        <f>IFERROR(__xludf.DUMMYFUNCTION("""COMPUTED_VALUE"""),"OPERATIVO PMT")</f>
        <v>OPERATIVO PMT</v>
      </c>
      <c r="AD74" s="64" t="str">
        <f>IFERROR(__xludf.DUMMYFUNCTION("""COMPUTED_VALUE"""),"APOYO A DIGEF")</f>
        <v>APOYO A DIGEF</v>
      </c>
      <c r="AE74" s="64" t="str">
        <f>IFERROR(__xludf.DUMMYFUNCTION("""COMPUTED_VALUE"""),"OPERATIVO PNC TRANSITO")</f>
        <v>OPERATIVO PNC TRANSITO</v>
      </c>
      <c r="AF74" s="64" t="str">
        <f>IFERROR(__xludf.DUMMYFUNCTION("""COMPUTED_VALUE"""),"SOBRECARGA ")</f>
        <v>SOBRECARGA </v>
      </c>
      <c r="AG74" s="64" t="str">
        <f>IFERROR(__xludf.DUMMYFUNCTION("""COMPUTED_VALUE"""),"OPERATIVO EN CONJUNTO")</f>
        <v>OPERATIVO EN CONJUNTO</v>
      </c>
      <c r="AH74" s="64" t="str">
        <f>IFERROR(__xludf.DUMMYFUNCTION("""COMPUTED_VALUE"""),"PUESTO DE ATENCION AL USUARIO")</f>
        <v>PUESTO DE ATENCION AL USUARIO</v>
      </c>
      <c r="AI74" s="64" t="str">
        <f>IFERROR(__xludf.DUMMYFUNCTION("""COMPUTED_VALUE"""),"INCENDIO EN RUTA")</f>
        <v>INCENDIO EN RUTA</v>
      </c>
      <c r="AJ74" s="64" t="str">
        <f>IFERROR(__xludf.DUMMYFUNCTION("""COMPUTED_VALUE"""),"APOYO ANTORCHA ")</f>
        <v>APOYO ANTORCHA </v>
      </c>
    </row>
    <row r="75">
      <c r="B75" s="64" t="s">
        <v>54</v>
      </c>
      <c r="C75" s="64" t="str">
        <f>IFERROR(__xludf.DUMMYFUNCTION(" TRANSPOSE( unique ( QUERY(DATOPRO,""select Col2 where Col1 = '""&amp;B75&amp;""'"")))"),"PINCHAZO")</f>
        <v>PINCHAZO</v>
      </c>
      <c r="D75" s="64" t="str">
        <f>IFERROR(__xludf.DUMMYFUNCTION("""COMPUTED_VALUE"""),"TRABAJOS DE CARRETERA")</f>
        <v>TRABAJOS DE CARRETERA</v>
      </c>
      <c r="E75" s="64" t="str">
        <f>IFERROR(__xludf.DUMMYFUNCTION("""COMPUTED_VALUE"""),"CONSIGNACIÓN")</f>
        <v>CONSIGNACIÓN</v>
      </c>
      <c r="F75" s="64" t="str">
        <f>IFERROR(__xludf.DUMMYFUNCTION("""COMPUTED_VALUE"""),"DERRAME")</f>
        <v>DERRAME</v>
      </c>
      <c r="G75" s="64" t="str">
        <f>IFERROR(__xludf.DUMMYFUNCTION("""COMPUTED_VALUE"""),"CALENTAMIENTO")</f>
        <v>CALENTAMIENTO</v>
      </c>
      <c r="H75" s="64" t="str">
        <f>IFERROR(__xludf.DUMMYFUNCTION("""COMPUTED_VALUE"""),"ESCOLTANDO")</f>
        <v>ESCOLTANDO</v>
      </c>
      <c r="I75" s="64" t="str">
        <f>IFERROR(__xludf.DUMMYFUNCTION("""COMPUTED_VALUE"""),"FALTA DE COMBUSTIBLE")</f>
        <v>FALTA DE COMBUSTIBLE</v>
      </c>
      <c r="J75" s="64" t="str">
        <f>IFERROR(__xludf.DUMMYFUNCTION("""COMPUTED_VALUE"""),"DESPERFECTOS MECÁNICOS")</f>
        <v>DESPERFECTOS MECÁNICOS</v>
      </c>
      <c r="K75" s="64" t="str">
        <f>IFERROR(__xludf.DUMMYFUNCTION("""COMPUTED_VALUE"""),"LLAMADA DE ATENCIÓN")</f>
        <v>LLAMADA DE ATENCIÓN</v>
      </c>
      <c r="L75" s="64" t="str">
        <f>IFERROR(__xludf.DUMMYFUNCTION("""COMPUTED_VALUE"""),"OPERATIVOS")</f>
        <v>OPERATIVOS</v>
      </c>
      <c r="M75" s="64" t="str">
        <f>IFERROR(__xludf.DUMMYFUNCTION("""COMPUTED_VALUE"""),"SANCIÓN")</f>
        <v>SANCIÓN</v>
      </c>
      <c r="N75" s="64" t="str">
        <f>IFERROR(__xludf.DUMMYFUNCTION("""COMPUTED_VALUE"""),"SISTEMA ELECTRICO")</f>
        <v>SISTEMA ELECTRICO</v>
      </c>
      <c r="O75" s="64" t="str">
        <f>IFERROR(__xludf.DUMMYFUNCTION("""COMPUTED_VALUE"""),"ASISTENCIA AL USUARIO")</f>
        <v>ASISTENCIA AL USUARIO</v>
      </c>
      <c r="P75" s="64" t="str">
        <f>IFERROR(__xludf.DUMMYFUNCTION("""COMPUTED_VALUE"""),"DOBLE REMOLQUE")</f>
        <v>DOBLE REMOLQUE</v>
      </c>
      <c r="Q75" s="64" t="str">
        <f>IFERROR(__xludf.DUMMYFUNCTION("""COMPUTED_VALUE"""),"SINAPRESE")</f>
        <v>SINAPRESE</v>
      </c>
      <c r="R75" s="64" t="str">
        <f>IFERROR(__xludf.DUMMYFUNCTION("""COMPUTED_VALUE"""),"APOYO ATLETISMO")</f>
        <v>APOYO ATLETISMO</v>
      </c>
      <c r="S75" s="64" t="str">
        <f>IFERROR(__xludf.DUMMYFUNCTION("""COMPUTED_VALUE"""),"APOYO A CICLISMO")</f>
        <v>APOYO A CICLISMO</v>
      </c>
      <c r="T75" s="64" t="str">
        <f>IFERROR(__xludf.DUMMYFUNCTION("""COMPUTED_VALUE"""),"DESCARGA DE BATERÍA")</f>
        <v>DESCARGA DE BATERÍA</v>
      </c>
      <c r="U75" s="64" t="str">
        <f>IFERROR(__xludf.DUMMYFUNCTION("""COMPUTED_VALUE"""),"PROBLEMAS DE SALUD")</f>
        <v>PROBLEMAS DE SALUD</v>
      </c>
      <c r="V75" s="64" t="str">
        <f>IFERROR(__xludf.DUMMYFUNCTION("""COMPUTED_VALUE"""),"OLVIDO LA LLAVE")</f>
        <v>OLVIDO LA LLAVE</v>
      </c>
      <c r="W75" s="64" t="str">
        <f>IFERROR(__xludf.DUMMYFUNCTION("""COMPUTED_VALUE"""),"CARGA SOBREDIMENSIONADA")</f>
        <v>CARGA SOBREDIMENSIONADA</v>
      </c>
      <c r="X75" s="64" t="str">
        <f>IFERROR(__xludf.DUMMYFUNCTION("""COMPUTED_VALUE"""),"VEHÍCULO ABANDONADO")</f>
        <v>VEHÍCULO ABANDONADO</v>
      </c>
      <c r="Y75" s="64" t="str">
        <f>IFERROR(__xludf.DUMMYFUNCTION("""COMPUTED_VALUE"""),"DESPRENDIMIENTO")</f>
        <v>DESPRENDIMIENTO</v>
      </c>
      <c r="Z75" s="64" t="str">
        <f>IFERROR(__xludf.DUMMYFUNCTION("""COMPUTED_VALUE"""),"CAÍDA DE POSTE")</f>
        <v>CAÍDA DE POSTE</v>
      </c>
      <c r="AA75" s="64" t="str">
        <f>IFERROR(__xludf.DUMMYFUNCTION("""COMPUTED_VALUE"""),"CAÍDA DE RAMA")</f>
        <v>CAÍDA DE RAMA</v>
      </c>
      <c r="AB75" s="64" t="str">
        <f>IFERROR(__xludf.DUMMYFUNCTION("""COMPUTED_VALUE"""),"OPERATIVO DGT")</f>
        <v>OPERATIVO DGT</v>
      </c>
      <c r="AC75" s="64" t="str">
        <f>IFERROR(__xludf.DUMMYFUNCTION("""COMPUTED_VALUE"""),"OPERATIVO PMT")</f>
        <v>OPERATIVO PMT</v>
      </c>
      <c r="AD75" s="64" t="str">
        <f>IFERROR(__xludf.DUMMYFUNCTION("""COMPUTED_VALUE"""),"APOYO A DIGEF")</f>
        <v>APOYO A DIGEF</v>
      </c>
      <c r="AE75" s="64" t="str">
        <f>IFERROR(__xludf.DUMMYFUNCTION("""COMPUTED_VALUE"""),"OPERATIVO PNC TRANSITO")</f>
        <v>OPERATIVO PNC TRANSITO</v>
      </c>
      <c r="AF75" s="64" t="str">
        <f>IFERROR(__xludf.DUMMYFUNCTION("""COMPUTED_VALUE"""),"SOBRECARGA ")</f>
        <v>SOBRECARGA </v>
      </c>
      <c r="AG75" s="64" t="str">
        <f>IFERROR(__xludf.DUMMYFUNCTION("""COMPUTED_VALUE"""),"OPERATIVO EN CONJUNTO")</f>
        <v>OPERATIVO EN CONJUNTO</v>
      </c>
      <c r="AH75" s="64" t="str">
        <f>IFERROR(__xludf.DUMMYFUNCTION("""COMPUTED_VALUE"""),"PUESTO DE ATENCION AL USUARIO")</f>
        <v>PUESTO DE ATENCION AL USUARIO</v>
      </c>
      <c r="AI75" s="64" t="str">
        <f>IFERROR(__xludf.DUMMYFUNCTION("""COMPUTED_VALUE"""),"INCENDIO EN RUTA")</f>
        <v>INCENDIO EN RUTA</v>
      </c>
      <c r="AJ75" s="64" t="str">
        <f>IFERROR(__xludf.DUMMYFUNCTION("""COMPUTED_VALUE"""),"APOYO ANTORCHA ")</f>
        <v>APOYO ANTORCHA </v>
      </c>
    </row>
    <row r="76">
      <c r="B76" s="64" t="s">
        <v>54</v>
      </c>
      <c r="C76" s="64" t="str">
        <f>IFERROR(__xludf.DUMMYFUNCTION(" TRANSPOSE( unique ( QUERY(DATOPRO,""select Col2 where Col1 = '""&amp;B76&amp;""'"")))"),"PINCHAZO")</f>
        <v>PINCHAZO</v>
      </c>
      <c r="D76" s="64" t="str">
        <f>IFERROR(__xludf.DUMMYFUNCTION("""COMPUTED_VALUE"""),"TRABAJOS DE CARRETERA")</f>
        <v>TRABAJOS DE CARRETERA</v>
      </c>
      <c r="E76" s="64" t="str">
        <f>IFERROR(__xludf.DUMMYFUNCTION("""COMPUTED_VALUE"""),"CONSIGNACIÓN")</f>
        <v>CONSIGNACIÓN</v>
      </c>
      <c r="F76" s="64" t="str">
        <f>IFERROR(__xludf.DUMMYFUNCTION("""COMPUTED_VALUE"""),"DERRAME")</f>
        <v>DERRAME</v>
      </c>
      <c r="G76" s="64" t="str">
        <f>IFERROR(__xludf.DUMMYFUNCTION("""COMPUTED_VALUE"""),"CALENTAMIENTO")</f>
        <v>CALENTAMIENTO</v>
      </c>
      <c r="H76" s="64" t="str">
        <f>IFERROR(__xludf.DUMMYFUNCTION("""COMPUTED_VALUE"""),"ESCOLTANDO")</f>
        <v>ESCOLTANDO</v>
      </c>
      <c r="I76" s="64" t="str">
        <f>IFERROR(__xludf.DUMMYFUNCTION("""COMPUTED_VALUE"""),"FALTA DE COMBUSTIBLE")</f>
        <v>FALTA DE COMBUSTIBLE</v>
      </c>
      <c r="J76" s="64" t="str">
        <f>IFERROR(__xludf.DUMMYFUNCTION("""COMPUTED_VALUE"""),"DESPERFECTOS MECÁNICOS")</f>
        <v>DESPERFECTOS MECÁNICOS</v>
      </c>
      <c r="K76" s="64" t="str">
        <f>IFERROR(__xludf.DUMMYFUNCTION("""COMPUTED_VALUE"""),"LLAMADA DE ATENCIÓN")</f>
        <v>LLAMADA DE ATENCIÓN</v>
      </c>
      <c r="L76" s="64" t="str">
        <f>IFERROR(__xludf.DUMMYFUNCTION("""COMPUTED_VALUE"""),"OPERATIVOS")</f>
        <v>OPERATIVOS</v>
      </c>
      <c r="M76" s="64" t="str">
        <f>IFERROR(__xludf.DUMMYFUNCTION("""COMPUTED_VALUE"""),"SANCIÓN")</f>
        <v>SANCIÓN</v>
      </c>
      <c r="N76" s="64" t="str">
        <f>IFERROR(__xludf.DUMMYFUNCTION("""COMPUTED_VALUE"""),"SISTEMA ELECTRICO")</f>
        <v>SISTEMA ELECTRICO</v>
      </c>
      <c r="O76" s="64" t="str">
        <f>IFERROR(__xludf.DUMMYFUNCTION("""COMPUTED_VALUE"""),"ASISTENCIA AL USUARIO")</f>
        <v>ASISTENCIA AL USUARIO</v>
      </c>
      <c r="P76" s="64" t="str">
        <f>IFERROR(__xludf.DUMMYFUNCTION("""COMPUTED_VALUE"""),"DOBLE REMOLQUE")</f>
        <v>DOBLE REMOLQUE</v>
      </c>
      <c r="Q76" s="64" t="str">
        <f>IFERROR(__xludf.DUMMYFUNCTION("""COMPUTED_VALUE"""),"SINAPRESE")</f>
        <v>SINAPRESE</v>
      </c>
      <c r="R76" s="64" t="str">
        <f>IFERROR(__xludf.DUMMYFUNCTION("""COMPUTED_VALUE"""),"APOYO ATLETISMO")</f>
        <v>APOYO ATLETISMO</v>
      </c>
      <c r="S76" s="64" t="str">
        <f>IFERROR(__xludf.DUMMYFUNCTION("""COMPUTED_VALUE"""),"APOYO A CICLISMO")</f>
        <v>APOYO A CICLISMO</v>
      </c>
      <c r="T76" s="64" t="str">
        <f>IFERROR(__xludf.DUMMYFUNCTION("""COMPUTED_VALUE"""),"DESCARGA DE BATERÍA")</f>
        <v>DESCARGA DE BATERÍA</v>
      </c>
      <c r="U76" s="64" t="str">
        <f>IFERROR(__xludf.DUMMYFUNCTION("""COMPUTED_VALUE"""),"PROBLEMAS DE SALUD")</f>
        <v>PROBLEMAS DE SALUD</v>
      </c>
      <c r="V76" s="64" t="str">
        <f>IFERROR(__xludf.DUMMYFUNCTION("""COMPUTED_VALUE"""),"OLVIDO LA LLAVE")</f>
        <v>OLVIDO LA LLAVE</v>
      </c>
      <c r="W76" s="64" t="str">
        <f>IFERROR(__xludf.DUMMYFUNCTION("""COMPUTED_VALUE"""),"CARGA SOBREDIMENSIONADA")</f>
        <v>CARGA SOBREDIMENSIONADA</v>
      </c>
      <c r="X76" s="64" t="str">
        <f>IFERROR(__xludf.DUMMYFUNCTION("""COMPUTED_VALUE"""),"VEHÍCULO ABANDONADO")</f>
        <v>VEHÍCULO ABANDONADO</v>
      </c>
      <c r="Y76" s="64" t="str">
        <f>IFERROR(__xludf.DUMMYFUNCTION("""COMPUTED_VALUE"""),"DESPRENDIMIENTO")</f>
        <v>DESPRENDIMIENTO</v>
      </c>
      <c r="Z76" s="64" t="str">
        <f>IFERROR(__xludf.DUMMYFUNCTION("""COMPUTED_VALUE"""),"CAÍDA DE POSTE")</f>
        <v>CAÍDA DE POSTE</v>
      </c>
      <c r="AA76" s="64" t="str">
        <f>IFERROR(__xludf.DUMMYFUNCTION("""COMPUTED_VALUE"""),"CAÍDA DE RAMA")</f>
        <v>CAÍDA DE RAMA</v>
      </c>
      <c r="AB76" s="64" t="str">
        <f>IFERROR(__xludf.DUMMYFUNCTION("""COMPUTED_VALUE"""),"OPERATIVO DGT")</f>
        <v>OPERATIVO DGT</v>
      </c>
      <c r="AC76" s="64" t="str">
        <f>IFERROR(__xludf.DUMMYFUNCTION("""COMPUTED_VALUE"""),"OPERATIVO PMT")</f>
        <v>OPERATIVO PMT</v>
      </c>
      <c r="AD76" s="64" t="str">
        <f>IFERROR(__xludf.DUMMYFUNCTION("""COMPUTED_VALUE"""),"APOYO A DIGEF")</f>
        <v>APOYO A DIGEF</v>
      </c>
      <c r="AE76" s="64" t="str">
        <f>IFERROR(__xludf.DUMMYFUNCTION("""COMPUTED_VALUE"""),"OPERATIVO PNC TRANSITO")</f>
        <v>OPERATIVO PNC TRANSITO</v>
      </c>
      <c r="AF76" s="64" t="str">
        <f>IFERROR(__xludf.DUMMYFUNCTION("""COMPUTED_VALUE"""),"SOBRECARGA ")</f>
        <v>SOBRECARGA </v>
      </c>
      <c r="AG76" s="64" t="str">
        <f>IFERROR(__xludf.DUMMYFUNCTION("""COMPUTED_VALUE"""),"OPERATIVO EN CONJUNTO")</f>
        <v>OPERATIVO EN CONJUNTO</v>
      </c>
      <c r="AH76" s="64" t="str">
        <f>IFERROR(__xludf.DUMMYFUNCTION("""COMPUTED_VALUE"""),"PUESTO DE ATENCION AL USUARIO")</f>
        <v>PUESTO DE ATENCION AL USUARIO</v>
      </c>
      <c r="AI76" s="64" t="str">
        <f>IFERROR(__xludf.DUMMYFUNCTION("""COMPUTED_VALUE"""),"INCENDIO EN RUTA")</f>
        <v>INCENDIO EN RUTA</v>
      </c>
      <c r="AJ76" s="64" t="str">
        <f>IFERROR(__xludf.DUMMYFUNCTION("""COMPUTED_VALUE"""),"APOYO ANTORCHA ")</f>
        <v>APOYO ANTORCHA </v>
      </c>
    </row>
    <row r="77">
      <c r="B77" s="64" t="s">
        <v>54</v>
      </c>
      <c r="C77" s="64" t="str">
        <f>IFERROR(__xludf.DUMMYFUNCTION(" TRANSPOSE( unique ( QUERY(DATOPRO,""select Col2 where Col1 = '""&amp;B77&amp;""'"")))"),"PINCHAZO")</f>
        <v>PINCHAZO</v>
      </c>
      <c r="D77" s="64" t="str">
        <f>IFERROR(__xludf.DUMMYFUNCTION("""COMPUTED_VALUE"""),"TRABAJOS DE CARRETERA")</f>
        <v>TRABAJOS DE CARRETERA</v>
      </c>
      <c r="E77" s="64" t="str">
        <f>IFERROR(__xludf.DUMMYFUNCTION("""COMPUTED_VALUE"""),"CONSIGNACIÓN")</f>
        <v>CONSIGNACIÓN</v>
      </c>
      <c r="F77" s="64" t="str">
        <f>IFERROR(__xludf.DUMMYFUNCTION("""COMPUTED_VALUE"""),"DERRAME")</f>
        <v>DERRAME</v>
      </c>
      <c r="G77" s="64" t="str">
        <f>IFERROR(__xludf.DUMMYFUNCTION("""COMPUTED_VALUE"""),"CALENTAMIENTO")</f>
        <v>CALENTAMIENTO</v>
      </c>
      <c r="H77" s="64" t="str">
        <f>IFERROR(__xludf.DUMMYFUNCTION("""COMPUTED_VALUE"""),"ESCOLTANDO")</f>
        <v>ESCOLTANDO</v>
      </c>
      <c r="I77" s="64" t="str">
        <f>IFERROR(__xludf.DUMMYFUNCTION("""COMPUTED_VALUE"""),"FALTA DE COMBUSTIBLE")</f>
        <v>FALTA DE COMBUSTIBLE</v>
      </c>
      <c r="J77" s="64" t="str">
        <f>IFERROR(__xludf.DUMMYFUNCTION("""COMPUTED_VALUE"""),"DESPERFECTOS MECÁNICOS")</f>
        <v>DESPERFECTOS MECÁNICOS</v>
      </c>
      <c r="K77" s="64" t="str">
        <f>IFERROR(__xludf.DUMMYFUNCTION("""COMPUTED_VALUE"""),"LLAMADA DE ATENCIÓN")</f>
        <v>LLAMADA DE ATENCIÓN</v>
      </c>
      <c r="L77" s="64" t="str">
        <f>IFERROR(__xludf.DUMMYFUNCTION("""COMPUTED_VALUE"""),"OPERATIVOS")</f>
        <v>OPERATIVOS</v>
      </c>
      <c r="M77" s="64" t="str">
        <f>IFERROR(__xludf.DUMMYFUNCTION("""COMPUTED_VALUE"""),"SANCIÓN")</f>
        <v>SANCIÓN</v>
      </c>
      <c r="N77" s="64" t="str">
        <f>IFERROR(__xludf.DUMMYFUNCTION("""COMPUTED_VALUE"""),"SISTEMA ELECTRICO")</f>
        <v>SISTEMA ELECTRICO</v>
      </c>
      <c r="O77" s="64" t="str">
        <f>IFERROR(__xludf.DUMMYFUNCTION("""COMPUTED_VALUE"""),"ASISTENCIA AL USUARIO")</f>
        <v>ASISTENCIA AL USUARIO</v>
      </c>
      <c r="P77" s="64" t="str">
        <f>IFERROR(__xludf.DUMMYFUNCTION("""COMPUTED_VALUE"""),"DOBLE REMOLQUE")</f>
        <v>DOBLE REMOLQUE</v>
      </c>
      <c r="Q77" s="64" t="str">
        <f>IFERROR(__xludf.DUMMYFUNCTION("""COMPUTED_VALUE"""),"SINAPRESE")</f>
        <v>SINAPRESE</v>
      </c>
      <c r="R77" s="64" t="str">
        <f>IFERROR(__xludf.DUMMYFUNCTION("""COMPUTED_VALUE"""),"APOYO ATLETISMO")</f>
        <v>APOYO ATLETISMO</v>
      </c>
      <c r="S77" s="64" t="str">
        <f>IFERROR(__xludf.DUMMYFUNCTION("""COMPUTED_VALUE"""),"APOYO A CICLISMO")</f>
        <v>APOYO A CICLISMO</v>
      </c>
      <c r="T77" s="64" t="str">
        <f>IFERROR(__xludf.DUMMYFUNCTION("""COMPUTED_VALUE"""),"DESCARGA DE BATERÍA")</f>
        <v>DESCARGA DE BATERÍA</v>
      </c>
      <c r="U77" s="64" t="str">
        <f>IFERROR(__xludf.DUMMYFUNCTION("""COMPUTED_VALUE"""),"PROBLEMAS DE SALUD")</f>
        <v>PROBLEMAS DE SALUD</v>
      </c>
      <c r="V77" s="64" t="str">
        <f>IFERROR(__xludf.DUMMYFUNCTION("""COMPUTED_VALUE"""),"OLVIDO LA LLAVE")</f>
        <v>OLVIDO LA LLAVE</v>
      </c>
      <c r="W77" s="64" t="str">
        <f>IFERROR(__xludf.DUMMYFUNCTION("""COMPUTED_VALUE"""),"CARGA SOBREDIMENSIONADA")</f>
        <v>CARGA SOBREDIMENSIONADA</v>
      </c>
      <c r="X77" s="64" t="str">
        <f>IFERROR(__xludf.DUMMYFUNCTION("""COMPUTED_VALUE"""),"VEHÍCULO ABANDONADO")</f>
        <v>VEHÍCULO ABANDONADO</v>
      </c>
      <c r="Y77" s="64" t="str">
        <f>IFERROR(__xludf.DUMMYFUNCTION("""COMPUTED_VALUE"""),"DESPRENDIMIENTO")</f>
        <v>DESPRENDIMIENTO</v>
      </c>
      <c r="Z77" s="64" t="str">
        <f>IFERROR(__xludf.DUMMYFUNCTION("""COMPUTED_VALUE"""),"CAÍDA DE POSTE")</f>
        <v>CAÍDA DE POSTE</v>
      </c>
      <c r="AA77" s="64" t="str">
        <f>IFERROR(__xludf.DUMMYFUNCTION("""COMPUTED_VALUE"""),"CAÍDA DE RAMA")</f>
        <v>CAÍDA DE RAMA</v>
      </c>
      <c r="AB77" s="64" t="str">
        <f>IFERROR(__xludf.DUMMYFUNCTION("""COMPUTED_VALUE"""),"OPERATIVO DGT")</f>
        <v>OPERATIVO DGT</v>
      </c>
      <c r="AC77" s="64" t="str">
        <f>IFERROR(__xludf.DUMMYFUNCTION("""COMPUTED_VALUE"""),"OPERATIVO PMT")</f>
        <v>OPERATIVO PMT</v>
      </c>
      <c r="AD77" s="64" t="str">
        <f>IFERROR(__xludf.DUMMYFUNCTION("""COMPUTED_VALUE"""),"APOYO A DIGEF")</f>
        <v>APOYO A DIGEF</v>
      </c>
      <c r="AE77" s="64" t="str">
        <f>IFERROR(__xludf.DUMMYFUNCTION("""COMPUTED_VALUE"""),"OPERATIVO PNC TRANSITO")</f>
        <v>OPERATIVO PNC TRANSITO</v>
      </c>
      <c r="AF77" s="64" t="str">
        <f>IFERROR(__xludf.DUMMYFUNCTION("""COMPUTED_VALUE"""),"SOBRECARGA ")</f>
        <v>SOBRECARGA </v>
      </c>
      <c r="AG77" s="64" t="str">
        <f>IFERROR(__xludf.DUMMYFUNCTION("""COMPUTED_VALUE"""),"OPERATIVO EN CONJUNTO")</f>
        <v>OPERATIVO EN CONJUNTO</v>
      </c>
      <c r="AH77" s="64" t="str">
        <f>IFERROR(__xludf.DUMMYFUNCTION("""COMPUTED_VALUE"""),"PUESTO DE ATENCION AL USUARIO")</f>
        <v>PUESTO DE ATENCION AL USUARIO</v>
      </c>
      <c r="AI77" s="64" t="str">
        <f>IFERROR(__xludf.DUMMYFUNCTION("""COMPUTED_VALUE"""),"INCENDIO EN RUTA")</f>
        <v>INCENDIO EN RUTA</v>
      </c>
      <c r="AJ77" s="64" t="str">
        <f>IFERROR(__xludf.DUMMYFUNCTION("""COMPUTED_VALUE"""),"APOYO ANTORCHA ")</f>
        <v>APOYO ANTORCHA </v>
      </c>
    </row>
    <row r="78">
      <c r="B78" s="64" t="s">
        <v>54</v>
      </c>
      <c r="C78" s="64" t="str">
        <f>IFERROR(__xludf.DUMMYFUNCTION(" TRANSPOSE( unique ( QUERY(DATOPRO,""select Col2 where Col1 = '""&amp;B78&amp;""'"")))"),"PINCHAZO")</f>
        <v>PINCHAZO</v>
      </c>
      <c r="D78" s="64" t="str">
        <f>IFERROR(__xludf.DUMMYFUNCTION("""COMPUTED_VALUE"""),"TRABAJOS DE CARRETERA")</f>
        <v>TRABAJOS DE CARRETERA</v>
      </c>
      <c r="E78" s="64" t="str">
        <f>IFERROR(__xludf.DUMMYFUNCTION("""COMPUTED_VALUE"""),"CONSIGNACIÓN")</f>
        <v>CONSIGNACIÓN</v>
      </c>
      <c r="F78" s="64" t="str">
        <f>IFERROR(__xludf.DUMMYFUNCTION("""COMPUTED_VALUE"""),"DERRAME")</f>
        <v>DERRAME</v>
      </c>
      <c r="G78" s="64" t="str">
        <f>IFERROR(__xludf.DUMMYFUNCTION("""COMPUTED_VALUE"""),"CALENTAMIENTO")</f>
        <v>CALENTAMIENTO</v>
      </c>
      <c r="H78" s="64" t="str">
        <f>IFERROR(__xludf.DUMMYFUNCTION("""COMPUTED_VALUE"""),"ESCOLTANDO")</f>
        <v>ESCOLTANDO</v>
      </c>
      <c r="I78" s="64" t="str">
        <f>IFERROR(__xludf.DUMMYFUNCTION("""COMPUTED_VALUE"""),"FALTA DE COMBUSTIBLE")</f>
        <v>FALTA DE COMBUSTIBLE</v>
      </c>
      <c r="J78" s="64" t="str">
        <f>IFERROR(__xludf.DUMMYFUNCTION("""COMPUTED_VALUE"""),"DESPERFECTOS MECÁNICOS")</f>
        <v>DESPERFECTOS MECÁNICOS</v>
      </c>
      <c r="K78" s="64" t="str">
        <f>IFERROR(__xludf.DUMMYFUNCTION("""COMPUTED_VALUE"""),"LLAMADA DE ATENCIÓN")</f>
        <v>LLAMADA DE ATENCIÓN</v>
      </c>
      <c r="L78" s="64" t="str">
        <f>IFERROR(__xludf.DUMMYFUNCTION("""COMPUTED_VALUE"""),"OPERATIVOS")</f>
        <v>OPERATIVOS</v>
      </c>
      <c r="M78" s="64" t="str">
        <f>IFERROR(__xludf.DUMMYFUNCTION("""COMPUTED_VALUE"""),"SANCIÓN")</f>
        <v>SANCIÓN</v>
      </c>
      <c r="N78" s="64" t="str">
        <f>IFERROR(__xludf.DUMMYFUNCTION("""COMPUTED_VALUE"""),"SISTEMA ELECTRICO")</f>
        <v>SISTEMA ELECTRICO</v>
      </c>
      <c r="O78" s="64" t="str">
        <f>IFERROR(__xludf.DUMMYFUNCTION("""COMPUTED_VALUE"""),"ASISTENCIA AL USUARIO")</f>
        <v>ASISTENCIA AL USUARIO</v>
      </c>
      <c r="P78" s="64" t="str">
        <f>IFERROR(__xludf.DUMMYFUNCTION("""COMPUTED_VALUE"""),"DOBLE REMOLQUE")</f>
        <v>DOBLE REMOLQUE</v>
      </c>
      <c r="Q78" s="64" t="str">
        <f>IFERROR(__xludf.DUMMYFUNCTION("""COMPUTED_VALUE"""),"SINAPRESE")</f>
        <v>SINAPRESE</v>
      </c>
      <c r="R78" s="64" t="str">
        <f>IFERROR(__xludf.DUMMYFUNCTION("""COMPUTED_VALUE"""),"APOYO ATLETISMO")</f>
        <v>APOYO ATLETISMO</v>
      </c>
      <c r="S78" s="64" t="str">
        <f>IFERROR(__xludf.DUMMYFUNCTION("""COMPUTED_VALUE"""),"APOYO A CICLISMO")</f>
        <v>APOYO A CICLISMO</v>
      </c>
      <c r="T78" s="64" t="str">
        <f>IFERROR(__xludf.DUMMYFUNCTION("""COMPUTED_VALUE"""),"DESCARGA DE BATERÍA")</f>
        <v>DESCARGA DE BATERÍA</v>
      </c>
      <c r="U78" s="64" t="str">
        <f>IFERROR(__xludf.DUMMYFUNCTION("""COMPUTED_VALUE"""),"PROBLEMAS DE SALUD")</f>
        <v>PROBLEMAS DE SALUD</v>
      </c>
      <c r="V78" s="64" t="str">
        <f>IFERROR(__xludf.DUMMYFUNCTION("""COMPUTED_VALUE"""),"OLVIDO LA LLAVE")</f>
        <v>OLVIDO LA LLAVE</v>
      </c>
      <c r="W78" s="64" t="str">
        <f>IFERROR(__xludf.DUMMYFUNCTION("""COMPUTED_VALUE"""),"CARGA SOBREDIMENSIONADA")</f>
        <v>CARGA SOBREDIMENSIONADA</v>
      </c>
      <c r="X78" s="64" t="str">
        <f>IFERROR(__xludf.DUMMYFUNCTION("""COMPUTED_VALUE"""),"VEHÍCULO ABANDONADO")</f>
        <v>VEHÍCULO ABANDONADO</v>
      </c>
      <c r="Y78" s="64" t="str">
        <f>IFERROR(__xludf.DUMMYFUNCTION("""COMPUTED_VALUE"""),"DESPRENDIMIENTO")</f>
        <v>DESPRENDIMIENTO</v>
      </c>
      <c r="Z78" s="64" t="str">
        <f>IFERROR(__xludf.DUMMYFUNCTION("""COMPUTED_VALUE"""),"CAÍDA DE POSTE")</f>
        <v>CAÍDA DE POSTE</v>
      </c>
      <c r="AA78" s="64" t="str">
        <f>IFERROR(__xludf.DUMMYFUNCTION("""COMPUTED_VALUE"""),"CAÍDA DE RAMA")</f>
        <v>CAÍDA DE RAMA</v>
      </c>
      <c r="AB78" s="64" t="str">
        <f>IFERROR(__xludf.DUMMYFUNCTION("""COMPUTED_VALUE"""),"OPERATIVO DGT")</f>
        <v>OPERATIVO DGT</v>
      </c>
      <c r="AC78" s="64" t="str">
        <f>IFERROR(__xludf.DUMMYFUNCTION("""COMPUTED_VALUE"""),"OPERATIVO PMT")</f>
        <v>OPERATIVO PMT</v>
      </c>
      <c r="AD78" s="64" t="str">
        <f>IFERROR(__xludf.DUMMYFUNCTION("""COMPUTED_VALUE"""),"APOYO A DIGEF")</f>
        <v>APOYO A DIGEF</v>
      </c>
      <c r="AE78" s="64" t="str">
        <f>IFERROR(__xludf.DUMMYFUNCTION("""COMPUTED_VALUE"""),"OPERATIVO PNC TRANSITO")</f>
        <v>OPERATIVO PNC TRANSITO</v>
      </c>
      <c r="AF78" s="64" t="str">
        <f>IFERROR(__xludf.DUMMYFUNCTION("""COMPUTED_VALUE"""),"SOBRECARGA ")</f>
        <v>SOBRECARGA </v>
      </c>
      <c r="AG78" s="64" t="str">
        <f>IFERROR(__xludf.DUMMYFUNCTION("""COMPUTED_VALUE"""),"OPERATIVO EN CONJUNTO")</f>
        <v>OPERATIVO EN CONJUNTO</v>
      </c>
      <c r="AH78" s="64" t="str">
        <f>IFERROR(__xludf.DUMMYFUNCTION("""COMPUTED_VALUE"""),"PUESTO DE ATENCION AL USUARIO")</f>
        <v>PUESTO DE ATENCION AL USUARIO</v>
      </c>
      <c r="AI78" s="64" t="str">
        <f>IFERROR(__xludf.DUMMYFUNCTION("""COMPUTED_VALUE"""),"INCENDIO EN RUTA")</f>
        <v>INCENDIO EN RUTA</v>
      </c>
      <c r="AJ78" s="64" t="str">
        <f>IFERROR(__xludf.DUMMYFUNCTION("""COMPUTED_VALUE"""),"APOYO ANTORCHA ")</f>
        <v>APOYO ANTORCHA </v>
      </c>
    </row>
    <row r="79">
      <c r="B79" s="64" t="s">
        <v>38</v>
      </c>
      <c r="C79" s="64" t="str">
        <f>IFERROR(__xludf.DUMMYFUNCTION(" TRANSPOSE( unique ( QUERY(DATOPRO,""select Col2 where Col1 = '""&amp;B79&amp;""'"")))"),"ATAQUE ARMADO")</f>
        <v>ATAQUE ARMADO</v>
      </c>
      <c r="D79" s="64" t="str">
        <f>IFERROR(__xludf.DUMMYFUNCTION("""COMPUTED_VALUE"""),"DESBALANCE DE CARGA")</f>
        <v>DESBALANCE DE CARGA</v>
      </c>
      <c r="E79" s="64" t="str">
        <f>IFERROR(__xludf.DUMMYFUNCTION("""COMPUTED_VALUE"""),"PERSONA FALLECIDA")</f>
        <v>PERSONA FALLECIDA</v>
      </c>
      <c r="F79" s="64" t="str">
        <f>IFERROR(__xludf.DUMMYFUNCTION("""COMPUTED_VALUE"""),"DESPRENDIMIENTO DE NEUMATICO")</f>
        <v>DESPRENDIMIENTO DE NEUMATICO</v>
      </c>
      <c r="G79" s="64" t="str">
        <f>IFERROR(__xludf.DUMMYFUNCTION("""COMPUTED_VALUE"""),"SALIDA DE PISTA")</f>
        <v>SALIDA DE PISTA</v>
      </c>
      <c r="H79" s="64" t="str">
        <f>IFERROR(__xludf.DUMMYFUNCTION("""COMPUTED_VALUE"""),"DESPRENDIMIENTO DE CONTENEDOR")</f>
        <v>DESPRENDIMIENTO DE CONTENEDOR</v>
      </c>
      <c r="I79" s="64" t="str">
        <f>IFERROR(__xludf.DUMMYFUNCTION("""COMPUTED_VALUE"""),"CAÍDA DE CARGA")</f>
        <v>CAÍDA DE CARGA</v>
      </c>
      <c r="J79" s="64" t="str">
        <f>IFERROR(__xludf.DUMMYFUNCTION("""COMPUTED_VALUE"""),"CHOQUE")</f>
        <v>CHOQUE</v>
      </c>
      <c r="K79" s="64" t="str">
        <f>IFERROR(__xludf.DUMMYFUNCTION("""COMPUTED_VALUE"""),"COLISIÓN")</f>
        <v>COLISIÓN</v>
      </c>
      <c r="L79" s="64" t="str">
        <f>IFERROR(__xludf.DUMMYFUNCTION("""COMPUTED_VALUE"""),"COLISIÓN MÚLTIPLE")</f>
        <v>COLISIÓN MÚLTIPLE</v>
      </c>
      <c r="M79" s="64" t="str">
        <f>IFERROR(__xludf.DUMMYFUNCTION("""COMPUTED_VALUE"""),"DERRAPE")</f>
        <v>DERRAPE</v>
      </c>
      <c r="N79" s="64" t="str">
        <f>IFERROR(__xludf.DUMMYFUNCTION("""COMPUTED_VALUE"""),"VEHÍCULO INCENDIADO")</f>
        <v>VEHÍCULO INCENDIADO</v>
      </c>
      <c r="O79" s="64" t="str">
        <f>IFERROR(__xludf.DUMMYFUNCTION("""COMPUTED_VALUE"""),"VUELCO")</f>
        <v>VUELCO</v>
      </c>
      <c r="P79" s="64" t="str">
        <f>IFERROR(__xludf.DUMMYFUNCTION("""COMPUTED_VALUE"""),"DESPRENDIMIENTO")</f>
        <v>DESPRENDIMIENTO</v>
      </c>
      <c r="Q79" s="64" t="str">
        <f>IFERROR(__xludf.DUMMYFUNCTION("""COMPUTED_VALUE"""),"CAÍDA DE ÁRBOL")</f>
        <v>CAÍDA DE ÁRBOL</v>
      </c>
      <c r="R79" s="64" t="str">
        <f>IFERROR(__xludf.DUMMYFUNCTION("""COMPUTED_VALUE"""),"DESPRENDIMIENTO DE EJE")</f>
        <v>DESPRENDIMIENTO DE EJE</v>
      </c>
      <c r="S79" s="64" t="str">
        <f>IFERROR(__xludf.DUMMYFUNCTION("""COMPUTED_VALUE"""),"PERSONA ATROPELLADA")</f>
        <v>PERSONA ATROPELLADA</v>
      </c>
    </row>
    <row r="80">
      <c r="B80" s="64" t="s">
        <v>54</v>
      </c>
      <c r="C80" s="64" t="str">
        <f>IFERROR(__xludf.DUMMYFUNCTION(" TRANSPOSE( unique ( QUERY(DATOPRO,""select Col2 where Col1 = '""&amp;B80&amp;""'"")))"),"PINCHAZO")</f>
        <v>PINCHAZO</v>
      </c>
      <c r="D80" s="64" t="str">
        <f>IFERROR(__xludf.DUMMYFUNCTION("""COMPUTED_VALUE"""),"TRABAJOS DE CARRETERA")</f>
        <v>TRABAJOS DE CARRETERA</v>
      </c>
      <c r="E80" s="64" t="str">
        <f>IFERROR(__xludf.DUMMYFUNCTION("""COMPUTED_VALUE"""),"CONSIGNACIÓN")</f>
        <v>CONSIGNACIÓN</v>
      </c>
      <c r="F80" s="64" t="str">
        <f>IFERROR(__xludf.DUMMYFUNCTION("""COMPUTED_VALUE"""),"DERRAME")</f>
        <v>DERRAME</v>
      </c>
      <c r="G80" s="64" t="str">
        <f>IFERROR(__xludf.DUMMYFUNCTION("""COMPUTED_VALUE"""),"CALENTAMIENTO")</f>
        <v>CALENTAMIENTO</v>
      </c>
      <c r="H80" s="64" t="str">
        <f>IFERROR(__xludf.DUMMYFUNCTION("""COMPUTED_VALUE"""),"ESCOLTANDO")</f>
        <v>ESCOLTANDO</v>
      </c>
      <c r="I80" s="64" t="str">
        <f>IFERROR(__xludf.DUMMYFUNCTION("""COMPUTED_VALUE"""),"FALTA DE COMBUSTIBLE")</f>
        <v>FALTA DE COMBUSTIBLE</v>
      </c>
      <c r="J80" s="64" t="str">
        <f>IFERROR(__xludf.DUMMYFUNCTION("""COMPUTED_VALUE"""),"DESPERFECTOS MECÁNICOS")</f>
        <v>DESPERFECTOS MECÁNICOS</v>
      </c>
      <c r="K80" s="64" t="str">
        <f>IFERROR(__xludf.DUMMYFUNCTION("""COMPUTED_VALUE"""),"LLAMADA DE ATENCIÓN")</f>
        <v>LLAMADA DE ATENCIÓN</v>
      </c>
      <c r="L80" s="64" t="str">
        <f>IFERROR(__xludf.DUMMYFUNCTION("""COMPUTED_VALUE"""),"OPERATIVOS")</f>
        <v>OPERATIVOS</v>
      </c>
      <c r="M80" s="64" t="str">
        <f>IFERROR(__xludf.DUMMYFUNCTION("""COMPUTED_VALUE"""),"SANCIÓN")</f>
        <v>SANCIÓN</v>
      </c>
      <c r="N80" s="64" t="str">
        <f>IFERROR(__xludf.DUMMYFUNCTION("""COMPUTED_VALUE"""),"SISTEMA ELECTRICO")</f>
        <v>SISTEMA ELECTRICO</v>
      </c>
      <c r="O80" s="64" t="str">
        <f>IFERROR(__xludf.DUMMYFUNCTION("""COMPUTED_VALUE"""),"ASISTENCIA AL USUARIO")</f>
        <v>ASISTENCIA AL USUARIO</v>
      </c>
      <c r="P80" s="64" t="str">
        <f>IFERROR(__xludf.DUMMYFUNCTION("""COMPUTED_VALUE"""),"DOBLE REMOLQUE")</f>
        <v>DOBLE REMOLQUE</v>
      </c>
      <c r="Q80" s="64" t="str">
        <f>IFERROR(__xludf.DUMMYFUNCTION("""COMPUTED_VALUE"""),"SINAPRESE")</f>
        <v>SINAPRESE</v>
      </c>
      <c r="R80" s="64" t="str">
        <f>IFERROR(__xludf.DUMMYFUNCTION("""COMPUTED_VALUE"""),"APOYO ATLETISMO")</f>
        <v>APOYO ATLETISMO</v>
      </c>
      <c r="S80" s="64" t="str">
        <f>IFERROR(__xludf.DUMMYFUNCTION("""COMPUTED_VALUE"""),"APOYO A CICLISMO")</f>
        <v>APOYO A CICLISMO</v>
      </c>
      <c r="T80" s="64" t="str">
        <f>IFERROR(__xludf.DUMMYFUNCTION("""COMPUTED_VALUE"""),"DESCARGA DE BATERÍA")</f>
        <v>DESCARGA DE BATERÍA</v>
      </c>
      <c r="U80" s="64" t="str">
        <f>IFERROR(__xludf.DUMMYFUNCTION("""COMPUTED_VALUE"""),"PROBLEMAS DE SALUD")</f>
        <v>PROBLEMAS DE SALUD</v>
      </c>
      <c r="V80" s="64" t="str">
        <f>IFERROR(__xludf.DUMMYFUNCTION("""COMPUTED_VALUE"""),"OLVIDO LA LLAVE")</f>
        <v>OLVIDO LA LLAVE</v>
      </c>
      <c r="W80" s="64" t="str">
        <f>IFERROR(__xludf.DUMMYFUNCTION("""COMPUTED_VALUE"""),"CARGA SOBREDIMENSIONADA")</f>
        <v>CARGA SOBREDIMENSIONADA</v>
      </c>
      <c r="X80" s="64" t="str">
        <f>IFERROR(__xludf.DUMMYFUNCTION("""COMPUTED_VALUE"""),"VEHÍCULO ABANDONADO")</f>
        <v>VEHÍCULO ABANDONADO</v>
      </c>
      <c r="Y80" s="64" t="str">
        <f>IFERROR(__xludf.DUMMYFUNCTION("""COMPUTED_VALUE"""),"DESPRENDIMIENTO")</f>
        <v>DESPRENDIMIENTO</v>
      </c>
      <c r="Z80" s="64" t="str">
        <f>IFERROR(__xludf.DUMMYFUNCTION("""COMPUTED_VALUE"""),"CAÍDA DE POSTE")</f>
        <v>CAÍDA DE POSTE</v>
      </c>
      <c r="AA80" s="64" t="str">
        <f>IFERROR(__xludf.DUMMYFUNCTION("""COMPUTED_VALUE"""),"CAÍDA DE RAMA")</f>
        <v>CAÍDA DE RAMA</v>
      </c>
      <c r="AB80" s="64" t="str">
        <f>IFERROR(__xludf.DUMMYFUNCTION("""COMPUTED_VALUE"""),"OPERATIVO DGT")</f>
        <v>OPERATIVO DGT</v>
      </c>
      <c r="AC80" s="64" t="str">
        <f>IFERROR(__xludf.DUMMYFUNCTION("""COMPUTED_VALUE"""),"OPERATIVO PMT")</f>
        <v>OPERATIVO PMT</v>
      </c>
      <c r="AD80" s="64" t="str">
        <f>IFERROR(__xludf.DUMMYFUNCTION("""COMPUTED_VALUE"""),"APOYO A DIGEF")</f>
        <v>APOYO A DIGEF</v>
      </c>
      <c r="AE80" s="64" t="str">
        <f>IFERROR(__xludf.DUMMYFUNCTION("""COMPUTED_VALUE"""),"OPERATIVO PNC TRANSITO")</f>
        <v>OPERATIVO PNC TRANSITO</v>
      </c>
      <c r="AF80" s="64" t="str">
        <f>IFERROR(__xludf.DUMMYFUNCTION("""COMPUTED_VALUE"""),"SOBRECARGA ")</f>
        <v>SOBRECARGA </v>
      </c>
      <c r="AG80" s="64" t="str">
        <f>IFERROR(__xludf.DUMMYFUNCTION("""COMPUTED_VALUE"""),"OPERATIVO EN CONJUNTO")</f>
        <v>OPERATIVO EN CONJUNTO</v>
      </c>
      <c r="AH80" s="64" t="str">
        <f>IFERROR(__xludf.DUMMYFUNCTION("""COMPUTED_VALUE"""),"PUESTO DE ATENCION AL USUARIO")</f>
        <v>PUESTO DE ATENCION AL USUARIO</v>
      </c>
      <c r="AI80" s="64" t="str">
        <f>IFERROR(__xludf.DUMMYFUNCTION("""COMPUTED_VALUE"""),"INCENDIO EN RUTA")</f>
        <v>INCENDIO EN RUTA</v>
      </c>
      <c r="AJ80" s="64" t="str">
        <f>IFERROR(__xludf.DUMMYFUNCTION("""COMPUTED_VALUE"""),"APOYO ANTORCHA ")</f>
        <v>APOYO ANTORCHA </v>
      </c>
    </row>
    <row r="81">
      <c r="B81" s="64"/>
      <c r="C81" s="64" t="str">
        <f>IFERROR(__xludf.DUMMYFUNCTION(" TRANSPOSE( unique ( QUERY(DATOPRO,""select Col2 where Col1 = '""&amp;B81&amp;""'"")))"),"")</f>
        <v/>
      </c>
    </row>
    <row r="82">
      <c r="B82" s="64" t="s">
        <v>38</v>
      </c>
      <c r="C82" s="64" t="str">
        <f>IFERROR(__xludf.DUMMYFUNCTION(" TRANSPOSE( unique ( QUERY(DATOPRO,""select Col2 where Col1 = '""&amp;B82&amp;""'"")))"),"ATAQUE ARMADO")</f>
        <v>ATAQUE ARMADO</v>
      </c>
      <c r="D82" s="64" t="str">
        <f>IFERROR(__xludf.DUMMYFUNCTION("""COMPUTED_VALUE"""),"DESBALANCE DE CARGA")</f>
        <v>DESBALANCE DE CARGA</v>
      </c>
      <c r="E82" s="64" t="str">
        <f>IFERROR(__xludf.DUMMYFUNCTION("""COMPUTED_VALUE"""),"PERSONA FALLECIDA")</f>
        <v>PERSONA FALLECIDA</v>
      </c>
      <c r="F82" s="64" t="str">
        <f>IFERROR(__xludf.DUMMYFUNCTION("""COMPUTED_VALUE"""),"DESPRENDIMIENTO DE NEUMATICO")</f>
        <v>DESPRENDIMIENTO DE NEUMATICO</v>
      </c>
      <c r="G82" s="64" t="str">
        <f>IFERROR(__xludf.DUMMYFUNCTION("""COMPUTED_VALUE"""),"SALIDA DE PISTA")</f>
        <v>SALIDA DE PISTA</v>
      </c>
      <c r="H82" s="64" t="str">
        <f>IFERROR(__xludf.DUMMYFUNCTION("""COMPUTED_VALUE"""),"DESPRENDIMIENTO DE CONTENEDOR")</f>
        <v>DESPRENDIMIENTO DE CONTENEDOR</v>
      </c>
      <c r="I82" s="64" t="str">
        <f>IFERROR(__xludf.DUMMYFUNCTION("""COMPUTED_VALUE"""),"CAÍDA DE CARGA")</f>
        <v>CAÍDA DE CARGA</v>
      </c>
      <c r="J82" s="64" t="str">
        <f>IFERROR(__xludf.DUMMYFUNCTION("""COMPUTED_VALUE"""),"CHOQUE")</f>
        <v>CHOQUE</v>
      </c>
      <c r="K82" s="64" t="str">
        <f>IFERROR(__xludf.DUMMYFUNCTION("""COMPUTED_VALUE"""),"COLISIÓN")</f>
        <v>COLISIÓN</v>
      </c>
      <c r="L82" s="64" t="str">
        <f>IFERROR(__xludf.DUMMYFUNCTION("""COMPUTED_VALUE"""),"COLISIÓN MÚLTIPLE")</f>
        <v>COLISIÓN MÚLTIPLE</v>
      </c>
      <c r="M82" s="64" t="str">
        <f>IFERROR(__xludf.DUMMYFUNCTION("""COMPUTED_VALUE"""),"DERRAPE")</f>
        <v>DERRAPE</v>
      </c>
      <c r="N82" s="64" t="str">
        <f>IFERROR(__xludf.DUMMYFUNCTION("""COMPUTED_VALUE"""),"VEHÍCULO INCENDIADO")</f>
        <v>VEHÍCULO INCENDIADO</v>
      </c>
      <c r="O82" s="64" t="str">
        <f>IFERROR(__xludf.DUMMYFUNCTION("""COMPUTED_VALUE"""),"VUELCO")</f>
        <v>VUELCO</v>
      </c>
      <c r="P82" s="64" t="str">
        <f>IFERROR(__xludf.DUMMYFUNCTION("""COMPUTED_VALUE"""),"DESPRENDIMIENTO")</f>
        <v>DESPRENDIMIENTO</v>
      </c>
      <c r="Q82" s="64" t="str">
        <f>IFERROR(__xludf.DUMMYFUNCTION("""COMPUTED_VALUE"""),"CAÍDA DE ÁRBOL")</f>
        <v>CAÍDA DE ÁRBOL</v>
      </c>
      <c r="R82" s="64" t="str">
        <f>IFERROR(__xludf.DUMMYFUNCTION("""COMPUTED_VALUE"""),"DESPRENDIMIENTO DE EJE")</f>
        <v>DESPRENDIMIENTO DE EJE</v>
      </c>
      <c r="S82" s="64" t="str">
        <f>IFERROR(__xludf.DUMMYFUNCTION("""COMPUTED_VALUE"""),"PERSONA ATROPELLADA")</f>
        <v>PERSONA ATROPELLADA</v>
      </c>
    </row>
    <row r="83">
      <c r="B83" s="64" t="s">
        <v>38</v>
      </c>
      <c r="C83" s="64" t="str">
        <f>IFERROR(__xludf.DUMMYFUNCTION(" TRANSPOSE( unique ( QUERY(DATOPRO,""select Col2 where Col1 = '""&amp;B83&amp;""'"")))"),"ATAQUE ARMADO")</f>
        <v>ATAQUE ARMADO</v>
      </c>
      <c r="D83" s="64" t="str">
        <f>IFERROR(__xludf.DUMMYFUNCTION("""COMPUTED_VALUE"""),"DESBALANCE DE CARGA")</f>
        <v>DESBALANCE DE CARGA</v>
      </c>
      <c r="E83" s="64" t="str">
        <f>IFERROR(__xludf.DUMMYFUNCTION("""COMPUTED_VALUE"""),"PERSONA FALLECIDA")</f>
        <v>PERSONA FALLECIDA</v>
      </c>
      <c r="F83" s="64" t="str">
        <f>IFERROR(__xludf.DUMMYFUNCTION("""COMPUTED_VALUE"""),"DESPRENDIMIENTO DE NEUMATICO")</f>
        <v>DESPRENDIMIENTO DE NEUMATICO</v>
      </c>
      <c r="G83" s="64" t="str">
        <f>IFERROR(__xludf.DUMMYFUNCTION("""COMPUTED_VALUE"""),"SALIDA DE PISTA")</f>
        <v>SALIDA DE PISTA</v>
      </c>
      <c r="H83" s="64" t="str">
        <f>IFERROR(__xludf.DUMMYFUNCTION("""COMPUTED_VALUE"""),"DESPRENDIMIENTO DE CONTENEDOR")</f>
        <v>DESPRENDIMIENTO DE CONTENEDOR</v>
      </c>
      <c r="I83" s="64" t="str">
        <f>IFERROR(__xludf.DUMMYFUNCTION("""COMPUTED_VALUE"""),"CAÍDA DE CARGA")</f>
        <v>CAÍDA DE CARGA</v>
      </c>
      <c r="J83" s="64" t="str">
        <f>IFERROR(__xludf.DUMMYFUNCTION("""COMPUTED_VALUE"""),"CHOQUE")</f>
        <v>CHOQUE</v>
      </c>
      <c r="K83" s="64" t="str">
        <f>IFERROR(__xludf.DUMMYFUNCTION("""COMPUTED_VALUE"""),"COLISIÓN")</f>
        <v>COLISIÓN</v>
      </c>
      <c r="L83" s="64" t="str">
        <f>IFERROR(__xludf.DUMMYFUNCTION("""COMPUTED_VALUE"""),"COLISIÓN MÚLTIPLE")</f>
        <v>COLISIÓN MÚLTIPLE</v>
      </c>
      <c r="M83" s="64" t="str">
        <f>IFERROR(__xludf.DUMMYFUNCTION("""COMPUTED_VALUE"""),"DERRAPE")</f>
        <v>DERRAPE</v>
      </c>
      <c r="N83" s="64" t="str">
        <f>IFERROR(__xludf.DUMMYFUNCTION("""COMPUTED_VALUE"""),"VEHÍCULO INCENDIADO")</f>
        <v>VEHÍCULO INCENDIADO</v>
      </c>
      <c r="O83" s="64" t="str">
        <f>IFERROR(__xludf.DUMMYFUNCTION("""COMPUTED_VALUE"""),"VUELCO")</f>
        <v>VUELCO</v>
      </c>
      <c r="P83" s="64" t="str">
        <f>IFERROR(__xludf.DUMMYFUNCTION("""COMPUTED_VALUE"""),"DESPRENDIMIENTO")</f>
        <v>DESPRENDIMIENTO</v>
      </c>
      <c r="Q83" s="64" t="str">
        <f>IFERROR(__xludf.DUMMYFUNCTION("""COMPUTED_VALUE"""),"CAÍDA DE ÁRBOL")</f>
        <v>CAÍDA DE ÁRBOL</v>
      </c>
      <c r="R83" s="64" t="str">
        <f>IFERROR(__xludf.DUMMYFUNCTION("""COMPUTED_VALUE"""),"DESPRENDIMIENTO DE EJE")</f>
        <v>DESPRENDIMIENTO DE EJE</v>
      </c>
      <c r="S83" s="64" t="str">
        <f>IFERROR(__xludf.DUMMYFUNCTION("""COMPUTED_VALUE"""),"PERSONA ATROPELLADA")</f>
        <v>PERSONA ATROPELLADA</v>
      </c>
    </row>
    <row r="84">
      <c r="B84" s="64" t="s">
        <v>38</v>
      </c>
      <c r="C84" s="64" t="str">
        <f>IFERROR(__xludf.DUMMYFUNCTION(" TRANSPOSE( unique ( QUERY(DATOPRO,""select Col2 where Col1 = '""&amp;B84&amp;""'"")))"),"ATAQUE ARMADO")</f>
        <v>ATAQUE ARMADO</v>
      </c>
      <c r="D84" s="64" t="str">
        <f>IFERROR(__xludf.DUMMYFUNCTION("""COMPUTED_VALUE"""),"DESBALANCE DE CARGA")</f>
        <v>DESBALANCE DE CARGA</v>
      </c>
      <c r="E84" s="64" t="str">
        <f>IFERROR(__xludf.DUMMYFUNCTION("""COMPUTED_VALUE"""),"PERSONA FALLECIDA")</f>
        <v>PERSONA FALLECIDA</v>
      </c>
      <c r="F84" s="64" t="str">
        <f>IFERROR(__xludf.DUMMYFUNCTION("""COMPUTED_VALUE"""),"DESPRENDIMIENTO DE NEUMATICO")</f>
        <v>DESPRENDIMIENTO DE NEUMATICO</v>
      </c>
      <c r="G84" s="64" t="str">
        <f>IFERROR(__xludf.DUMMYFUNCTION("""COMPUTED_VALUE"""),"SALIDA DE PISTA")</f>
        <v>SALIDA DE PISTA</v>
      </c>
      <c r="H84" s="64" t="str">
        <f>IFERROR(__xludf.DUMMYFUNCTION("""COMPUTED_VALUE"""),"DESPRENDIMIENTO DE CONTENEDOR")</f>
        <v>DESPRENDIMIENTO DE CONTENEDOR</v>
      </c>
      <c r="I84" s="64" t="str">
        <f>IFERROR(__xludf.DUMMYFUNCTION("""COMPUTED_VALUE"""),"CAÍDA DE CARGA")</f>
        <v>CAÍDA DE CARGA</v>
      </c>
      <c r="J84" s="64" t="str">
        <f>IFERROR(__xludf.DUMMYFUNCTION("""COMPUTED_VALUE"""),"CHOQUE")</f>
        <v>CHOQUE</v>
      </c>
      <c r="K84" s="64" t="str">
        <f>IFERROR(__xludf.DUMMYFUNCTION("""COMPUTED_VALUE"""),"COLISIÓN")</f>
        <v>COLISIÓN</v>
      </c>
      <c r="L84" s="64" t="str">
        <f>IFERROR(__xludf.DUMMYFUNCTION("""COMPUTED_VALUE"""),"COLISIÓN MÚLTIPLE")</f>
        <v>COLISIÓN MÚLTIPLE</v>
      </c>
      <c r="M84" s="64" t="str">
        <f>IFERROR(__xludf.DUMMYFUNCTION("""COMPUTED_VALUE"""),"DERRAPE")</f>
        <v>DERRAPE</v>
      </c>
      <c r="N84" s="64" t="str">
        <f>IFERROR(__xludf.DUMMYFUNCTION("""COMPUTED_VALUE"""),"VEHÍCULO INCENDIADO")</f>
        <v>VEHÍCULO INCENDIADO</v>
      </c>
      <c r="O84" s="64" t="str">
        <f>IFERROR(__xludf.DUMMYFUNCTION("""COMPUTED_VALUE"""),"VUELCO")</f>
        <v>VUELCO</v>
      </c>
      <c r="P84" s="64" t="str">
        <f>IFERROR(__xludf.DUMMYFUNCTION("""COMPUTED_VALUE"""),"DESPRENDIMIENTO")</f>
        <v>DESPRENDIMIENTO</v>
      </c>
      <c r="Q84" s="64" t="str">
        <f>IFERROR(__xludf.DUMMYFUNCTION("""COMPUTED_VALUE"""),"CAÍDA DE ÁRBOL")</f>
        <v>CAÍDA DE ÁRBOL</v>
      </c>
      <c r="R84" s="64" t="str">
        <f>IFERROR(__xludf.DUMMYFUNCTION("""COMPUTED_VALUE"""),"DESPRENDIMIENTO DE EJE")</f>
        <v>DESPRENDIMIENTO DE EJE</v>
      </c>
      <c r="S84" s="64" t="str">
        <f>IFERROR(__xludf.DUMMYFUNCTION("""COMPUTED_VALUE"""),"PERSONA ATROPELLADA")</f>
        <v>PERSONA ATROPELLADA</v>
      </c>
    </row>
    <row r="85">
      <c r="B85" s="64"/>
      <c r="C85" s="64" t="str">
        <f>IFERROR(__xludf.DUMMYFUNCTION(" TRANSPOSE( unique ( QUERY(DATOPRO,""select Col2 where Col1 = '""&amp;B85&amp;""'"")))"),"")</f>
        <v/>
      </c>
    </row>
    <row r="86">
      <c r="B86" s="64" t="s">
        <v>38</v>
      </c>
      <c r="C86" s="64" t="str">
        <f>IFERROR(__xludf.DUMMYFUNCTION(" TRANSPOSE( unique ( QUERY(DATOPRO,""select Col2 where Col1 = '""&amp;B86&amp;""'"")))"),"ATAQUE ARMADO")</f>
        <v>ATAQUE ARMADO</v>
      </c>
      <c r="D86" s="64" t="str">
        <f>IFERROR(__xludf.DUMMYFUNCTION("""COMPUTED_VALUE"""),"DESBALANCE DE CARGA")</f>
        <v>DESBALANCE DE CARGA</v>
      </c>
      <c r="E86" s="64" t="str">
        <f>IFERROR(__xludf.DUMMYFUNCTION("""COMPUTED_VALUE"""),"PERSONA FALLECIDA")</f>
        <v>PERSONA FALLECIDA</v>
      </c>
      <c r="F86" s="64" t="str">
        <f>IFERROR(__xludf.DUMMYFUNCTION("""COMPUTED_VALUE"""),"DESPRENDIMIENTO DE NEUMATICO")</f>
        <v>DESPRENDIMIENTO DE NEUMATICO</v>
      </c>
      <c r="G86" s="64" t="str">
        <f>IFERROR(__xludf.DUMMYFUNCTION("""COMPUTED_VALUE"""),"SALIDA DE PISTA")</f>
        <v>SALIDA DE PISTA</v>
      </c>
      <c r="H86" s="64" t="str">
        <f>IFERROR(__xludf.DUMMYFUNCTION("""COMPUTED_VALUE"""),"DESPRENDIMIENTO DE CONTENEDOR")</f>
        <v>DESPRENDIMIENTO DE CONTENEDOR</v>
      </c>
      <c r="I86" s="64" t="str">
        <f>IFERROR(__xludf.DUMMYFUNCTION("""COMPUTED_VALUE"""),"CAÍDA DE CARGA")</f>
        <v>CAÍDA DE CARGA</v>
      </c>
      <c r="J86" s="64" t="str">
        <f>IFERROR(__xludf.DUMMYFUNCTION("""COMPUTED_VALUE"""),"CHOQUE")</f>
        <v>CHOQUE</v>
      </c>
      <c r="K86" s="64" t="str">
        <f>IFERROR(__xludf.DUMMYFUNCTION("""COMPUTED_VALUE"""),"COLISIÓN")</f>
        <v>COLISIÓN</v>
      </c>
      <c r="L86" s="64" t="str">
        <f>IFERROR(__xludf.DUMMYFUNCTION("""COMPUTED_VALUE"""),"COLISIÓN MÚLTIPLE")</f>
        <v>COLISIÓN MÚLTIPLE</v>
      </c>
      <c r="M86" s="64" t="str">
        <f>IFERROR(__xludf.DUMMYFUNCTION("""COMPUTED_VALUE"""),"DERRAPE")</f>
        <v>DERRAPE</v>
      </c>
      <c r="N86" s="64" t="str">
        <f>IFERROR(__xludf.DUMMYFUNCTION("""COMPUTED_VALUE"""),"VEHÍCULO INCENDIADO")</f>
        <v>VEHÍCULO INCENDIADO</v>
      </c>
      <c r="O86" s="64" t="str">
        <f>IFERROR(__xludf.DUMMYFUNCTION("""COMPUTED_VALUE"""),"VUELCO")</f>
        <v>VUELCO</v>
      </c>
      <c r="P86" s="64" t="str">
        <f>IFERROR(__xludf.DUMMYFUNCTION("""COMPUTED_VALUE"""),"DESPRENDIMIENTO")</f>
        <v>DESPRENDIMIENTO</v>
      </c>
      <c r="Q86" s="64" t="str">
        <f>IFERROR(__xludf.DUMMYFUNCTION("""COMPUTED_VALUE"""),"CAÍDA DE ÁRBOL")</f>
        <v>CAÍDA DE ÁRBOL</v>
      </c>
      <c r="R86" s="64" t="str">
        <f>IFERROR(__xludf.DUMMYFUNCTION("""COMPUTED_VALUE"""),"DESPRENDIMIENTO DE EJE")</f>
        <v>DESPRENDIMIENTO DE EJE</v>
      </c>
      <c r="S86" s="64" t="str">
        <f>IFERROR(__xludf.DUMMYFUNCTION("""COMPUTED_VALUE"""),"PERSONA ATROPELLADA")</f>
        <v>PERSONA ATROPELLADA</v>
      </c>
    </row>
    <row r="87">
      <c r="B87" s="64" t="s">
        <v>54</v>
      </c>
      <c r="C87" s="64" t="str">
        <f>IFERROR(__xludf.DUMMYFUNCTION(" TRANSPOSE( unique ( QUERY(DATOPRO,""select Col2 where Col1 = '""&amp;B87&amp;""'"")))"),"PINCHAZO")</f>
        <v>PINCHAZO</v>
      </c>
      <c r="D87" s="64" t="str">
        <f>IFERROR(__xludf.DUMMYFUNCTION("""COMPUTED_VALUE"""),"TRABAJOS DE CARRETERA")</f>
        <v>TRABAJOS DE CARRETERA</v>
      </c>
      <c r="E87" s="64" t="str">
        <f>IFERROR(__xludf.DUMMYFUNCTION("""COMPUTED_VALUE"""),"CONSIGNACIÓN")</f>
        <v>CONSIGNACIÓN</v>
      </c>
      <c r="F87" s="64" t="str">
        <f>IFERROR(__xludf.DUMMYFUNCTION("""COMPUTED_VALUE"""),"DERRAME")</f>
        <v>DERRAME</v>
      </c>
      <c r="G87" s="64" t="str">
        <f>IFERROR(__xludf.DUMMYFUNCTION("""COMPUTED_VALUE"""),"CALENTAMIENTO")</f>
        <v>CALENTAMIENTO</v>
      </c>
      <c r="H87" s="64" t="str">
        <f>IFERROR(__xludf.DUMMYFUNCTION("""COMPUTED_VALUE"""),"ESCOLTANDO")</f>
        <v>ESCOLTANDO</v>
      </c>
      <c r="I87" s="64" t="str">
        <f>IFERROR(__xludf.DUMMYFUNCTION("""COMPUTED_VALUE"""),"FALTA DE COMBUSTIBLE")</f>
        <v>FALTA DE COMBUSTIBLE</v>
      </c>
      <c r="J87" s="64" t="str">
        <f>IFERROR(__xludf.DUMMYFUNCTION("""COMPUTED_VALUE"""),"DESPERFECTOS MECÁNICOS")</f>
        <v>DESPERFECTOS MECÁNICOS</v>
      </c>
      <c r="K87" s="64" t="str">
        <f>IFERROR(__xludf.DUMMYFUNCTION("""COMPUTED_VALUE"""),"LLAMADA DE ATENCIÓN")</f>
        <v>LLAMADA DE ATENCIÓN</v>
      </c>
      <c r="L87" s="64" t="str">
        <f>IFERROR(__xludf.DUMMYFUNCTION("""COMPUTED_VALUE"""),"OPERATIVOS")</f>
        <v>OPERATIVOS</v>
      </c>
      <c r="M87" s="64" t="str">
        <f>IFERROR(__xludf.DUMMYFUNCTION("""COMPUTED_VALUE"""),"SANCIÓN")</f>
        <v>SANCIÓN</v>
      </c>
      <c r="N87" s="64" t="str">
        <f>IFERROR(__xludf.DUMMYFUNCTION("""COMPUTED_VALUE"""),"SISTEMA ELECTRICO")</f>
        <v>SISTEMA ELECTRICO</v>
      </c>
      <c r="O87" s="64" t="str">
        <f>IFERROR(__xludf.DUMMYFUNCTION("""COMPUTED_VALUE"""),"ASISTENCIA AL USUARIO")</f>
        <v>ASISTENCIA AL USUARIO</v>
      </c>
      <c r="P87" s="64" t="str">
        <f>IFERROR(__xludf.DUMMYFUNCTION("""COMPUTED_VALUE"""),"DOBLE REMOLQUE")</f>
        <v>DOBLE REMOLQUE</v>
      </c>
      <c r="Q87" s="64" t="str">
        <f>IFERROR(__xludf.DUMMYFUNCTION("""COMPUTED_VALUE"""),"SINAPRESE")</f>
        <v>SINAPRESE</v>
      </c>
      <c r="R87" s="64" t="str">
        <f>IFERROR(__xludf.DUMMYFUNCTION("""COMPUTED_VALUE"""),"APOYO ATLETISMO")</f>
        <v>APOYO ATLETISMO</v>
      </c>
      <c r="S87" s="64" t="str">
        <f>IFERROR(__xludf.DUMMYFUNCTION("""COMPUTED_VALUE"""),"APOYO A CICLISMO")</f>
        <v>APOYO A CICLISMO</v>
      </c>
      <c r="T87" s="64" t="str">
        <f>IFERROR(__xludf.DUMMYFUNCTION("""COMPUTED_VALUE"""),"DESCARGA DE BATERÍA")</f>
        <v>DESCARGA DE BATERÍA</v>
      </c>
      <c r="U87" s="64" t="str">
        <f>IFERROR(__xludf.DUMMYFUNCTION("""COMPUTED_VALUE"""),"PROBLEMAS DE SALUD")</f>
        <v>PROBLEMAS DE SALUD</v>
      </c>
      <c r="V87" s="64" t="str">
        <f>IFERROR(__xludf.DUMMYFUNCTION("""COMPUTED_VALUE"""),"OLVIDO LA LLAVE")</f>
        <v>OLVIDO LA LLAVE</v>
      </c>
      <c r="W87" s="64" t="str">
        <f>IFERROR(__xludf.DUMMYFUNCTION("""COMPUTED_VALUE"""),"CARGA SOBREDIMENSIONADA")</f>
        <v>CARGA SOBREDIMENSIONADA</v>
      </c>
      <c r="X87" s="64" t="str">
        <f>IFERROR(__xludf.DUMMYFUNCTION("""COMPUTED_VALUE"""),"VEHÍCULO ABANDONADO")</f>
        <v>VEHÍCULO ABANDONADO</v>
      </c>
      <c r="Y87" s="64" t="str">
        <f>IFERROR(__xludf.DUMMYFUNCTION("""COMPUTED_VALUE"""),"DESPRENDIMIENTO")</f>
        <v>DESPRENDIMIENTO</v>
      </c>
      <c r="Z87" s="64" t="str">
        <f>IFERROR(__xludf.DUMMYFUNCTION("""COMPUTED_VALUE"""),"CAÍDA DE POSTE")</f>
        <v>CAÍDA DE POSTE</v>
      </c>
      <c r="AA87" s="64" t="str">
        <f>IFERROR(__xludf.DUMMYFUNCTION("""COMPUTED_VALUE"""),"CAÍDA DE RAMA")</f>
        <v>CAÍDA DE RAMA</v>
      </c>
      <c r="AB87" s="64" t="str">
        <f>IFERROR(__xludf.DUMMYFUNCTION("""COMPUTED_VALUE"""),"OPERATIVO DGT")</f>
        <v>OPERATIVO DGT</v>
      </c>
      <c r="AC87" s="64" t="str">
        <f>IFERROR(__xludf.DUMMYFUNCTION("""COMPUTED_VALUE"""),"OPERATIVO PMT")</f>
        <v>OPERATIVO PMT</v>
      </c>
      <c r="AD87" s="64" t="str">
        <f>IFERROR(__xludf.DUMMYFUNCTION("""COMPUTED_VALUE"""),"APOYO A DIGEF")</f>
        <v>APOYO A DIGEF</v>
      </c>
      <c r="AE87" s="64" t="str">
        <f>IFERROR(__xludf.DUMMYFUNCTION("""COMPUTED_VALUE"""),"OPERATIVO PNC TRANSITO")</f>
        <v>OPERATIVO PNC TRANSITO</v>
      </c>
      <c r="AF87" s="64" t="str">
        <f>IFERROR(__xludf.DUMMYFUNCTION("""COMPUTED_VALUE"""),"SOBRECARGA ")</f>
        <v>SOBRECARGA </v>
      </c>
      <c r="AG87" s="64" t="str">
        <f>IFERROR(__xludf.DUMMYFUNCTION("""COMPUTED_VALUE"""),"OPERATIVO EN CONJUNTO")</f>
        <v>OPERATIVO EN CONJUNTO</v>
      </c>
      <c r="AH87" s="64" t="str">
        <f>IFERROR(__xludf.DUMMYFUNCTION("""COMPUTED_VALUE"""),"PUESTO DE ATENCION AL USUARIO")</f>
        <v>PUESTO DE ATENCION AL USUARIO</v>
      </c>
      <c r="AI87" s="64" t="str">
        <f>IFERROR(__xludf.DUMMYFUNCTION("""COMPUTED_VALUE"""),"INCENDIO EN RUTA")</f>
        <v>INCENDIO EN RUTA</v>
      </c>
      <c r="AJ87" s="64" t="str">
        <f>IFERROR(__xludf.DUMMYFUNCTION("""COMPUTED_VALUE"""),"APOYO ANTORCHA ")</f>
        <v>APOYO ANTORCHA </v>
      </c>
    </row>
    <row r="88">
      <c r="B88" s="64" t="s">
        <v>54</v>
      </c>
      <c r="C88" s="64" t="str">
        <f>IFERROR(__xludf.DUMMYFUNCTION(" TRANSPOSE( unique ( QUERY(DATOPRO,""select Col2 where Col1 = '""&amp;B88&amp;""'"")))"),"PINCHAZO")</f>
        <v>PINCHAZO</v>
      </c>
      <c r="D88" s="64" t="str">
        <f>IFERROR(__xludf.DUMMYFUNCTION("""COMPUTED_VALUE"""),"TRABAJOS DE CARRETERA")</f>
        <v>TRABAJOS DE CARRETERA</v>
      </c>
      <c r="E88" s="64" t="str">
        <f>IFERROR(__xludf.DUMMYFUNCTION("""COMPUTED_VALUE"""),"CONSIGNACIÓN")</f>
        <v>CONSIGNACIÓN</v>
      </c>
      <c r="F88" s="64" t="str">
        <f>IFERROR(__xludf.DUMMYFUNCTION("""COMPUTED_VALUE"""),"DERRAME")</f>
        <v>DERRAME</v>
      </c>
      <c r="G88" s="64" t="str">
        <f>IFERROR(__xludf.DUMMYFUNCTION("""COMPUTED_VALUE"""),"CALENTAMIENTO")</f>
        <v>CALENTAMIENTO</v>
      </c>
      <c r="H88" s="64" t="str">
        <f>IFERROR(__xludf.DUMMYFUNCTION("""COMPUTED_VALUE"""),"ESCOLTANDO")</f>
        <v>ESCOLTANDO</v>
      </c>
      <c r="I88" s="64" t="str">
        <f>IFERROR(__xludf.DUMMYFUNCTION("""COMPUTED_VALUE"""),"FALTA DE COMBUSTIBLE")</f>
        <v>FALTA DE COMBUSTIBLE</v>
      </c>
      <c r="J88" s="64" t="str">
        <f>IFERROR(__xludf.DUMMYFUNCTION("""COMPUTED_VALUE"""),"DESPERFECTOS MECÁNICOS")</f>
        <v>DESPERFECTOS MECÁNICOS</v>
      </c>
      <c r="K88" s="64" t="str">
        <f>IFERROR(__xludf.DUMMYFUNCTION("""COMPUTED_VALUE"""),"LLAMADA DE ATENCIÓN")</f>
        <v>LLAMADA DE ATENCIÓN</v>
      </c>
      <c r="L88" s="64" t="str">
        <f>IFERROR(__xludf.DUMMYFUNCTION("""COMPUTED_VALUE"""),"OPERATIVOS")</f>
        <v>OPERATIVOS</v>
      </c>
      <c r="M88" s="64" t="str">
        <f>IFERROR(__xludf.DUMMYFUNCTION("""COMPUTED_VALUE"""),"SANCIÓN")</f>
        <v>SANCIÓN</v>
      </c>
      <c r="N88" s="64" t="str">
        <f>IFERROR(__xludf.DUMMYFUNCTION("""COMPUTED_VALUE"""),"SISTEMA ELECTRICO")</f>
        <v>SISTEMA ELECTRICO</v>
      </c>
      <c r="O88" s="64" t="str">
        <f>IFERROR(__xludf.DUMMYFUNCTION("""COMPUTED_VALUE"""),"ASISTENCIA AL USUARIO")</f>
        <v>ASISTENCIA AL USUARIO</v>
      </c>
      <c r="P88" s="64" t="str">
        <f>IFERROR(__xludf.DUMMYFUNCTION("""COMPUTED_VALUE"""),"DOBLE REMOLQUE")</f>
        <v>DOBLE REMOLQUE</v>
      </c>
      <c r="Q88" s="64" t="str">
        <f>IFERROR(__xludf.DUMMYFUNCTION("""COMPUTED_VALUE"""),"SINAPRESE")</f>
        <v>SINAPRESE</v>
      </c>
      <c r="R88" s="64" t="str">
        <f>IFERROR(__xludf.DUMMYFUNCTION("""COMPUTED_VALUE"""),"APOYO ATLETISMO")</f>
        <v>APOYO ATLETISMO</v>
      </c>
      <c r="S88" s="64" t="str">
        <f>IFERROR(__xludf.DUMMYFUNCTION("""COMPUTED_VALUE"""),"APOYO A CICLISMO")</f>
        <v>APOYO A CICLISMO</v>
      </c>
      <c r="T88" s="64" t="str">
        <f>IFERROR(__xludf.DUMMYFUNCTION("""COMPUTED_VALUE"""),"DESCARGA DE BATERÍA")</f>
        <v>DESCARGA DE BATERÍA</v>
      </c>
      <c r="U88" s="64" t="str">
        <f>IFERROR(__xludf.DUMMYFUNCTION("""COMPUTED_VALUE"""),"PROBLEMAS DE SALUD")</f>
        <v>PROBLEMAS DE SALUD</v>
      </c>
      <c r="V88" s="64" t="str">
        <f>IFERROR(__xludf.DUMMYFUNCTION("""COMPUTED_VALUE"""),"OLVIDO LA LLAVE")</f>
        <v>OLVIDO LA LLAVE</v>
      </c>
      <c r="W88" s="64" t="str">
        <f>IFERROR(__xludf.DUMMYFUNCTION("""COMPUTED_VALUE"""),"CARGA SOBREDIMENSIONADA")</f>
        <v>CARGA SOBREDIMENSIONADA</v>
      </c>
      <c r="X88" s="64" t="str">
        <f>IFERROR(__xludf.DUMMYFUNCTION("""COMPUTED_VALUE"""),"VEHÍCULO ABANDONADO")</f>
        <v>VEHÍCULO ABANDONADO</v>
      </c>
      <c r="Y88" s="64" t="str">
        <f>IFERROR(__xludf.DUMMYFUNCTION("""COMPUTED_VALUE"""),"DESPRENDIMIENTO")</f>
        <v>DESPRENDIMIENTO</v>
      </c>
      <c r="Z88" s="64" t="str">
        <f>IFERROR(__xludf.DUMMYFUNCTION("""COMPUTED_VALUE"""),"CAÍDA DE POSTE")</f>
        <v>CAÍDA DE POSTE</v>
      </c>
      <c r="AA88" s="64" t="str">
        <f>IFERROR(__xludf.DUMMYFUNCTION("""COMPUTED_VALUE"""),"CAÍDA DE RAMA")</f>
        <v>CAÍDA DE RAMA</v>
      </c>
      <c r="AB88" s="64" t="str">
        <f>IFERROR(__xludf.DUMMYFUNCTION("""COMPUTED_VALUE"""),"OPERATIVO DGT")</f>
        <v>OPERATIVO DGT</v>
      </c>
      <c r="AC88" s="64" t="str">
        <f>IFERROR(__xludf.DUMMYFUNCTION("""COMPUTED_VALUE"""),"OPERATIVO PMT")</f>
        <v>OPERATIVO PMT</v>
      </c>
      <c r="AD88" s="64" t="str">
        <f>IFERROR(__xludf.DUMMYFUNCTION("""COMPUTED_VALUE"""),"APOYO A DIGEF")</f>
        <v>APOYO A DIGEF</v>
      </c>
      <c r="AE88" s="64" t="str">
        <f>IFERROR(__xludf.DUMMYFUNCTION("""COMPUTED_VALUE"""),"OPERATIVO PNC TRANSITO")</f>
        <v>OPERATIVO PNC TRANSITO</v>
      </c>
      <c r="AF88" s="64" t="str">
        <f>IFERROR(__xludf.DUMMYFUNCTION("""COMPUTED_VALUE"""),"SOBRECARGA ")</f>
        <v>SOBRECARGA </v>
      </c>
      <c r="AG88" s="64" t="str">
        <f>IFERROR(__xludf.DUMMYFUNCTION("""COMPUTED_VALUE"""),"OPERATIVO EN CONJUNTO")</f>
        <v>OPERATIVO EN CONJUNTO</v>
      </c>
      <c r="AH88" s="64" t="str">
        <f>IFERROR(__xludf.DUMMYFUNCTION("""COMPUTED_VALUE"""),"PUESTO DE ATENCION AL USUARIO")</f>
        <v>PUESTO DE ATENCION AL USUARIO</v>
      </c>
      <c r="AI88" s="64" t="str">
        <f>IFERROR(__xludf.DUMMYFUNCTION("""COMPUTED_VALUE"""),"INCENDIO EN RUTA")</f>
        <v>INCENDIO EN RUTA</v>
      </c>
      <c r="AJ88" s="64" t="str">
        <f>IFERROR(__xludf.DUMMYFUNCTION("""COMPUTED_VALUE"""),"APOYO ANTORCHA ")</f>
        <v>APOYO ANTORCHA </v>
      </c>
    </row>
    <row r="89">
      <c r="B89" s="64" t="s">
        <v>38</v>
      </c>
      <c r="C89" s="64" t="str">
        <f>IFERROR(__xludf.DUMMYFUNCTION(" TRANSPOSE( unique ( QUERY(DATOPRO,""select Col2 where Col1 = '""&amp;B89&amp;""'"")))"),"ATAQUE ARMADO")</f>
        <v>ATAQUE ARMADO</v>
      </c>
      <c r="D89" s="64" t="str">
        <f>IFERROR(__xludf.DUMMYFUNCTION("""COMPUTED_VALUE"""),"DESBALANCE DE CARGA")</f>
        <v>DESBALANCE DE CARGA</v>
      </c>
      <c r="E89" s="64" t="str">
        <f>IFERROR(__xludf.DUMMYFUNCTION("""COMPUTED_VALUE"""),"PERSONA FALLECIDA")</f>
        <v>PERSONA FALLECIDA</v>
      </c>
      <c r="F89" s="64" t="str">
        <f>IFERROR(__xludf.DUMMYFUNCTION("""COMPUTED_VALUE"""),"DESPRENDIMIENTO DE NEUMATICO")</f>
        <v>DESPRENDIMIENTO DE NEUMATICO</v>
      </c>
      <c r="G89" s="64" t="str">
        <f>IFERROR(__xludf.DUMMYFUNCTION("""COMPUTED_VALUE"""),"SALIDA DE PISTA")</f>
        <v>SALIDA DE PISTA</v>
      </c>
      <c r="H89" s="64" t="str">
        <f>IFERROR(__xludf.DUMMYFUNCTION("""COMPUTED_VALUE"""),"DESPRENDIMIENTO DE CONTENEDOR")</f>
        <v>DESPRENDIMIENTO DE CONTENEDOR</v>
      </c>
      <c r="I89" s="64" t="str">
        <f>IFERROR(__xludf.DUMMYFUNCTION("""COMPUTED_VALUE"""),"CAÍDA DE CARGA")</f>
        <v>CAÍDA DE CARGA</v>
      </c>
      <c r="J89" s="64" t="str">
        <f>IFERROR(__xludf.DUMMYFUNCTION("""COMPUTED_VALUE"""),"CHOQUE")</f>
        <v>CHOQUE</v>
      </c>
      <c r="K89" s="64" t="str">
        <f>IFERROR(__xludf.DUMMYFUNCTION("""COMPUTED_VALUE"""),"COLISIÓN")</f>
        <v>COLISIÓN</v>
      </c>
      <c r="L89" s="64" t="str">
        <f>IFERROR(__xludf.DUMMYFUNCTION("""COMPUTED_VALUE"""),"COLISIÓN MÚLTIPLE")</f>
        <v>COLISIÓN MÚLTIPLE</v>
      </c>
      <c r="M89" s="64" t="str">
        <f>IFERROR(__xludf.DUMMYFUNCTION("""COMPUTED_VALUE"""),"DERRAPE")</f>
        <v>DERRAPE</v>
      </c>
      <c r="N89" s="64" t="str">
        <f>IFERROR(__xludf.DUMMYFUNCTION("""COMPUTED_VALUE"""),"VEHÍCULO INCENDIADO")</f>
        <v>VEHÍCULO INCENDIADO</v>
      </c>
      <c r="O89" s="64" t="str">
        <f>IFERROR(__xludf.DUMMYFUNCTION("""COMPUTED_VALUE"""),"VUELCO")</f>
        <v>VUELCO</v>
      </c>
      <c r="P89" s="64" t="str">
        <f>IFERROR(__xludf.DUMMYFUNCTION("""COMPUTED_VALUE"""),"DESPRENDIMIENTO")</f>
        <v>DESPRENDIMIENTO</v>
      </c>
      <c r="Q89" s="64" t="str">
        <f>IFERROR(__xludf.DUMMYFUNCTION("""COMPUTED_VALUE"""),"CAÍDA DE ÁRBOL")</f>
        <v>CAÍDA DE ÁRBOL</v>
      </c>
      <c r="R89" s="64" t="str">
        <f>IFERROR(__xludf.DUMMYFUNCTION("""COMPUTED_VALUE"""),"DESPRENDIMIENTO DE EJE")</f>
        <v>DESPRENDIMIENTO DE EJE</v>
      </c>
      <c r="S89" s="64" t="str">
        <f>IFERROR(__xludf.DUMMYFUNCTION("""COMPUTED_VALUE"""),"PERSONA ATROPELLADA")</f>
        <v>PERSONA ATROPELLADA</v>
      </c>
    </row>
    <row r="90">
      <c r="B90" s="64" t="s">
        <v>38</v>
      </c>
      <c r="C90" s="64" t="str">
        <f>IFERROR(__xludf.DUMMYFUNCTION(" TRANSPOSE( unique ( QUERY(DATOPRO,""select Col2 where Col1 = '""&amp;B90&amp;""'"")))"),"ATAQUE ARMADO")</f>
        <v>ATAQUE ARMADO</v>
      </c>
      <c r="D90" s="64" t="str">
        <f>IFERROR(__xludf.DUMMYFUNCTION("""COMPUTED_VALUE"""),"DESBALANCE DE CARGA")</f>
        <v>DESBALANCE DE CARGA</v>
      </c>
      <c r="E90" s="64" t="str">
        <f>IFERROR(__xludf.DUMMYFUNCTION("""COMPUTED_VALUE"""),"PERSONA FALLECIDA")</f>
        <v>PERSONA FALLECIDA</v>
      </c>
      <c r="F90" s="64" t="str">
        <f>IFERROR(__xludf.DUMMYFUNCTION("""COMPUTED_VALUE"""),"DESPRENDIMIENTO DE NEUMATICO")</f>
        <v>DESPRENDIMIENTO DE NEUMATICO</v>
      </c>
      <c r="G90" s="64" t="str">
        <f>IFERROR(__xludf.DUMMYFUNCTION("""COMPUTED_VALUE"""),"SALIDA DE PISTA")</f>
        <v>SALIDA DE PISTA</v>
      </c>
      <c r="H90" s="64" t="str">
        <f>IFERROR(__xludf.DUMMYFUNCTION("""COMPUTED_VALUE"""),"DESPRENDIMIENTO DE CONTENEDOR")</f>
        <v>DESPRENDIMIENTO DE CONTENEDOR</v>
      </c>
      <c r="I90" s="64" t="str">
        <f>IFERROR(__xludf.DUMMYFUNCTION("""COMPUTED_VALUE"""),"CAÍDA DE CARGA")</f>
        <v>CAÍDA DE CARGA</v>
      </c>
      <c r="J90" s="64" t="str">
        <f>IFERROR(__xludf.DUMMYFUNCTION("""COMPUTED_VALUE"""),"CHOQUE")</f>
        <v>CHOQUE</v>
      </c>
      <c r="K90" s="64" t="str">
        <f>IFERROR(__xludf.DUMMYFUNCTION("""COMPUTED_VALUE"""),"COLISIÓN")</f>
        <v>COLISIÓN</v>
      </c>
      <c r="L90" s="64" t="str">
        <f>IFERROR(__xludf.DUMMYFUNCTION("""COMPUTED_VALUE"""),"COLISIÓN MÚLTIPLE")</f>
        <v>COLISIÓN MÚLTIPLE</v>
      </c>
      <c r="M90" s="64" t="str">
        <f>IFERROR(__xludf.DUMMYFUNCTION("""COMPUTED_VALUE"""),"DERRAPE")</f>
        <v>DERRAPE</v>
      </c>
      <c r="N90" s="64" t="str">
        <f>IFERROR(__xludf.DUMMYFUNCTION("""COMPUTED_VALUE"""),"VEHÍCULO INCENDIADO")</f>
        <v>VEHÍCULO INCENDIADO</v>
      </c>
      <c r="O90" s="64" t="str">
        <f>IFERROR(__xludf.DUMMYFUNCTION("""COMPUTED_VALUE"""),"VUELCO")</f>
        <v>VUELCO</v>
      </c>
      <c r="P90" s="64" t="str">
        <f>IFERROR(__xludf.DUMMYFUNCTION("""COMPUTED_VALUE"""),"DESPRENDIMIENTO")</f>
        <v>DESPRENDIMIENTO</v>
      </c>
      <c r="Q90" s="64" t="str">
        <f>IFERROR(__xludf.DUMMYFUNCTION("""COMPUTED_VALUE"""),"CAÍDA DE ÁRBOL")</f>
        <v>CAÍDA DE ÁRBOL</v>
      </c>
      <c r="R90" s="64" t="str">
        <f>IFERROR(__xludf.DUMMYFUNCTION("""COMPUTED_VALUE"""),"DESPRENDIMIENTO DE EJE")</f>
        <v>DESPRENDIMIENTO DE EJE</v>
      </c>
      <c r="S90" s="64" t="str">
        <f>IFERROR(__xludf.DUMMYFUNCTION("""COMPUTED_VALUE"""),"PERSONA ATROPELLADA")</f>
        <v>PERSONA ATROPELLADA</v>
      </c>
    </row>
    <row r="91">
      <c r="B91" s="64" t="s">
        <v>54</v>
      </c>
      <c r="C91" s="64" t="str">
        <f>IFERROR(__xludf.DUMMYFUNCTION(" TRANSPOSE( unique ( QUERY(DATOPRO,""select Col2 where Col1 = '""&amp;B91&amp;""'"")))"),"PINCHAZO")</f>
        <v>PINCHAZO</v>
      </c>
      <c r="D91" s="64" t="str">
        <f>IFERROR(__xludf.DUMMYFUNCTION("""COMPUTED_VALUE"""),"TRABAJOS DE CARRETERA")</f>
        <v>TRABAJOS DE CARRETERA</v>
      </c>
      <c r="E91" s="64" t="str">
        <f>IFERROR(__xludf.DUMMYFUNCTION("""COMPUTED_VALUE"""),"CONSIGNACIÓN")</f>
        <v>CONSIGNACIÓN</v>
      </c>
      <c r="F91" s="64" t="str">
        <f>IFERROR(__xludf.DUMMYFUNCTION("""COMPUTED_VALUE"""),"DERRAME")</f>
        <v>DERRAME</v>
      </c>
      <c r="G91" s="64" t="str">
        <f>IFERROR(__xludf.DUMMYFUNCTION("""COMPUTED_VALUE"""),"CALENTAMIENTO")</f>
        <v>CALENTAMIENTO</v>
      </c>
      <c r="H91" s="64" t="str">
        <f>IFERROR(__xludf.DUMMYFUNCTION("""COMPUTED_VALUE"""),"ESCOLTANDO")</f>
        <v>ESCOLTANDO</v>
      </c>
      <c r="I91" s="64" t="str">
        <f>IFERROR(__xludf.DUMMYFUNCTION("""COMPUTED_VALUE"""),"FALTA DE COMBUSTIBLE")</f>
        <v>FALTA DE COMBUSTIBLE</v>
      </c>
      <c r="J91" s="64" t="str">
        <f>IFERROR(__xludf.DUMMYFUNCTION("""COMPUTED_VALUE"""),"DESPERFECTOS MECÁNICOS")</f>
        <v>DESPERFECTOS MECÁNICOS</v>
      </c>
      <c r="K91" s="64" t="str">
        <f>IFERROR(__xludf.DUMMYFUNCTION("""COMPUTED_VALUE"""),"LLAMADA DE ATENCIÓN")</f>
        <v>LLAMADA DE ATENCIÓN</v>
      </c>
      <c r="L91" s="64" t="str">
        <f>IFERROR(__xludf.DUMMYFUNCTION("""COMPUTED_VALUE"""),"OPERATIVOS")</f>
        <v>OPERATIVOS</v>
      </c>
      <c r="M91" s="64" t="str">
        <f>IFERROR(__xludf.DUMMYFUNCTION("""COMPUTED_VALUE"""),"SANCIÓN")</f>
        <v>SANCIÓN</v>
      </c>
      <c r="N91" s="64" t="str">
        <f>IFERROR(__xludf.DUMMYFUNCTION("""COMPUTED_VALUE"""),"SISTEMA ELECTRICO")</f>
        <v>SISTEMA ELECTRICO</v>
      </c>
      <c r="O91" s="64" t="str">
        <f>IFERROR(__xludf.DUMMYFUNCTION("""COMPUTED_VALUE"""),"ASISTENCIA AL USUARIO")</f>
        <v>ASISTENCIA AL USUARIO</v>
      </c>
      <c r="P91" s="64" t="str">
        <f>IFERROR(__xludf.DUMMYFUNCTION("""COMPUTED_VALUE"""),"DOBLE REMOLQUE")</f>
        <v>DOBLE REMOLQUE</v>
      </c>
      <c r="Q91" s="64" t="str">
        <f>IFERROR(__xludf.DUMMYFUNCTION("""COMPUTED_VALUE"""),"SINAPRESE")</f>
        <v>SINAPRESE</v>
      </c>
      <c r="R91" s="64" t="str">
        <f>IFERROR(__xludf.DUMMYFUNCTION("""COMPUTED_VALUE"""),"APOYO ATLETISMO")</f>
        <v>APOYO ATLETISMO</v>
      </c>
      <c r="S91" s="64" t="str">
        <f>IFERROR(__xludf.DUMMYFUNCTION("""COMPUTED_VALUE"""),"APOYO A CICLISMO")</f>
        <v>APOYO A CICLISMO</v>
      </c>
      <c r="T91" s="64" t="str">
        <f>IFERROR(__xludf.DUMMYFUNCTION("""COMPUTED_VALUE"""),"DESCARGA DE BATERÍA")</f>
        <v>DESCARGA DE BATERÍA</v>
      </c>
      <c r="U91" s="64" t="str">
        <f>IFERROR(__xludf.DUMMYFUNCTION("""COMPUTED_VALUE"""),"PROBLEMAS DE SALUD")</f>
        <v>PROBLEMAS DE SALUD</v>
      </c>
      <c r="V91" s="64" t="str">
        <f>IFERROR(__xludf.DUMMYFUNCTION("""COMPUTED_VALUE"""),"OLVIDO LA LLAVE")</f>
        <v>OLVIDO LA LLAVE</v>
      </c>
      <c r="W91" s="64" t="str">
        <f>IFERROR(__xludf.DUMMYFUNCTION("""COMPUTED_VALUE"""),"CARGA SOBREDIMENSIONADA")</f>
        <v>CARGA SOBREDIMENSIONADA</v>
      </c>
      <c r="X91" s="64" t="str">
        <f>IFERROR(__xludf.DUMMYFUNCTION("""COMPUTED_VALUE"""),"VEHÍCULO ABANDONADO")</f>
        <v>VEHÍCULO ABANDONADO</v>
      </c>
      <c r="Y91" s="64" t="str">
        <f>IFERROR(__xludf.DUMMYFUNCTION("""COMPUTED_VALUE"""),"DESPRENDIMIENTO")</f>
        <v>DESPRENDIMIENTO</v>
      </c>
      <c r="Z91" s="64" t="str">
        <f>IFERROR(__xludf.DUMMYFUNCTION("""COMPUTED_VALUE"""),"CAÍDA DE POSTE")</f>
        <v>CAÍDA DE POSTE</v>
      </c>
      <c r="AA91" s="64" t="str">
        <f>IFERROR(__xludf.DUMMYFUNCTION("""COMPUTED_VALUE"""),"CAÍDA DE RAMA")</f>
        <v>CAÍDA DE RAMA</v>
      </c>
      <c r="AB91" s="64" t="str">
        <f>IFERROR(__xludf.DUMMYFUNCTION("""COMPUTED_VALUE"""),"OPERATIVO DGT")</f>
        <v>OPERATIVO DGT</v>
      </c>
      <c r="AC91" s="64" t="str">
        <f>IFERROR(__xludf.DUMMYFUNCTION("""COMPUTED_VALUE"""),"OPERATIVO PMT")</f>
        <v>OPERATIVO PMT</v>
      </c>
      <c r="AD91" s="64" t="str">
        <f>IFERROR(__xludf.DUMMYFUNCTION("""COMPUTED_VALUE"""),"APOYO A DIGEF")</f>
        <v>APOYO A DIGEF</v>
      </c>
      <c r="AE91" s="64" t="str">
        <f>IFERROR(__xludf.DUMMYFUNCTION("""COMPUTED_VALUE"""),"OPERATIVO PNC TRANSITO")</f>
        <v>OPERATIVO PNC TRANSITO</v>
      </c>
      <c r="AF91" s="64" t="str">
        <f>IFERROR(__xludf.DUMMYFUNCTION("""COMPUTED_VALUE"""),"SOBRECARGA ")</f>
        <v>SOBRECARGA </v>
      </c>
      <c r="AG91" s="64" t="str">
        <f>IFERROR(__xludf.DUMMYFUNCTION("""COMPUTED_VALUE"""),"OPERATIVO EN CONJUNTO")</f>
        <v>OPERATIVO EN CONJUNTO</v>
      </c>
      <c r="AH91" s="64" t="str">
        <f>IFERROR(__xludf.DUMMYFUNCTION("""COMPUTED_VALUE"""),"PUESTO DE ATENCION AL USUARIO")</f>
        <v>PUESTO DE ATENCION AL USUARIO</v>
      </c>
      <c r="AI91" s="64" t="str">
        <f>IFERROR(__xludf.DUMMYFUNCTION("""COMPUTED_VALUE"""),"INCENDIO EN RUTA")</f>
        <v>INCENDIO EN RUTA</v>
      </c>
      <c r="AJ91" s="64" t="str">
        <f>IFERROR(__xludf.DUMMYFUNCTION("""COMPUTED_VALUE"""),"APOYO ANTORCHA ")</f>
        <v>APOYO ANTORCHA </v>
      </c>
    </row>
    <row r="92">
      <c r="B92" s="64" t="s">
        <v>54</v>
      </c>
      <c r="C92" s="64" t="str">
        <f>IFERROR(__xludf.DUMMYFUNCTION(" TRANSPOSE( unique ( QUERY(DATOPRO,""select Col2 where Col1 = '""&amp;B92&amp;""'"")))"),"PINCHAZO")</f>
        <v>PINCHAZO</v>
      </c>
      <c r="D92" s="64" t="str">
        <f>IFERROR(__xludf.DUMMYFUNCTION("""COMPUTED_VALUE"""),"TRABAJOS DE CARRETERA")</f>
        <v>TRABAJOS DE CARRETERA</v>
      </c>
      <c r="E92" s="64" t="str">
        <f>IFERROR(__xludf.DUMMYFUNCTION("""COMPUTED_VALUE"""),"CONSIGNACIÓN")</f>
        <v>CONSIGNACIÓN</v>
      </c>
      <c r="F92" s="64" t="str">
        <f>IFERROR(__xludf.DUMMYFUNCTION("""COMPUTED_VALUE"""),"DERRAME")</f>
        <v>DERRAME</v>
      </c>
      <c r="G92" s="64" t="str">
        <f>IFERROR(__xludf.DUMMYFUNCTION("""COMPUTED_VALUE"""),"CALENTAMIENTO")</f>
        <v>CALENTAMIENTO</v>
      </c>
      <c r="H92" s="64" t="str">
        <f>IFERROR(__xludf.DUMMYFUNCTION("""COMPUTED_VALUE"""),"ESCOLTANDO")</f>
        <v>ESCOLTANDO</v>
      </c>
      <c r="I92" s="64" t="str">
        <f>IFERROR(__xludf.DUMMYFUNCTION("""COMPUTED_VALUE"""),"FALTA DE COMBUSTIBLE")</f>
        <v>FALTA DE COMBUSTIBLE</v>
      </c>
      <c r="J92" s="64" t="str">
        <f>IFERROR(__xludf.DUMMYFUNCTION("""COMPUTED_VALUE"""),"DESPERFECTOS MECÁNICOS")</f>
        <v>DESPERFECTOS MECÁNICOS</v>
      </c>
      <c r="K92" s="64" t="str">
        <f>IFERROR(__xludf.DUMMYFUNCTION("""COMPUTED_VALUE"""),"LLAMADA DE ATENCIÓN")</f>
        <v>LLAMADA DE ATENCIÓN</v>
      </c>
      <c r="L92" s="64" t="str">
        <f>IFERROR(__xludf.DUMMYFUNCTION("""COMPUTED_VALUE"""),"OPERATIVOS")</f>
        <v>OPERATIVOS</v>
      </c>
      <c r="M92" s="64" t="str">
        <f>IFERROR(__xludf.DUMMYFUNCTION("""COMPUTED_VALUE"""),"SANCIÓN")</f>
        <v>SANCIÓN</v>
      </c>
      <c r="N92" s="64" t="str">
        <f>IFERROR(__xludf.DUMMYFUNCTION("""COMPUTED_VALUE"""),"SISTEMA ELECTRICO")</f>
        <v>SISTEMA ELECTRICO</v>
      </c>
      <c r="O92" s="64" t="str">
        <f>IFERROR(__xludf.DUMMYFUNCTION("""COMPUTED_VALUE"""),"ASISTENCIA AL USUARIO")</f>
        <v>ASISTENCIA AL USUARIO</v>
      </c>
      <c r="P92" s="64" t="str">
        <f>IFERROR(__xludf.DUMMYFUNCTION("""COMPUTED_VALUE"""),"DOBLE REMOLQUE")</f>
        <v>DOBLE REMOLQUE</v>
      </c>
      <c r="Q92" s="64" t="str">
        <f>IFERROR(__xludf.DUMMYFUNCTION("""COMPUTED_VALUE"""),"SINAPRESE")</f>
        <v>SINAPRESE</v>
      </c>
      <c r="R92" s="64" t="str">
        <f>IFERROR(__xludf.DUMMYFUNCTION("""COMPUTED_VALUE"""),"APOYO ATLETISMO")</f>
        <v>APOYO ATLETISMO</v>
      </c>
      <c r="S92" s="64" t="str">
        <f>IFERROR(__xludf.DUMMYFUNCTION("""COMPUTED_VALUE"""),"APOYO A CICLISMO")</f>
        <v>APOYO A CICLISMO</v>
      </c>
      <c r="T92" s="64" t="str">
        <f>IFERROR(__xludf.DUMMYFUNCTION("""COMPUTED_VALUE"""),"DESCARGA DE BATERÍA")</f>
        <v>DESCARGA DE BATERÍA</v>
      </c>
      <c r="U92" s="64" t="str">
        <f>IFERROR(__xludf.DUMMYFUNCTION("""COMPUTED_VALUE"""),"PROBLEMAS DE SALUD")</f>
        <v>PROBLEMAS DE SALUD</v>
      </c>
      <c r="V92" s="64" t="str">
        <f>IFERROR(__xludf.DUMMYFUNCTION("""COMPUTED_VALUE"""),"OLVIDO LA LLAVE")</f>
        <v>OLVIDO LA LLAVE</v>
      </c>
      <c r="W92" s="64" t="str">
        <f>IFERROR(__xludf.DUMMYFUNCTION("""COMPUTED_VALUE"""),"CARGA SOBREDIMENSIONADA")</f>
        <v>CARGA SOBREDIMENSIONADA</v>
      </c>
      <c r="X92" s="64" t="str">
        <f>IFERROR(__xludf.DUMMYFUNCTION("""COMPUTED_VALUE"""),"VEHÍCULO ABANDONADO")</f>
        <v>VEHÍCULO ABANDONADO</v>
      </c>
      <c r="Y92" s="64" t="str">
        <f>IFERROR(__xludf.DUMMYFUNCTION("""COMPUTED_VALUE"""),"DESPRENDIMIENTO")</f>
        <v>DESPRENDIMIENTO</v>
      </c>
      <c r="Z92" s="64" t="str">
        <f>IFERROR(__xludf.DUMMYFUNCTION("""COMPUTED_VALUE"""),"CAÍDA DE POSTE")</f>
        <v>CAÍDA DE POSTE</v>
      </c>
      <c r="AA92" s="64" t="str">
        <f>IFERROR(__xludf.DUMMYFUNCTION("""COMPUTED_VALUE"""),"CAÍDA DE RAMA")</f>
        <v>CAÍDA DE RAMA</v>
      </c>
      <c r="AB92" s="64" t="str">
        <f>IFERROR(__xludf.DUMMYFUNCTION("""COMPUTED_VALUE"""),"OPERATIVO DGT")</f>
        <v>OPERATIVO DGT</v>
      </c>
      <c r="AC92" s="64" t="str">
        <f>IFERROR(__xludf.DUMMYFUNCTION("""COMPUTED_VALUE"""),"OPERATIVO PMT")</f>
        <v>OPERATIVO PMT</v>
      </c>
      <c r="AD92" s="64" t="str">
        <f>IFERROR(__xludf.DUMMYFUNCTION("""COMPUTED_VALUE"""),"APOYO A DIGEF")</f>
        <v>APOYO A DIGEF</v>
      </c>
      <c r="AE92" s="64" t="str">
        <f>IFERROR(__xludf.DUMMYFUNCTION("""COMPUTED_VALUE"""),"OPERATIVO PNC TRANSITO")</f>
        <v>OPERATIVO PNC TRANSITO</v>
      </c>
      <c r="AF92" s="64" t="str">
        <f>IFERROR(__xludf.DUMMYFUNCTION("""COMPUTED_VALUE"""),"SOBRECARGA ")</f>
        <v>SOBRECARGA </v>
      </c>
      <c r="AG92" s="64" t="str">
        <f>IFERROR(__xludf.DUMMYFUNCTION("""COMPUTED_VALUE"""),"OPERATIVO EN CONJUNTO")</f>
        <v>OPERATIVO EN CONJUNTO</v>
      </c>
      <c r="AH92" s="64" t="str">
        <f>IFERROR(__xludf.DUMMYFUNCTION("""COMPUTED_VALUE"""),"PUESTO DE ATENCION AL USUARIO")</f>
        <v>PUESTO DE ATENCION AL USUARIO</v>
      </c>
      <c r="AI92" s="64" t="str">
        <f>IFERROR(__xludf.DUMMYFUNCTION("""COMPUTED_VALUE"""),"INCENDIO EN RUTA")</f>
        <v>INCENDIO EN RUTA</v>
      </c>
      <c r="AJ92" s="64" t="str">
        <f>IFERROR(__xludf.DUMMYFUNCTION("""COMPUTED_VALUE"""),"APOYO ANTORCHA ")</f>
        <v>APOYO ANTORCHA </v>
      </c>
    </row>
    <row r="93">
      <c r="B93" s="64" t="s">
        <v>38</v>
      </c>
      <c r="C93" s="64" t="str">
        <f>IFERROR(__xludf.DUMMYFUNCTION(" TRANSPOSE( unique ( QUERY(DATOPRO,""select Col2 where Col1 = '""&amp;B93&amp;""'"")))"),"ATAQUE ARMADO")</f>
        <v>ATAQUE ARMADO</v>
      </c>
      <c r="D93" s="64" t="str">
        <f>IFERROR(__xludf.DUMMYFUNCTION("""COMPUTED_VALUE"""),"DESBALANCE DE CARGA")</f>
        <v>DESBALANCE DE CARGA</v>
      </c>
      <c r="E93" s="64" t="str">
        <f>IFERROR(__xludf.DUMMYFUNCTION("""COMPUTED_VALUE"""),"PERSONA FALLECIDA")</f>
        <v>PERSONA FALLECIDA</v>
      </c>
      <c r="F93" s="64" t="str">
        <f>IFERROR(__xludf.DUMMYFUNCTION("""COMPUTED_VALUE"""),"DESPRENDIMIENTO DE NEUMATICO")</f>
        <v>DESPRENDIMIENTO DE NEUMATICO</v>
      </c>
      <c r="G93" s="64" t="str">
        <f>IFERROR(__xludf.DUMMYFUNCTION("""COMPUTED_VALUE"""),"SALIDA DE PISTA")</f>
        <v>SALIDA DE PISTA</v>
      </c>
      <c r="H93" s="64" t="str">
        <f>IFERROR(__xludf.DUMMYFUNCTION("""COMPUTED_VALUE"""),"DESPRENDIMIENTO DE CONTENEDOR")</f>
        <v>DESPRENDIMIENTO DE CONTENEDOR</v>
      </c>
      <c r="I93" s="64" t="str">
        <f>IFERROR(__xludf.DUMMYFUNCTION("""COMPUTED_VALUE"""),"CAÍDA DE CARGA")</f>
        <v>CAÍDA DE CARGA</v>
      </c>
      <c r="J93" s="64" t="str">
        <f>IFERROR(__xludf.DUMMYFUNCTION("""COMPUTED_VALUE"""),"CHOQUE")</f>
        <v>CHOQUE</v>
      </c>
      <c r="K93" s="64" t="str">
        <f>IFERROR(__xludf.DUMMYFUNCTION("""COMPUTED_VALUE"""),"COLISIÓN")</f>
        <v>COLISIÓN</v>
      </c>
      <c r="L93" s="64" t="str">
        <f>IFERROR(__xludf.DUMMYFUNCTION("""COMPUTED_VALUE"""),"COLISIÓN MÚLTIPLE")</f>
        <v>COLISIÓN MÚLTIPLE</v>
      </c>
      <c r="M93" s="64" t="str">
        <f>IFERROR(__xludf.DUMMYFUNCTION("""COMPUTED_VALUE"""),"DERRAPE")</f>
        <v>DERRAPE</v>
      </c>
      <c r="N93" s="64" t="str">
        <f>IFERROR(__xludf.DUMMYFUNCTION("""COMPUTED_VALUE"""),"VEHÍCULO INCENDIADO")</f>
        <v>VEHÍCULO INCENDIADO</v>
      </c>
      <c r="O93" s="64" t="str">
        <f>IFERROR(__xludf.DUMMYFUNCTION("""COMPUTED_VALUE"""),"VUELCO")</f>
        <v>VUELCO</v>
      </c>
      <c r="P93" s="64" t="str">
        <f>IFERROR(__xludf.DUMMYFUNCTION("""COMPUTED_VALUE"""),"DESPRENDIMIENTO")</f>
        <v>DESPRENDIMIENTO</v>
      </c>
      <c r="Q93" s="64" t="str">
        <f>IFERROR(__xludf.DUMMYFUNCTION("""COMPUTED_VALUE"""),"CAÍDA DE ÁRBOL")</f>
        <v>CAÍDA DE ÁRBOL</v>
      </c>
      <c r="R93" s="64" t="str">
        <f>IFERROR(__xludf.DUMMYFUNCTION("""COMPUTED_VALUE"""),"DESPRENDIMIENTO DE EJE")</f>
        <v>DESPRENDIMIENTO DE EJE</v>
      </c>
      <c r="S93" s="64" t="str">
        <f>IFERROR(__xludf.DUMMYFUNCTION("""COMPUTED_VALUE"""),"PERSONA ATROPELLADA")</f>
        <v>PERSONA ATROPELLADA</v>
      </c>
    </row>
    <row r="94">
      <c r="B94" s="64" t="s">
        <v>54</v>
      </c>
      <c r="C94" s="64" t="str">
        <f>IFERROR(__xludf.DUMMYFUNCTION(" TRANSPOSE( unique ( QUERY(DATOPRO,""select Col2 where Col1 = '""&amp;B94&amp;""'"")))"),"PINCHAZO")</f>
        <v>PINCHAZO</v>
      </c>
      <c r="D94" s="64" t="str">
        <f>IFERROR(__xludf.DUMMYFUNCTION("""COMPUTED_VALUE"""),"TRABAJOS DE CARRETERA")</f>
        <v>TRABAJOS DE CARRETERA</v>
      </c>
      <c r="E94" s="64" t="str">
        <f>IFERROR(__xludf.DUMMYFUNCTION("""COMPUTED_VALUE"""),"CONSIGNACIÓN")</f>
        <v>CONSIGNACIÓN</v>
      </c>
      <c r="F94" s="64" t="str">
        <f>IFERROR(__xludf.DUMMYFUNCTION("""COMPUTED_VALUE"""),"DERRAME")</f>
        <v>DERRAME</v>
      </c>
      <c r="G94" s="64" t="str">
        <f>IFERROR(__xludf.DUMMYFUNCTION("""COMPUTED_VALUE"""),"CALENTAMIENTO")</f>
        <v>CALENTAMIENTO</v>
      </c>
      <c r="H94" s="64" t="str">
        <f>IFERROR(__xludf.DUMMYFUNCTION("""COMPUTED_VALUE"""),"ESCOLTANDO")</f>
        <v>ESCOLTANDO</v>
      </c>
      <c r="I94" s="64" t="str">
        <f>IFERROR(__xludf.DUMMYFUNCTION("""COMPUTED_VALUE"""),"FALTA DE COMBUSTIBLE")</f>
        <v>FALTA DE COMBUSTIBLE</v>
      </c>
      <c r="J94" s="64" t="str">
        <f>IFERROR(__xludf.DUMMYFUNCTION("""COMPUTED_VALUE"""),"DESPERFECTOS MECÁNICOS")</f>
        <v>DESPERFECTOS MECÁNICOS</v>
      </c>
      <c r="K94" s="64" t="str">
        <f>IFERROR(__xludf.DUMMYFUNCTION("""COMPUTED_VALUE"""),"LLAMADA DE ATENCIÓN")</f>
        <v>LLAMADA DE ATENCIÓN</v>
      </c>
      <c r="L94" s="64" t="str">
        <f>IFERROR(__xludf.DUMMYFUNCTION("""COMPUTED_VALUE"""),"OPERATIVOS")</f>
        <v>OPERATIVOS</v>
      </c>
      <c r="M94" s="64" t="str">
        <f>IFERROR(__xludf.DUMMYFUNCTION("""COMPUTED_VALUE"""),"SANCIÓN")</f>
        <v>SANCIÓN</v>
      </c>
      <c r="N94" s="64" t="str">
        <f>IFERROR(__xludf.DUMMYFUNCTION("""COMPUTED_VALUE"""),"SISTEMA ELECTRICO")</f>
        <v>SISTEMA ELECTRICO</v>
      </c>
      <c r="O94" s="64" t="str">
        <f>IFERROR(__xludf.DUMMYFUNCTION("""COMPUTED_VALUE"""),"ASISTENCIA AL USUARIO")</f>
        <v>ASISTENCIA AL USUARIO</v>
      </c>
      <c r="P94" s="64" t="str">
        <f>IFERROR(__xludf.DUMMYFUNCTION("""COMPUTED_VALUE"""),"DOBLE REMOLQUE")</f>
        <v>DOBLE REMOLQUE</v>
      </c>
      <c r="Q94" s="64" t="str">
        <f>IFERROR(__xludf.DUMMYFUNCTION("""COMPUTED_VALUE"""),"SINAPRESE")</f>
        <v>SINAPRESE</v>
      </c>
      <c r="R94" s="64" t="str">
        <f>IFERROR(__xludf.DUMMYFUNCTION("""COMPUTED_VALUE"""),"APOYO ATLETISMO")</f>
        <v>APOYO ATLETISMO</v>
      </c>
      <c r="S94" s="64" t="str">
        <f>IFERROR(__xludf.DUMMYFUNCTION("""COMPUTED_VALUE"""),"APOYO A CICLISMO")</f>
        <v>APOYO A CICLISMO</v>
      </c>
      <c r="T94" s="64" t="str">
        <f>IFERROR(__xludf.DUMMYFUNCTION("""COMPUTED_VALUE"""),"DESCARGA DE BATERÍA")</f>
        <v>DESCARGA DE BATERÍA</v>
      </c>
      <c r="U94" s="64" t="str">
        <f>IFERROR(__xludf.DUMMYFUNCTION("""COMPUTED_VALUE"""),"PROBLEMAS DE SALUD")</f>
        <v>PROBLEMAS DE SALUD</v>
      </c>
      <c r="V94" s="64" t="str">
        <f>IFERROR(__xludf.DUMMYFUNCTION("""COMPUTED_VALUE"""),"OLVIDO LA LLAVE")</f>
        <v>OLVIDO LA LLAVE</v>
      </c>
      <c r="W94" s="64" t="str">
        <f>IFERROR(__xludf.DUMMYFUNCTION("""COMPUTED_VALUE"""),"CARGA SOBREDIMENSIONADA")</f>
        <v>CARGA SOBREDIMENSIONADA</v>
      </c>
      <c r="X94" s="64" t="str">
        <f>IFERROR(__xludf.DUMMYFUNCTION("""COMPUTED_VALUE"""),"VEHÍCULO ABANDONADO")</f>
        <v>VEHÍCULO ABANDONADO</v>
      </c>
      <c r="Y94" s="64" t="str">
        <f>IFERROR(__xludf.DUMMYFUNCTION("""COMPUTED_VALUE"""),"DESPRENDIMIENTO")</f>
        <v>DESPRENDIMIENTO</v>
      </c>
      <c r="Z94" s="64" t="str">
        <f>IFERROR(__xludf.DUMMYFUNCTION("""COMPUTED_VALUE"""),"CAÍDA DE POSTE")</f>
        <v>CAÍDA DE POSTE</v>
      </c>
      <c r="AA94" s="64" t="str">
        <f>IFERROR(__xludf.DUMMYFUNCTION("""COMPUTED_VALUE"""),"CAÍDA DE RAMA")</f>
        <v>CAÍDA DE RAMA</v>
      </c>
      <c r="AB94" s="64" t="str">
        <f>IFERROR(__xludf.DUMMYFUNCTION("""COMPUTED_VALUE"""),"OPERATIVO DGT")</f>
        <v>OPERATIVO DGT</v>
      </c>
      <c r="AC94" s="64" t="str">
        <f>IFERROR(__xludf.DUMMYFUNCTION("""COMPUTED_VALUE"""),"OPERATIVO PMT")</f>
        <v>OPERATIVO PMT</v>
      </c>
      <c r="AD94" s="64" t="str">
        <f>IFERROR(__xludf.DUMMYFUNCTION("""COMPUTED_VALUE"""),"APOYO A DIGEF")</f>
        <v>APOYO A DIGEF</v>
      </c>
      <c r="AE94" s="64" t="str">
        <f>IFERROR(__xludf.DUMMYFUNCTION("""COMPUTED_VALUE"""),"OPERATIVO PNC TRANSITO")</f>
        <v>OPERATIVO PNC TRANSITO</v>
      </c>
      <c r="AF94" s="64" t="str">
        <f>IFERROR(__xludf.DUMMYFUNCTION("""COMPUTED_VALUE"""),"SOBRECARGA ")</f>
        <v>SOBRECARGA </v>
      </c>
      <c r="AG94" s="64" t="str">
        <f>IFERROR(__xludf.DUMMYFUNCTION("""COMPUTED_VALUE"""),"OPERATIVO EN CONJUNTO")</f>
        <v>OPERATIVO EN CONJUNTO</v>
      </c>
      <c r="AH94" s="64" t="str">
        <f>IFERROR(__xludf.DUMMYFUNCTION("""COMPUTED_VALUE"""),"PUESTO DE ATENCION AL USUARIO")</f>
        <v>PUESTO DE ATENCION AL USUARIO</v>
      </c>
      <c r="AI94" s="64" t="str">
        <f>IFERROR(__xludf.DUMMYFUNCTION("""COMPUTED_VALUE"""),"INCENDIO EN RUTA")</f>
        <v>INCENDIO EN RUTA</v>
      </c>
      <c r="AJ94" s="64" t="str">
        <f>IFERROR(__xludf.DUMMYFUNCTION("""COMPUTED_VALUE"""),"APOYO ANTORCHA ")</f>
        <v>APOYO ANTORCHA </v>
      </c>
    </row>
    <row r="95">
      <c r="B95" s="64" t="s">
        <v>54</v>
      </c>
      <c r="C95" s="64" t="str">
        <f>IFERROR(__xludf.DUMMYFUNCTION(" TRANSPOSE( unique ( QUERY(DATOPRO,""select Col2 where Col1 = '""&amp;B95&amp;""'"")))"),"PINCHAZO")</f>
        <v>PINCHAZO</v>
      </c>
      <c r="D95" s="64" t="str">
        <f>IFERROR(__xludf.DUMMYFUNCTION("""COMPUTED_VALUE"""),"TRABAJOS DE CARRETERA")</f>
        <v>TRABAJOS DE CARRETERA</v>
      </c>
      <c r="E95" s="64" t="str">
        <f>IFERROR(__xludf.DUMMYFUNCTION("""COMPUTED_VALUE"""),"CONSIGNACIÓN")</f>
        <v>CONSIGNACIÓN</v>
      </c>
      <c r="F95" s="64" t="str">
        <f>IFERROR(__xludf.DUMMYFUNCTION("""COMPUTED_VALUE"""),"DERRAME")</f>
        <v>DERRAME</v>
      </c>
      <c r="G95" s="64" t="str">
        <f>IFERROR(__xludf.DUMMYFUNCTION("""COMPUTED_VALUE"""),"CALENTAMIENTO")</f>
        <v>CALENTAMIENTO</v>
      </c>
      <c r="H95" s="64" t="str">
        <f>IFERROR(__xludf.DUMMYFUNCTION("""COMPUTED_VALUE"""),"ESCOLTANDO")</f>
        <v>ESCOLTANDO</v>
      </c>
      <c r="I95" s="64" t="str">
        <f>IFERROR(__xludf.DUMMYFUNCTION("""COMPUTED_VALUE"""),"FALTA DE COMBUSTIBLE")</f>
        <v>FALTA DE COMBUSTIBLE</v>
      </c>
      <c r="J95" s="64" t="str">
        <f>IFERROR(__xludf.DUMMYFUNCTION("""COMPUTED_VALUE"""),"DESPERFECTOS MECÁNICOS")</f>
        <v>DESPERFECTOS MECÁNICOS</v>
      </c>
      <c r="K95" s="64" t="str">
        <f>IFERROR(__xludf.DUMMYFUNCTION("""COMPUTED_VALUE"""),"LLAMADA DE ATENCIÓN")</f>
        <v>LLAMADA DE ATENCIÓN</v>
      </c>
      <c r="L95" s="64" t="str">
        <f>IFERROR(__xludf.DUMMYFUNCTION("""COMPUTED_VALUE"""),"OPERATIVOS")</f>
        <v>OPERATIVOS</v>
      </c>
      <c r="M95" s="64" t="str">
        <f>IFERROR(__xludf.DUMMYFUNCTION("""COMPUTED_VALUE"""),"SANCIÓN")</f>
        <v>SANCIÓN</v>
      </c>
      <c r="N95" s="64" t="str">
        <f>IFERROR(__xludf.DUMMYFUNCTION("""COMPUTED_VALUE"""),"SISTEMA ELECTRICO")</f>
        <v>SISTEMA ELECTRICO</v>
      </c>
      <c r="O95" s="64" t="str">
        <f>IFERROR(__xludf.DUMMYFUNCTION("""COMPUTED_VALUE"""),"ASISTENCIA AL USUARIO")</f>
        <v>ASISTENCIA AL USUARIO</v>
      </c>
      <c r="P95" s="64" t="str">
        <f>IFERROR(__xludf.DUMMYFUNCTION("""COMPUTED_VALUE"""),"DOBLE REMOLQUE")</f>
        <v>DOBLE REMOLQUE</v>
      </c>
      <c r="Q95" s="64" t="str">
        <f>IFERROR(__xludf.DUMMYFUNCTION("""COMPUTED_VALUE"""),"SINAPRESE")</f>
        <v>SINAPRESE</v>
      </c>
      <c r="R95" s="64" t="str">
        <f>IFERROR(__xludf.DUMMYFUNCTION("""COMPUTED_VALUE"""),"APOYO ATLETISMO")</f>
        <v>APOYO ATLETISMO</v>
      </c>
      <c r="S95" s="64" t="str">
        <f>IFERROR(__xludf.DUMMYFUNCTION("""COMPUTED_VALUE"""),"APOYO A CICLISMO")</f>
        <v>APOYO A CICLISMO</v>
      </c>
      <c r="T95" s="64" t="str">
        <f>IFERROR(__xludf.DUMMYFUNCTION("""COMPUTED_VALUE"""),"DESCARGA DE BATERÍA")</f>
        <v>DESCARGA DE BATERÍA</v>
      </c>
      <c r="U95" s="64" t="str">
        <f>IFERROR(__xludf.DUMMYFUNCTION("""COMPUTED_VALUE"""),"PROBLEMAS DE SALUD")</f>
        <v>PROBLEMAS DE SALUD</v>
      </c>
      <c r="V95" s="64" t="str">
        <f>IFERROR(__xludf.DUMMYFUNCTION("""COMPUTED_VALUE"""),"OLVIDO LA LLAVE")</f>
        <v>OLVIDO LA LLAVE</v>
      </c>
      <c r="W95" s="64" t="str">
        <f>IFERROR(__xludf.DUMMYFUNCTION("""COMPUTED_VALUE"""),"CARGA SOBREDIMENSIONADA")</f>
        <v>CARGA SOBREDIMENSIONADA</v>
      </c>
      <c r="X95" s="64" t="str">
        <f>IFERROR(__xludf.DUMMYFUNCTION("""COMPUTED_VALUE"""),"VEHÍCULO ABANDONADO")</f>
        <v>VEHÍCULO ABANDONADO</v>
      </c>
      <c r="Y95" s="64" t="str">
        <f>IFERROR(__xludf.DUMMYFUNCTION("""COMPUTED_VALUE"""),"DESPRENDIMIENTO")</f>
        <v>DESPRENDIMIENTO</v>
      </c>
      <c r="Z95" s="64" t="str">
        <f>IFERROR(__xludf.DUMMYFUNCTION("""COMPUTED_VALUE"""),"CAÍDA DE POSTE")</f>
        <v>CAÍDA DE POSTE</v>
      </c>
      <c r="AA95" s="64" t="str">
        <f>IFERROR(__xludf.DUMMYFUNCTION("""COMPUTED_VALUE"""),"CAÍDA DE RAMA")</f>
        <v>CAÍDA DE RAMA</v>
      </c>
      <c r="AB95" s="64" t="str">
        <f>IFERROR(__xludf.DUMMYFUNCTION("""COMPUTED_VALUE"""),"OPERATIVO DGT")</f>
        <v>OPERATIVO DGT</v>
      </c>
      <c r="AC95" s="64" t="str">
        <f>IFERROR(__xludf.DUMMYFUNCTION("""COMPUTED_VALUE"""),"OPERATIVO PMT")</f>
        <v>OPERATIVO PMT</v>
      </c>
      <c r="AD95" s="64" t="str">
        <f>IFERROR(__xludf.DUMMYFUNCTION("""COMPUTED_VALUE"""),"APOYO A DIGEF")</f>
        <v>APOYO A DIGEF</v>
      </c>
      <c r="AE95" s="64" t="str">
        <f>IFERROR(__xludf.DUMMYFUNCTION("""COMPUTED_VALUE"""),"OPERATIVO PNC TRANSITO")</f>
        <v>OPERATIVO PNC TRANSITO</v>
      </c>
      <c r="AF95" s="64" t="str">
        <f>IFERROR(__xludf.DUMMYFUNCTION("""COMPUTED_VALUE"""),"SOBRECARGA ")</f>
        <v>SOBRECARGA </v>
      </c>
      <c r="AG95" s="64" t="str">
        <f>IFERROR(__xludf.DUMMYFUNCTION("""COMPUTED_VALUE"""),"OPERATIVO EN CONJUNTO")</f>
        <v>OPERATIVO EN CONJUNTO</v>
      </c>
      <c r="AH95" s="64" t="str">
        <f>IFERROR(__xludf.DUMMYFUNCTION("""COMPUTED_VALUE"""),"PUESTO DE ATENCION AL USUARIO")</f>
        <v>PUESTO DE ATENCION AL USUARIO</v>
      </c>
      <c r="AI95" s="64" t="str">
        <f>IFERROR(__xludf.DUMMYFUNCTION("""COMPUTED_VALUE"""),"INCENDIO EN RUTA")</f>
        <v>INCENDIO EN RUTA</v>
      </c>
      <c r="AJ95" s="64" t="str">
        <f>IFERROR(__xludf.DUMMYFUNCTION("""COMPUTED_VALUE"""),"APOYO ANTORCHA ")</f>
        <v>APOYO ANTORCHA </v>
      </c>
    </row>
    <row r="96">
      <c r="B96" s="64" t="s">
        <v>38</v>
      </c>
      <c r="C96" s="64" t="str">
        <f>IFERROR(__xludf.DUMMYFUNCTION(" TRANSPOSE( unique ( QUERY(DATOPRO,""select Col2 where Col1 = '""&amp;B96&amp;""'"")))"),"ATAQUE ARMADO")</f>
        <v>ATAQUE ARMADO</v>
      </c>
      <c r="D96" s="64" t="str">
        <f>IFERROR(__xludf.DUMMYFUNCTION("""COMPUTED_VALUE"""),"DESBALANCE DE CARGA")</f>
        <v>DESBALANCE DE CARGA</v>
      </c>
      <c r="E96" s="64" t="str">
        <f>IFERROR(__xludf.DUMMYFUNCTION("""COMPUTED_VALUE"""),"PERSONA FALLECIDA")</f>
        <v>PERSONA FALLECIDA</v>
      </c>
      <c r="F96" s="64" t="str">
        <f>IFERROR(__xludf.DUMMYFUNCTION("""COMPUTED_VALUE"""),"DESPRENDIMIENTO DE NEUMATICO")</f>
        <v>DESPRENDIMIENTO DE NEUMATICO</v>
      </c>
      <c r="G96" s="64" t="str">
        <f>IFERROR(__xludf.DUMMYFUNCTION("""COMPUTED_VALUE"""),"SALIDA DE PISTA")</f>
        <v>SALIDA DE PISTA</v>
      </c>
      <c r="H96" s="64" t="str">
        <f>IFERROR(__xludf.DUMMYFUNCTION("""COMPUTED_VALUE"""),"DESPRENDIMIENTO DE CONTENEDOR")</f>
        <v>DESPRENDIMIENTO DE CONTENEDOR</v>
      </c>
      <c r="I96" s="64" t="str">
        <f>IFERROR(__xludf.DUMMYFUNCTION("""COMPUTED_VALUE"""),"CAÍDA DE CARGA")</f>
        <v>CAÍDA DE CARGA</v>
      </c>
      <c r="J96" s="64" t="str">
        <f>IFERROR(__xludf.DUMMYFUNCTION("""COMPUTED_VALUE"""),"CHOQUE")</f>
        <v>CHOQUE</v>
      </c>
      <c r="K96" s="64" t="str">
        <f>IFERROR(__xludf.DUMMYFUNCTION("""COMPUTED_VALUE"""),"COLISIÓN")</f>
        <v>COLISIÓN</v>
      </c>
      <c r="L96" s="64" t="str">
        <f>IFERROR(__xludf.DUMMYFUNCTION("""COMPUTED_VALUE"""),"COLISIÓN MÚLTIPLE")</f>
        <v>COLISIÓN MÚLTIPLE</v>
      </c>
      <c r="M96" s="64" t="str">
        <f>IFERROR(__xludf.DUMMYFUNCTION("""COMPUTED_VALUE"""),"DERRAPE")</f>
        <v>DERRAPE</v>
      </c>
      <c r="N96" s="64" t="str">
        <f>IFERROR(__xludf.DUMMYFUNCTION("""COMPUTED_VALUE"""),"VEHÍCULO INCENDIADO")</f>
        <v>VEHÍCULO INCENDIADO</v>
      </c>
      <c r="O96" s="64" t="str">
        <f>IFERROR(__xludf.DUMMYFUNCTION("""COMPUTED_VALUE"""),"VUELCO")</f>
        <v>VUELCO</v>
      </c>
      <c r="P96" s="64" t="str">
        <f>IFERROR(__xludf.DUMMYFUNCTION("""COMPUTED_VALUE"""),"DESPRENDIMIENTO")</f>
        <v>DESPRENDIMIENTO</v>
      </c>
      <c r="Q96" s="64" t="str">
        <f>IFERROR(__xludf.DUMMYFUNCTION("""COMPUTED_VALUE"""),"CAÍDA DE ÁRBOL")</f>
        <v>CAÍDA DE ÁRBOL</v>
      </c>
      <c r="R96" s="64" t="str">
        <f>IFERROR(__xludf.DUMMYFUNCTION("""COMPUTED_VALUE"""),"DESPRENDIMIENTO DE EJE")</f>
        <v>DESPRENDIMIENTO DE EJE</v>
      </c>
      <c r="S96" s="64" t="str">
        <f>IFERROR(__xludf.DUMMYFUNCTION("""COMPUTED_VALUE"""),"PERSONA ATROPELLADA")</f>
        <v>PERSONA ATROPELLADA</v>
      </c>
    </row>
    <row r="97">
      <c r="B97" s="64" t="s">
        <v>38</v>
      </c>
      <c r="C97" s="64" t="str">
        <f>IFERROR(__xludf.DUMMYFUNCTION(" TRANSPOSE( unique ( QUERY(DATOPRO,""select Col2 where Col1 = '""&amp;B97&amp;""'"")))"),"ATAQUE ARMADO")</f>
        <v>ATAQUE ARMADO</v>
      </c>
      <c r="D97" s="64" t="str">
        <f>IFERROR(__xludf.DUMMYFUNCTION("""COMPUTED_VALUE"""),"DESBALANCE DE CARGA")</f>
        <v>DESBALANCE DE CARGA</v>
      </c>
      <c r="E97" s="64" t="str">
        <f>IFERROR(__xludf.DUMMYFUNCTION("""COMPUTED_VALUE"""),"PERSONA FALLECIDA")</f>
        <v>PERSONA FALLECIDA</v>
      </c>
      <c r="F97" s="64" t="str">
        <f>IFERROR(__xludf.DUMMYFUNCTION("""COMPUTED_VALUE"""),"DESPRENDIMIENTO DE NEUMATICO")</f>
        <v>DESPRENDIMIENTO DE NEUMATICO</v>
      </c>
      <c r="G97" s="64" t="str">
        <f>IFERROR(__xludf.DUMMYFUNCTION("""COMPUTED_VALUE"""),"SALIDA DE PISTA")</f>
        <v>SALIDA DE PISTA</v>
      </c>
      <c r="H97" s="64" t="str">
        <f>IFERROR(__xludf.DUMMYFUNCTION("""COMPUTED_VALUE"""),"DESPRENDIMIENTO DE CONTENEDOR")</f>
        <v>DESPRENDIMIENTO DE CONTENEDOR</v>
      </c>
      <c r="I97" s="64" t="str">
        <f>IFERROR(__xludf.DUMMYFUNCTION("""COMPUTED_VALUE"""),"CAÍDA DE CARGA")</f>
        <v>CAÍDA DE CARGA</v>
      </c>
      <c r="J97" s="64" t="str">
        <f>IFERROR(__xludf.DUMMYFUNCTION("""COMPUTED_VALUE"""),"CHOQUE")</f>
        <v>CHOQUE</v>
      </c>
      <c r="K97" s="64" t="str">
        <f>IFERROR(__xludf.DUMMYFUNCTION("""COMPUTED_VALUE"""),"COLISIÓN")</f>
        <v>COLISIÓN</v>
      </c>
      <c r="L97" s="64" t="str">
        <f>IFERROR(__xludf.DUMMYFUNCTION("""COMPUTED_VALUE"""),"COLISIÓN MÚLTIPLE")</f>
        <v>COLISIÓN MÚLTIPLE</v>
      </c>
      <c r="M97" s="64" t="str">
        <f>IFERROR(__xludf.DUMMYFUNCTION("""COMPUTED_VALUE"""),"DERRAPE")</f>
        <v>DERRAPE</v>
      </c>
      <c r="N97" s="64" t="str">
        <f>IFERROR(__xludf.DUMMYFUNCTION("""COMPUTED_VALUE"""),"VEHÍCULO INCENDIADO")</f>
        <v>VEHÍCULO INCENDIADO</v>
      </c>
      <c r="O97" s="64" t="str">
        <f>IFERROR(__xludf.DUMMYFUNCTION("""COMPUTED_VALUE"""),"VUELCO")</f>
        <v>VUELCO</v>
      </c>
      <c r="P97" s="64" t="str">
        <f>IFERROR(__xludf.DUMMYFUNCTION("""COMPUTED_VALUE"""),"DESPRENDIMIENTO")</f>
        <v>DESPRENDIMIENTO</v>
      </c>
      <c r="Q97" s="64" t="str">
        <f>IFERROR(__xludf.DUMMYFUNCTION("""COMPUTED_VALUE"""),"CAÍDA DE ÁRBOL")</f>
        <v>CAÍDA DE ÁRBOL</v>
      </c>
      <c r="R97" s="64" t="str">
        <f>IFERROR(__xludf.DUMMYFUNCTION("""COMPUTED_VALUE"""),"DESPRENDIMIENTO DE EJE")</f>
        <v>DESPRENDIMIENTO DE EJE</v>
      </c>
      <c r="S97" s="64" t="str">
        <f>IFERROR(__xludf.DUMMYFUNCTION("""COMPUTED_VALUE"""),"PERSONA ATROPELLADA")</f>
        <v>PERSONA ATROPELLADA</v>
      </c>
    </row>
    <row r="98">
      <c r="B98" s="64" t="s">
        <v>54</v>
      </c>
      <c r="C98" s="64" t="str">
        <f>IFERROR(__xludf.DUMMYFUNCTION(" TRANSPOSE( unique ( QUERY(DATOPRO,""select Col2 where Col1 = '""&amp;B98&amp;""'"")))"),"PINCHAZO")</f>
        <v>PINCHAZO</v>
      </c>
      <c r="D98" s="64" t="str">
        <f>IFERROR(__xludf.DUMMYFUNCTION("""COMPUTED_VALUE"""),"TRABAJOS DE CARRETERA")</f>
        <v>TRABAJOS DE CARRETERA</v>
      </c>
      <c r="E98" s="64" t="str">
        <f>IFERROR(__xludf.DUMMYFUNCTION("""COMPUTED_VALUE"""),"CONSIGNACIÓN")</f>
        <v>CONSIGNACIÓN</v>
      </c>
      <c r="F98" s="64" t="str">
        <f>IFERROR(__xludf.DUMMYFUNCTION("""COMPUTED_VALUE"""),"DERRAME")</f>
        <v>DERRAME</v>
      </c>
      <c r="G98" s="64" t="str">
        <f>IFERROR(__xludf.DUMMYFUNCTION("""COMPUTED_VALUE"""),"CALENTAMIENTO")</f>
        <v>CALENTAMIENTO</v>
      </c>
      <c r="H98" s="64" t="str">
        <f>IFERROR(__xludf.DUMMYFUNCTION("""COMPUTED_VALUE"""),"ESCOLTANDO")</f>
        <v>ESCOLTANDO</v>
      </c>
      <c r="I98" s="64" t="str">
        <f>IFERROR(__xludf.DUMMYFUNCTION("""COMPUTED_VALUE"""),"FALTA DE COMBUSTIBLE")</f>
        <v>FALTA DE COMBUSTIBLE</v>
      </c>
      <c r="J98" s="64" t="str">
        <f>IFERROR(__xludf.DUMMYFUNCTION("""COMPUTED_VALUE"""),"DESPERFECTOS MECÁNICOS")</f>
        <v>DESPERFECTOS MECÁNICOS</v>
      </c>
      <c r="K98" s="64" t="str">
        <f>IFERROR(__xludf.DUMMYFUNCTION("""COMPUTED_VALUE"""),"LLAMADA DE ATENCIÓN")</f>
        <v>LLAMADA DE ATENCIÓN</v>
      </c>
      <c r="L98" s="64" t="str">
        <f>IFERROR(__xludf.DUMMYFUNCTION("""COMPUTED_VALUE"""),"OPERATIVOS")</f>
        <v>OPERATIVOS</v>
      </c>
      <c r="M98" s="64" t="str">
        <f>IFERROR(__xludf.DUMMYFUNCTION("""COMPUTED_VALUE"""),"SANCIÓN")</f>
        <v>SANCIÓN</v>
      </c>
      <c r="N98" s="64" t="str">
        <f>IFERROR(__xludf.DUMMYFUNCTION("""COMPUTED_VALUE"""),"SISTEMA ELECTRICO")</f>
        <v>SISTEMA ELECTRICO</v>
      </c>
      <c r="O98" s="64" t="str">
        <f>IFERROR(__xludf.DUMMYFUNCTION("""COMPUTED_VALUE"""),"ASISTENCIA AL USUARIO")</f>
        <v>ASISTENCIA AL USUARIO</v>
      </c>
      <c r="P98" s="64" t="str">
        <f>IFERROR(__xludf.DUMMYFUNCTION("""COMPUTED_VALUE"""),"DOBLE REMOLQUE")</f>
        <v>DOBLE REMOLQUE</v>
      </c>
      <c r="Q98" s="64" t="str">
        <f>IFERROR(__xludf.DUMMYFUNCTION("""COMPUTED_VALUE"""),"SINAPRESE")</f>
        <v>SINAPRESE</v>
      </c>
      <c r="R98" s="64" t="str">
        <f>IFERROR(__xludf.DUMMYFUNCTION("""COMPUTED_VALUE"""),"APOYO ATLETISMO")</f>
        <v>APOYO ATLETISMO</v>
      </c>
      <c r="S98" s="64" t="str">
        <f>IFERROR(__xludf.DUMMYFUNCTION("""COMPUTED_VALUE"""),"APOYO A CICLISMO")</f>
        <v>APOYO A CICLISMO</v>
      </c>
      <c r="T98" s="64" t="str">
        <f>IFERROR(__xludf.DUMMYFUNCTION("""COMPUTED_VALUE"""),"DESCARGA DE BATERÍA")</f>
        <v>DESCARGA DE BATERÍA</v>
      </c>
      <c r="U98" s="64" t="str">
        <f>IFERROR(__xludf.DUMMYFUNCTION("""COMPUTED_VALUE"""),"PROBLEMAS DE SALUD")</f>
        <v>PROBLEMAS DE SALUD</v>
      </c>
      <c r="V98" s="64" t="str">
        <f>IFERROR(__xludf.DUMMYFUNCTION("""COMPUTED_VALUE"""),"OLVIDO LA LLAVE")</f>
        <v>OLVIDO LA LLAVE</v>
      </c>
      <c r="W98" s="64" t="str">
        <f>IFERROR(__xludf.DUMMYFUNCTION("""COMPUTED_VALUE"""),"CARGA SOBREDIMENSIONADA")</f>
        <v>CARGA SOBREDIMENSIONADA</v>
      </c>
      <c r="X98" s="64" t="str">
        <f>IFERROR(__xludf.DUMMYFUNCTION("""COMPUTED_VALUE"""),"VEHÍCULO ABANDONADO")</f>
        <v>VEHÍCULO ABANDONADO</v>
      </c>
      <c r="Y98" s="64" t="str">
        <f>IFERROR(__xludf.DUMMYFUNCTION("""COMPUTED_VALUE"""),"DESPRENDIMIENTO")</f>
        <v>DESPRENDIMIENTO</v>
      </c>
      <c r="Z98" s="64" t="str">
        <f>IFERROR(__xludf.DUMMYFUNCTION("""COMPUTED_VALUE"""),"CAÍDA DE POSTE")</f>
        <v>CAÍDA DE POSTE</v>
      </c>
      <c r="AA98" s="64" t="str">
        <f>IFERROR(__xludf.DUMMYFUNCTION("""COMPUTED_VALUE"""),"CAÍDA DE RAMA")</f>
        <v>CAÍDA DE RAMA</v>
      </c>
      <c r="AB98" s="64" t="str">
        <f>IFERROR(__xludf.DUMMYFUNCTION("""COMPUTED_VALUE"""),"OPERATIVO DGT")</f>
        <v>OPERATIVO DGT</v>
      </c>
      <c r="AC98" s="64" t="str">
        <f>IFERROR(__xludf.DUMMYFUNCTION("""COMPUTED_VALUE"""),"OPERATIVO PMT")</f>
        <v>OPERATIVO PMT</v>
      </c>
      <c r="AD98" s="64" t="str">
        <f>IFERROR(__xludf.DUMMYFUNCTION("""COMPUTED_VALUE"""),"APOYO A DIGEF")</f>
        <v>APOYO A DIGEF</v>
      </c>
      <c r="AE98" s="64" t="str">
        <f>IFERROR(__xludf.DUMMYFUNCTION("""COMPUTED_VALUE"""),"OPERATIVO PNC TRANSITO")</f>
        <v>OPERATIVO PNC TRANSITO</v>
      </c>
      <c r="AF98" s="64" t="str">
        <f>IFERROR(__xludf.DUMMYFUNCTION("""COMPUTED_VALUE"""),"SOBRECARGA ")</f>
        <v>SOBRECARGA </v>
      </c>
      <c r="AG98" s="64" t="str">
        <f>IFERROR(__xludf.DUMMYFUNCTION("""COMPUTED_VALUE"""),"OPERATIVO EN CONJUNTO")</f>
        <v>OPERATIVO EN CONJUNTO</v>
      </c>
      <c r="AH98" s="64" t="str">
        <f>IFERROR(__xludf.DUMMYFUNCTION("""COMPUTED_VALUE"""),"PUESTO DE ATENCION AL USUARIO")</f>
        <v>PUESTO DE ATENCION AL USUARIO</v>
      </c>
      <c r="AI98" s="64" t="str">
        <f>IFERROR(__xludf.DUMMYFUNCTION("""COMPUTED_VALUE"""),"INCENDIO EN RUTA")</f>
        <v>INCENDIO EN RUTA</v>
      </c>
      <c r="AJ98" s="64" t="str">
        <f>IFERROR(__xludf.DUMMYFUNCTION("""COMPUTED_VALUE"""),"APOYO ANTORCHA ")</f>
        <v>APOYO ANTORCHA </v>
      </c>
    </row>
    <row r="99">
      <c r="B99" s="64" t="s">
        <v>54</v>
      </c>
      <c r="C99" s="64" t="str">
        <f>IFERROR(__xludf.DUMMYFUNCTION(" TRANSPOSE( unique ( QUERY(DATOPRO,""select Col2 where Col1 = '""&amp;B99&amp;""'"")))"),"PINCHAZO")</f>
        <v>PINCHAZO</v>
      </c>
      <c r="D99" s="64" t="str">
        <f>IFERROR(__xludf.DUMMYFUNCTION("""COMPUTED_VALUE"""),"TRABAJOS DE CARRETERA")</f>
        <v>TRABAJOS DE CARRETERA</v>
      </c>
      <c r="E99" s="64" t="str">
        <f>IFERROR(__xludf.DUMMYFUNCTION("""COMPUTED_VALUE"""),"CONSIGNACIÓN")</f>
        <v>CONSIGNACIÓN</v>
      </c>
      <c r="F99" s="64" t="str">
        <f>IFERROR(__xludf.DUMMYFUNCTION("""COMPUTED_VALUE"""),"DERRAME")</f>
        <v>DERRAME</v>
      </c>
      <c r="G99" s="64" t="str">
        <f>IFERROR(__xludf.DUMMYFUNCTION("""COMPUTED_VALUE"""),"CALENTAMIENTO")</f>
        <v>CALENTAMIENTO</v>
      </c>
      <c r="H99" s="64" t="str">
        <f>IFERROR(__xludf.DUMMYFUNCTION("""COMPUTED_VALUE"""),"ESCOLTANDO")</f>
        <v>ESCOLTANDO</v>
      </c>
      <c r="I99" s="64" t="str">
        <f>IFERROR(__xludf.DUMMYFUNCTION("""COMPUTED_VALUE"""),"FALTA DE COMBUSTIBLE")</f>
        <v>FALTA DE COMBUSTIBLE</v>
      </c>
      <c r="J99" s="64" t="str">
        <f>IFERROR(__xludf.DUMMYFUNCTION("""COMPUTED_VALUE"""),"DESPERFECTOS MECÁNICOS")</f>
        <v>DESPERFECTOS MECÁNICOS</v>
      </c>
      <c r="K99" s="64" t="str">
        <f>IFERROR(__xludf.DUMMYFUNCTION("""COMPUTED_VALUE"""),"LLAMADA DE ATENCIÓN")</f>
        <v>LLAMADA DE ATENCIÓN</v>
      </c>
      <c r="L99" s="64" t="str">
        <f>IFERROR(__xludf.DUMMYFUNCTION("""COMPUTED_VALUE"""),"OPERATIVOS")</f>
        <v>OPERATIVOS</v>
      </c>
      <c r="M99" s="64" t="str">
        <f>IFERROR(__xludf.DUMMYFUNCTION("""COMPUTED_VALUE"""),"SANCIÓN")</f>
        <v>SANCIÓN</v>
      </c>
      <c r="N99" s="64" t="str">
        <f>IFERROR(__xludf.DUMMYFUNCTION("""COMPUTED_VALUE"""),"SISTEMA ELECTRICO")</f>
        <v>SISTEMA ELECTRICO</v>
      </c>
      <c r="O99" s="64" t="str">
        <f>IFERROR(__xludf.DUMMYFUNCTION("""COMPUTED_VALUE"""),"ASISTENCIA AL USUARIO")</f>
        <v>ASISTENCIA AL USUARIO</v>
      </c>
      <c r="P99" s="64" t="str">
        <f>IFERROR(__xludf.DUMMYFUNCTION("""COMPUTED_VALUE"""),"DOBLE REMOLQUE")</f>
        <v>DOBLE REMOLQUE</v>
      </c>
      <c r="Q99" s="64" t="str">
        <f>IFERROR(__xludf.DUMMYFUNCTION("""COMPUTED_VALUE"""),"SINAPRESE")</f>
        <v>SINAPRESE</v>
      </c>
      <c r="R99" s="64" t="str">
        <f>IFERROR(__xludf.DUMMYFUNCTION("""COMPUTED_VALUE"""),"APOYO ATLETISMO")</f>
        <v>APOYO ATLETISMO</v>
      </c>
      <c r="S99" s="64" t="str">
        <f>IFERROR(__xludf.DUMMYFUNCTION("""COMPUTED_VALUE"""),"APOYO A CICLISMO")</f>
        <v>APOYO A CICLISMO</v>
      </c>
      <c r="T99" s="64" t="str">
        <f>IFERROR(__xludf.DUMMYFUNCTION("""COMPUTED_VALUE"""),"DESCARGA DE BATERÍA")</f>
        <v>DESCARGA DE BATERÍA</v>
      </c>
      <c r="U99" s="64" t="str">
        <f>IFERROR(__xludf.DUMMYFUNCTION("""COMPUTED_VALUE"""),"PROBLEMAS DE SALUD")</f>
        <v>PROBLEMAS DE SALUD</v>
      </c>
      <c r="V99" s="64" t="str">
        <f>IFERROR(__xludf.DUMMYFUNCTION("""COMPUTED_VALUE"""),"OLVIDO LA LLAVE")</f>
        <v>OLVIDO LA LLAVE</v>
      </c>
      <c r="W99" s="64" t="str">
        <f>IFERROR(__xludf.DUMMYFUNCTION("""COMPUTED_VALUE"""),"CARGA SOBREDIMENSIONADA")</f>
        <v>CARGA SOBREDIMENSIONADA</v>
      </c>
      <c r="X99" s="64" t="str">
        <f>IFERROR(__xludf.DUMMYFUNCTION("""COMPUTED_VALUE"""),"VEHÍCULO ABANDONADO")</f>
        <v>VEHÍCULO ABANDONADO</v>
      </c>
      <c r="Y99" s="64" t="str">
        <f>IFERROR(__xludf.DUMMYFUNCTION("""COMPUTED_VALUE"""),"DESPRENDIMIENTO")</f>
        <v>DESPRENDIMIENTO</v>
      </c>
      <c r="Z99" s="64" t="str">
        <f>IFERROR(__xludf.DUMMYFUNCTION("""COMPUTED_VALUE"""),"CAÍDA DE POSTE")</f>
        <v>CAÍDA DE POSTE</v>
      </c>
      <c r="AA99" s="64" t="str">
        <f>IFERROR(__xludf.DUMMYFUNCTION("""COMPUTED_VALUE"""),"CAÍDA DE RAMA")</f>
        <v>CAÍDA DE RAMA</v>
      </c>
      <c r="AB99" s="64" t="str">
        <f>IFERROR(__xludf.DUMMYFUNCTION("""COMPUTED_VALUE"""),"OPERATIVO DGT")</f>
        <v>OPERATIVO DGT</v>
      </c>
      <c r="AC99" s="64" t="str">
        <f>IFERROR(__xludf.DUMMYFUNCTION("""COMPUTED_VALUE"""),"OPERATIVO PMT")</f>
        <v>OPERATIVO PMT</v>
      </c>
      <c r="AD99" s="64" t="str">
        <f>IFERROR(__xludf.DUMMYFUNCTION("""COMPUTED_VALUE"""),"APOYO A DIGEF")</f>
        <v>APOYO A DIGEF</v>
      </c>
      <c r="AE99" s="64" t="str">
        <f>IFERROR(__xludf.DUMMYFUNCTION("""COMPUTED_VALUE"""),"OPERATIVO PNC TRANSITO")</f>
        <v>OPERATIVO PNC TRANSITO</v>
      </c>
      <c r="AF99" s="64" t="str">
        <f>IFERROR(__xludf.DUMMYFUNCTION("""COMPUTED_VALUE"""),"SOBRECARGA ")</f>
        <v>SOBRECARGA </v>
      </c>
      <c r="AG99" s="64" t="str">
        <f>IFERROR(__xludf.DUMMYFUNCTION("""COMPUTED_VALUE"""),"OPERATIVO EN CONJUNTO")</f>
        <v>OPERATIVO EN CONJUNTO</v>
      </c>
      <c r="AH99" s="64" t="str">
        <f>IFERROR(__xludf.DUMMYFUNCTION("""COMPUTED_VALUE"""),"PUESTO DE ATENCION AL USUARIO")</f>
        <v>PUESTO DE ATENCION AL USUARIO</v>
      </c>
      <c r="AI99" s="64" t="str">
        <f>IFERROR(__xludf.DUMMYFUNCTION("""COMPUTED_VALUE"""),"INCENDIO EN RUTA")</f>
        <v>INCENDIO EN RUTA</v>
      </c>
      <c r="AJ99" s="64" t="str">
        <f>IFERROR(__xludf.DUMMYFUNCTION("""COMPUTED_VALUE"""),"APOYO ANTORCHA ")</f>
        <v>APOYO ANTORCHA </v>
      </c>
    </row>
    <row r="100">
      <c r="B100" s="64" t="s">
        <v>54</v>
      </c>
      <c r="C100" s="64" t="str">
        <f>IFERROR(__xludf.DUMMYFUNCTION(" TRANSPOSE( unique ( QUERY(DATOPRO,""select Col2 where Col1 = '""&amp;B100&amp;""'"")))"),"PINCHAZO")</f>
        <v>PINCHAZO</v>
      </c>
      <c r="D100" s="64" t="str">
        <f>IFERROR(__xludf.DUMMYFUNCTION("""COMPUTED_VALUE"""),"TRABAJOS DE CARRETERA")</f>
        <v>TRABAJOS DE CARRETERA</v>
      </c>
      <c r="E100" s="64" t="str">
        <f>IFERROR(__xludf.DUMMYFUNCTION("""COMPUTED_VALUE"""),"CONSIGNACIÓN")</f>
        <v>CONSIGNACIÓN</v>
      </c>
      <c r="F100" s="64" t="str">
        <f>IFERROR(__xludf.DUMMYFUNCTION("""COMPUTED_VALUE"""),"DERRAME")</f>
        <v>DERRAME</v>
      </c>
      <c r="G100" s="64" t="str">
        <f>IFERROR(__xludf.DUMMYFUNCTION("""COMPUTED_VALUE"""),"CALENTAMIENTO")</f>
        <v>CALENTAMIENTO</v>
      </c>
      <c r="H100" s="64" t="str">
        <f>IFERROR(__xludf.DUMMYFUNCTION("""COMPUTED_VALUE"""),"ESCOLTANDO")</f>
        <v>ESCOLTANDO</v>
      </c>
      <c r="I100" s="64" t="str">
        <f>IFERROR(__xludf.DUMMYFUNCTION("""COMPUTED_VALUE"""),"FALTA DE COMBUSTIBLE")</f>
        <v>FALTA DE COMBUSTIBLE</v>
      </c>
      <c r="J100" s="64" t="str">
        <f>IFERROR(__xludf.DUMMYFUNCTION("""COMPUTED_VALUE"""),"DESPERFECTOS MECÁNICOS")</f>
        <v>DESPERFECTOS MECÁNICOS</v>
      </c>
      <c r="K100" s="64" t="str">
        <f>IFERROR(__xludf.DUMMYFUNCTION("""COMPUTED_VALUE"""),"LLAMADA DE ATENCIÓN")</f>
        <v>LLAMADA DE ATENCIÓN</v>
      </c>
      <c r="L100" s="64" t="str">
        <f>IFERROR(__xludf.DUMMYFUNCTION("""COMPUTED_VALUE"""),"OPERATIVOS")</f>
        <v>OPERATIVOS</v>
      </c>
      <c r="M100" s="64" t="str">
        <f>IFERROR(__xludf.DUMMYFUNCTION("""COMPUTED_VALUE"""),"SANCIÓN")</f>
        <v>SANCIÓN</v>
      </c>
      <c r="N100" s="64" t="str">
        <f>IFERROR(__xludf.DUMMYFUNCTION("""COMPUTED_VALUE"""),"SISTEMA ELECTRICO")</f>
        <v>SISTEMA ELECTRICO</v>
      </c>
      <c r="O100" s="64" t="str">
        <f>IFERROR(__xludf.DUMMYFUNCTION("""COMPUTED_VALUE"""),"ASISTENCIA AL USUARIO")</f>
        <v>ASISTENCIA AL USUARIO</v>
      </c>
      <c r="P100" s="64" t="str">
        <f>IFERROR(__xludf.DUMMYFUNCTION("""COMPUTED_VALUE"""),"DOBLE REMOLQUE")</f>
        <v>DOBLE REMOLQUE</v>
      </c>
      <c r="Q100" s="64" t="str">
        <f>IFERROR(__xludf.DUMMYFUNCTION("""COMPUTED_VALUE"""),"SINAPRESE")</f>
        <v>SINAPRESE</v>
      </c>
      <c r="R100" s="64" t="str">
        <f>IFERROR(__xludf.DUMMYFUNCTION("""COMPUTED_VALUE"""),"APOYO ATLETISMO")</f>
        <v>APOYO ATLETISMO</v>
      </c>
      <c r="S100" s="64" t="str">
        <f>IFERROR(__xludf.DUMMYFUNCTION("""COMPUTED_VALUE"""),"APOYO A CICLISMO")</f>
        <v>APOYO A CICLISMO</v>
      </c>
      <c r="T100" s="64" t="str">
        <f>IFERROR(__xludf.DUMMYFUNCTION("""COMPUTED_VALUE"""),"DESCARGA DE BATERÍA")</f>
        <v>DESCARGA DE BATERÍA</v>
      </c>
      <c r="U100" s="64" t="str">
        <f>IFERROR(__xludf.DUMMYFUNCTION("""COMPUTED_VALUE"""),"PROBLEMAS DE SALUD")</f>
        <v>PROBLEMAS DE SALUD</v>
      </c>
      <c r="V100" s="64" t="str">
        <f>IFERROR(__xludf.DUMMYFUNCTION("""COMPUTED_VALUE"""),"OLVIDO LA LLAVE")</f>
        <v>OLVIDO LA LLAVE</v>
      </c>
      <c r="W100" s="64" t="str">
        <f>IFERROR(__xludf.DUMMYFUNCTION("""COMPUTED_VALUE"""),"CARGA SOBREDIMENSIONADA")</f>
        <v>CARGA SOBREDIMENSIONADA</v>
      </c>
      <c r="X100" s="64" t="str">
        <f>IFERROR(__xludf.DUMMYFUNCTION("""COMPUTED_VALUE"""),"VEHÍCULO ABANDONADO")</f>
        <v>VEHÍCULO ABANDONADO</v>
      </c>
      <c r="Y100" s="64" t="str">
        <f>IFERROR(__xludf.DUMMYFUNCTION("""COMPUTED_VALUE"""),"DESPRENDIMIENTO")</f>
        <v>DESPRENDIMIENTO</v>
      </c>
      <c r="Z100" s="64" t="str">
        <f>IFERROR(__xludf.DUMMYFUNCTION("""COMPUTED_VALUE"""),"CAÍDA DE POSTE")</f>
        <v>CAÍDA DE POSTE</v>
      </c>
      <c r="AA100" s="64" t="str">
        <f>IFERROR(__xludf.DUMMYFUNCTION("""COMPUTED_VALUE"""),"CAÍDA DE RAMA")</f>
        <v>CAÍDA DE RAMA</v>
      </c>
      <c r="AB100" s="64" t="str">
        <f>IFERROR(__xludf.DUMMYFUNCTION("""COMPUTED_VALUE"""),"OPERATIVO DGT")</f>
        <v>OPERATIVO DGT</v>
      </c>
      <c r="AC100" s="64" t="str">
        <f>IFERROR(__xludf.DUMMYFUNCTION("""COMPUTED_VALUE"""),"OPERATIVO PMT")</f>
        <v>OPERATIVO PMT</v>
      </c>
      <c r="AD100" s="64" t="str">
        <f>IFERROR(__xludf.DUMMYFUNCTION("""COMPUTED_VALUE"""),"APOYO A DIGEF")</f>
        <v>APOYO A DIGEF</v>
      </c>
      <c r="AE100" s="64" t="str">
        <f>IFERROR(__xludf.DUMMYFUNCTION("""COMPUTED_VALUE"""),"OPERATIVO PNC TRANSITO")</f>
        <v>OPERATIVO PNC TRANSITO</v>
      </c>
      <c r="AF100" s="64" t="str">
        <f>IFERROR(__xludf.DUMMYFUNCTION("""COMPUTED_VALUE"""),"SOBRECARGA ")</f>
        <v>SOBRECARGA </v>
      </c>
      <c r="AG100" s="64" t="str">
        <f>IFERROR(__xludf.DUMMYFUNCTION("""COMPUTED_VALUE"""),"OPERATIVO EN CONJUNTO")</f>
        <v>OPERATIVO EN CONJUNTO</v>
      </c>
      <c r="AH100" s="64" t="str">
        <f>IFERROR(__xludf.DUMMYFUNCTION("""COMPUTED_VALUE"""),"PUESTO DE ATENCION AL USUARIO")</f>
        <v>PUESTO DE ATENCION AL USUARIO</v>
      </c>
      <c r="AI100" s="64" t="str">
        <f>IFERROR(__xludf.DUMMYFUNCTION("""COMPUTED_VALUE"""),"INCENDIO EN RUTA")</f>
        <v>INCENDIO EN RUTA</v>
      </c>
      <c r="AJ100" s="64" t="str">
        <f>IFERROR(__xludf.DUMMYFUNCTION("""COMPUTED_VALUE"""),"APOYO ANTORCHA ")</f>
        <v>APOYO ANTORCHA </v>
      </c>
    </row>
    <row r="101">
      <c r="B101" s="64" t="s">
        <v>38</v>
      </c>
      <c r="C101" s="64" t="str">
        <f>IFERROR(__xludf.DUMMYFUNCTION(" TRANSPOSE( unique ( QUERY(DATOPRO,""select Col2 where Col1 = '""&amp;B101&amp;""'"")))"),"ATAQUE ARMADO")</f>
        <v>ATAQUE ARMADO</v>
      </c>
      <c r="D101" s="64" t="str">
        <f>IFERROR(__xludf.DUMMYFUNCTION("""COMPUTED_VALUE"""),"DESBALANCE DE CARGA")</f>
        <v>DESBALANCE DE CARGA</v>
      </c>
      <c r="E101" s="64" t="str">
        <f>IFERROR(__xludf.DUMMYFUNCTION("""COMPUTED_VALUE"""),"PERSONA FALLECIDA")</f>
        <v>PERSONA FALLECIDA</v>
      </c>
      <c r="F101" s="64" t="str">
        <f>IFERROR(__xludf.DUMMYFUNCTION("""COMPUTED_VALUE"""),"DESPRENDIMIENTO DE NEUMATICO")</f>
        <v>DESPRENDIMIENTO DE NEUMATICO</v>
      </c>
      <c r="G101" s="64" t="str">
        <f>IFERROR(__xludf.DUMMYFUNCTION("""COMPUTED_VALUE"""),"SALIDA DE PISTA")</f>
        <v>SALIDA DE PISTA</v>
      </c>
      <c r="H101" s="64" t="str">
        <f>IFERROR(__xludf.DUMMYFUNCTION("""COMPUTED_VALUE"""),"DESPRENDIMIENTO DE CONTENEDOR")</f>
        <v>DESPRENDIMIENTO DE CONTENEDOR</v>
      </c>
      <c r="I101" s="64" t="str">
        <f>IFERROR(__xludf.DUMMYFUNCTION("""COMPUTED_VALUE"""),"CAÍDA DE CARGA")</f>
        <v>CAÍDA DE CARGA</v>
      </c>
      <c r="J101" s="64" t="str">
        <f>IFERROR(__xludf.DUMMYFUNCTION("""COMPUTED_VALUE"""),"CHOQUE")</f>
        <v>CHOQUE</v>
      </c>
      <c r="K101" s="64" t="str">
        <f>IFERROR(__xludf.DUMMYFUNCTION("""COMPUTED_VALUE"""),"COLISIÓN")</f>
        <v>COLISIÓN</v>
      </c>
      <c r="L101" s="64" t="str">
        <f>IFERROR(__xludf.DUMMYFUNCTION("""COMPUTED_VALUE"""),"COLISIÓN MÚLTIPLE")</f>
        <v>COLISIÓN MÚLTIPLE</v>
      </c>
      <c r="M101" s="64" t="str">
        <f>IFERROR(__xludf.DUMMYFUNCTION("""COMPUTED_VALUE"""),"DERRAPE")</f>
        <v>DERRAPE</v>
      </c>
      <c r="N101" s="64" t="str">
        <f>IFERROR(__xludf.DUMMYFUNCTION("""COMPUTED_VALUE"""),"VEHÍCULO INCENDIADO")</f>
        <v>VEHÍCULO INCENDIADO</v>
      </c>
      <c r="O101" s="64" t="str">
        <f>IFERROR(__xludf.DUMMYFUNCTION("""COMPUTED_VALUE"""),"VUELCO")</f>
        <v>VUELCO</v>
      </c>
      <c r="P101" s="64" t="str">
        <f>IFERROR(__xludf.DUMMYFUNCTION("""COMPUTED_VALUE"""),"DESPRENDIMIENTO")</f>
        <v>DESPRENDIMIENTO</v>
      </c>
      <c r="Q101" s="64" t="str">
        <f>IFERROR(__xludf.DUMMYFUNCTION("""COMPUTED_VALUE"""),"CAÍDA DE ÁRBOL")</f>
        <v>CAÍDA DE ÁRBOL</v>
      </c>
      <c r="R101" s="64" t="str">
        <f>IFERROR(__xludf.DUMMYFUNCTION("""COMPUTED_VALUE"""),"DESPRENDIMIENTO DE EJE")</f>
        <v>DESPRENDIMIENTO DE EJE</v>
      </c>
      <c r="S101" s="64" t="str">
        <f>IFERROR(__xludf.DUMMYFUNCTION("""COMPUTED_VALUE"""),"PERSONA ATROPELLADA")</f>
        <v>PERSONA ATROPELLADA</v>
      </c>
    </row>
    <row r="102">
      <c r="B102" s="64" t="s">
        <v>54</v>
      </c>
      <c r="C102" s="64" t="str">
        <f>IFERROR(__xludf.DUMMYFUNCTION(" TRANSPOSE( unique ( QUERY(DATOPRO,""select Col2 where Col1 = '""&amp;B102&amp;""'"")))"),"PINCHAZO")</f>
        <v>PINCHAZO</v>
      </c>
      <c r="D102" s="64" t="str">
        <f>IFERROR(__xludf.DUMMYFUNCTION("""COMPUTED_VALUE"""),"TRABAJOS DE CARRETERA")</f>
        <v>TRABAJOS DE CARRETERA</v>
      </c>
      <c r="E102" s="64" t="str">
        <f>IFERROR(__xludf.DUMMYFUNCTION("""COMPUTED_VALUE"""),"CONSIGNACIÓN")</f>
        <v>CONSIGNACIÓN</v>
      </c>
      <c r="F102" s="64" t="str">
        <f>IFERROR(__xludf.DUMMYFUNCTION("""COMPUTED_VALUE"""),"DERRAME")</f>
        <v>DERRAME</v>
      </c>
      <c r="G102" s="64" t="str">
        <f>IFERROR(__xludf.DUMMYFUNCTION("""COMPUTED_VALUE"""),"CALENTAMIENTO")</f>
        <v>CALENTAMIENTO</v>
      </c>
      <c r="H102" s="64" t="str">
        <f>IFERROR(__xludf.DUMMYFUNCTION("""COMPUTED_VALUE"""),"ESCOLTANDO")</f>
        <v>ESCOLTANDO</v>
      </c>
      <c r="I102" s="64" t="str">
        <f>IFERROR(__xludf.DUMMYFUNCTION("""COMPUTED_VALUE"""),"FALTA DE COMBUSTIBLE")</f>
        <v>FALTA DE COMBUSTIBLE</v>
      </c>
      <c r="J102" s="64" t="str">
        <f>IFERROR(__xludf.DUMMYFUNCTION("""COMPUTED_VALUE"""),"DESPERFECTOS MECÁNICOS")</f>
        <v>DESPERFECTOS MECÁNICOS</v>
      </c>
      <c r="K102" s="64" t="str">
        <f>IFERROR(__xludf.DUMMYFUNCTION("""COMPUTED_VALUE"""),"LLAMADA DE ATENCIÓN")</f>
        <v>LLAMADA DE ATENCIÓN</v>
      </c>
      <c r="L102" s="64" t="str">
        <f>IFERROR(__xludf.DUMMYFUNCTION("""COMPUTED_VALUE"""),"OPERATIVOS")</f>
        <v>OPERATIVOS</v>
      </c>
      <c r="M102" s="64" t="str">
        <f>IFERROR(__xludf.DUMMYFUNCTION("""COMPUTED_VALUE"""),"SANCIÓN")</f>
        <v>SANCIÓN</v>
      </c>
      <c r="N102" s="64" t="str">
        <f>IFERROR(__xludf.DUMMYFUNCTION("""COMPUTED_VALUE"""),"SISTEMA ELECTRICO")</f>
        <v>SISTEMA ELECTRICO</v>
      </c>
      <c r="O102" s="64" t="str">
        <f>IFERROR(__xludf.DUMMYFUNCTION("""COMPUTED_VALUE"""),"ASISTENCIA AL USUARIO")</f>
        <v>ASISTENCIA AL USUARIO</v>
      </c>
      <c r="P102" s="64" t="str">
        <f>IFERROR(__xludf.DUMMYFUNCTION("""COMPUTED_VALUE"""),"DOBLE REMOLQUE")</f>
        <v>DOBLE REMOLQUE</v>
      </c>
      <c r="Q102" s="64" t="str">
        <f>IFERROR(__xludf.DUMMYFUNCTION("""COMPUTED_VALUE"""),"SINAPRESE")</f>
        <v>SINAPRESE</v>
      </c>
      <c r="R102" s="64" t="str">
        <f>IFERROR(__xludf.DUMMYFUNCTION("""COMPUTED_VALUE"""),"APOYO ATLETISMO")</f>
        <v>APOYO ATLETISMO</v>
      </c>
      <c r="S102" s="64" t="str">
        <f>IFERROR(__xludf.DUMMYFUNCTION("""COMPUTED_VALUE"""),"APOYO A CICLISMO")</f>
        <v>APOYO A CICLISMO</v>
      </c>
      <c r="T102" s="64" t="str">
        <f>IFERROR(__xludf.DUMMYFUNCTION("""COMPUTED_VALUE"""),"DESCARGA DE BATERÍA")</f>
        <v>DESCARGA DE BATERÍA</v>
      </c>
      <c r="U102" s="64" t="str">
        <f>IFERROR(__xludf.DUMMYFUNCTION("""COMPUTED_VALUE"""),"PROBLEMAS DE SALUD")</f>
        <v>PROBLEMAS DE SALUD</v>
      </c>
      <c r="V102" s="64" t="str">
        <f>IFERROR(__xludf.DUMMYFUNCTION("""COMPUTED_VALUE"""),"OLVIDO LA LLAVE")</f>
        <v>OLVIDO LA LLAVE</v>
      </c>
      <c r="W102" s="64" t="str">
        <f>IFERROR(__xludf.DUMMYFUNCTION("""COMPUTED_VALUE"""),"CARGA SOBREDIMENSIONADA")</f>
        <v>CARGA SOBREDIMENSIONADA</v>
      </c>
      <c r="X102" s="64" t="str">
        <f>IFERROR(__xludf.DUMMYFUNCTION("""COMPUTED_VALUE"""),"VEHÍCULO ABANDONADO")</f>
        <v>VEHÍCULO ABANDONADO</v>
      </c>
      <c r="Y102" s="64" t="str">
        <f>IFERROR(__xludf.DUMMYFUNCTION("""COMPUTED_VALUE"""),"DESPRENDIMIENTO")</f>
        <v>DESPRENDIMIENTO</v>
      </c>
      <c r="Z102" s="64" t="str">
        <f>IFERROR(__xludf.DUMMYFUNCTION("""COMPUTED_VALUE"""),"CAÍDA DE POSTE")</f>
        <v>CAÍDA DE POSTE</v>
      </c>
      <c r="AA102" s="64" t="str">
        <f>IFERROR(__xludf.DUMMYFUNCTION("""COMPUTED_VALUE"""),"CAÍDA DE RAMA")</f>
        <v>CAÍDA DE RAMA</v>
      </c>
      <c r="AB102" s="64" t="str">
        <f>IFERROR(__xludf.DUMMYFUNCTION("""COMPUTED_VALUE"""),"OPERATIVO DGT")</f>
        <v>OPERATIVO DGT</v>
      </c>
      <c r="AC102" s="64" t="str">
        <f>IFERROR(__xludf.DUMMYFUNCTION("""COMPUTED_VALUE"""),"OPERATIVO PMT")</f>
        <v>OPERATIVO PMT</v>
      </c>
      <c r="AD102" s="64" t="str">
        <f>IFERROR(__xludf.DUMMYFUNCTION("""COMPUTED_VALUE"""),"APOYO A DIGEF")</f>
        <v>APOYO A DIGEF</v>
      </c>
      <c r="AE102" s="64" t="str">
        <f>IFERROR(__xludf.DUMMYFUNCTION("""COMPUTED_VALUE"""),"OPERATIVO PNC TRANSITO")</f>
        <v>OPERATIVO PNC TRANSITO</v>
      </c>
      <c r="AF102" s="64" t="str">
        <f>IFERROR(__xludf.DUMMYFUNCTION("""COMPUTED_VALUE"""),"SOBRECARGA ")</f>
        <v>SOBRECARGA </v>
      </c>
      <c r="AG102" s="64" t="str">
        <f>IFERROR(__xludf.DUMMYFUNCTION("""COMPUTED_VALUE"""),"OPERATIVO EN CONJUNTO")</f>
        <v>OPERATIVO EN CONJUNTO</v>
      </c>
      <c r="AH102" s="64" t="str">
        <f>IFERROR(__xludf.DUMMYFUNCTION("""COMPUTED_VALUE"""),"PUESTO DE ATENCION AL USUARIO")</f>
        <v>PUESTO DE ATENCION AL USUARIO</v>
      </c>
      <c r="AI102" s="64" t="str">
        <f>IFERROR(__xludf.DUMMYFUNCTION("""COMPUTED_VALUE"""),"INCENDIO EN RUTA")</f>
        <v>INCENDIO EN RUTA</v>
      </c>
      <c r="AJ102" s="64" t="str">
        <f>IFERROR(__xludf.DUMMYFUNCTION("""COMPUTED_VALUE"""),"APOYO ANTORCHA ")</f>
        <v>APOYO ANTORCHA </v>
      </c>
    </row>
    <row r="103">
      <c r="B103" s="64" t="s">
        <v>54</v>
      </c>
      <c r="C103" s="64" t="str">
        <f>IFERROR(__xludf.DUMMYFUNCTION(" TRANSPOSE( unique ( QUERY(DATOPRO,""select Col2 where Col1 = '""&amp;B103&amp;""'"")))"),"PINCHAZO")</f>
        <v>PINCHAZO</v>
      </c>
      <c r="D103" s="64" t="str">
        <f>IFERROR(__xludf.DUMMYFUNCTION("""COMPUTED_VALUE"""),"TRABAJOS DE CARRETERA")</f>
        <v>TRABAJOS DE CARRETERA</v>
      </c>
      <c r="E103" s="64" t="str">
        <f>IFERROR(__xludf.DUMMYFUNCTION("""COMPUTED_VALUE"""),"CONSIGNACIÓN")</f>
        <v>CONSIGNACIÓN</v>
      </c>
      <c r="F103" s="64" t="str">
        <f>IFERROR(__xludf.DUMMYFUNCTION("""COMPUTED_VALUE"""),"DERRAME")</f>
        <v>DERRAME</v>
      </c>
      <c r="G103" s="64" t="str">
        <f>IFERROR(__xludf.DUMMYFUNCTION("""COMPUTED_VALUE"""),"CALENTAMIENTO")</f>
        <v>CALENTAMIENTO</v>
      </c>
      <c r="H103" s="64" t="str">
        <f>IFERROR(__xludf.DUMMYFUNCTION("""COMPUTED_VALUE"""),"ESCOLTANDO")</f>
        <v>ESCOLTANDO</v>
      </c>
      <c r="I103" s="64" t="str">
        <f>IFERROR(__xludf.DUMMYFUNCTION("""COMPUTED_VALUE"""),"FALTA DE COMBUSTIBLE")</f>
        <v>FALTA DE COMBUSTIBLE</v>
      </c>
      <c r="J103" s="64" t="str">
        <f>IFERROR(__xludf.DUMMYFUNCTION("""COMPUTED_VALUE"""),"DESPERFECTOS MECÁNICOS")</f>
        <v>DESPERFECTOS MECÁNICOS</v>
      </c>
      <c r="K103" s="64" t="str">
        <f>IFERROR(__xludf.DUMMYFUNCTION("""COMPUTED_VALUE"""),"LLAMADA DE ATENCIÓN")</f>
        <v>LLAMADA DE ATENCIÓN</v>
      </c>
      <c r="L103" s="64" t="str">
        <f>IFERROR(__xludf.DUMMYFUNCTION("""COMPUTED_VALUE"""),"OPERATIVOS")</f>
        <v>OPERATIVOS</v>
      </c>
      <c r="M103" s="64" t="str">
        <f>IFERROR(__xludf.DUMMYFUNCTION("""COMPUTED_VALUE"""),"SANCIÓN")</f>
        <v>SANCIÓN</v>
      </c>
      <c r="N103" s="64" t="str">
        <f>IFERROR(__xludf.DUMMYFUNCTION("""COMPUTED_VALUE"""),"SISTEMA ELECTRICO")</f>
        <v>SISTEMA ELECTRICO</v>
      </c>
      <c r="O103" s="64" t="str">
        <f>IFERROR(__xludf.DUMMYFUNCTION("""COMPUTED_VALUE"""),"ASISTENCIA AL USUARIO")</f>
        <v>ASISTENCIA AL USUARIO</v>
      </c>
      <c r="P103" s="64" t="str">
        <f>IFERROR(__xludf.DUMMYFUNCTION("""COMPUTED_VALUE"""),"DOBLE REMOLQUE")</f>
        <v>DOBLE REMOLQUE</v>
      </c>
      <c r="Q103" s="64" t="str">
        <f>IFERROR(__xludf.DUMMYFUNCTION("""COMPUTED_VALUE"""),"SINAPRESE")</f>
        <v>SINAPRESE</v>
      </c>
      <c r="R103" s="64" t="str">
        <f>IFERROR(__xludf.DUMMYFUNCTION("""COMPUTED_VALUE"""),"APOYO ATLETISMO")</f>
        <v>APOYO ATLETISMO</v>
      </c>
      <c r="S103" s="64" t="str">
        <f>IFERROR(__xludf.DUMMYFUNCTION("""COMPUTED_VALUE"""),"APOYO A CICLISMO")</f>
        <v>APOYO A CICLISMO</v>
      </c>
      <c r="T103" s="64" t="str">
        <f>IFERROR(__xludf.DUMMYFUNCTION("""COMPUTED_VALUE"""),"DESCARGA DE BATERÍA")</f>
        <v>DESCARGA DE BATERÍA</v>
      </c>
      <c r="U103" s="64" t="str">
        <f>IFERROR(__xludf.DUMMYFUNCTION("""COMPUTED_VALUE"""),"PROBLEMAS DE SALUD")</f>
        <v>PROBLEMAS DE SALUD</v>
      </c>
      <c r="V103" s="64" t="str">
        <f>IFERROR(__xludf.DUMMYFUNCTION("""COMPUTED_VALUE"""),"OLVIDO LA LLAVE")</f>
        <v>OLVIDO LA LLAVE</v>
      </c>
      <c r="W103" s="64" t="str">
        <f>IFERROR(__xludf.DUMMYFUNCTION("""COMPUTED_VALUE"""),"CARGA SOBREDIMENSIONADA")</f>
        <v>CARGA SOBREDIMENSIONADA</v>
      </c>
      <c r="X103" s="64" t="str">
        <f>IFERROR(__xludf.DUMMYFUNCTION("""COMPUTED_VALUE"""),"VEHÍCULO ABANDONADO")</f>
        <v>VEHÍCULO ABANDONADO</v>
      </c>
      <c r="Y103" s="64" t="str">
        <f>IFERROR(__xludf.DUMMYFUNCTION("""COMPUTED_VALUE"""),"DESPRENDIMIENTO")</f>
        <v>DESPRENDIMIENTO</v>
      </c>
      <c r="Z103" s="64" t="str">
        <f>IFERROR(__xludf.DUMMYFUNCTION("""COMPUTED_VALUE"""),"CAÍDA DE POSTE")</f>
        <v>CAÍDA DE POSTE</v>
      </c>
      <c r="AA103" s="64" t="str">
        <f>IFERROR(__xludf.DUMMYFUNCTION("""COMPUTED_VALUE"""),"CAÍDA DE RAMA")</f>
        <v>CAÍDA DE RAMA</v>
      </c>
      <c r="AB103" s="64" t="str">
        <f>IFERROR(__xludf.DUMMYFUNCTION("""COMPUTED_VALUE"""),"OPERATIVO DGT")</f>
        <v>OPERATIVO DGT</v>
      </c>
      <c r="AC103" s="64" t="str">
        <f>IFERROR(__xludf.DUMMYFUNCTION("""COMPUTED_VALUE"""),"OPERATIVO PMT")</f>
        <v>OPERATIVO PMT</v>
      </c>
      <c r="AD103" s="64" t="str">
        <f>IFERROR(__xludf.DUMMYFUNCTION("""COMPUTED_VALUE"""),"APOYO A DIGEF")</f>
        <v>APOYO A DIGEF</v>
      </c>
      <c r="AE103" s="64" t="str">
        <f>IFERROR(__xludf.DUMMYFUNCTION("""COMPUTED_VALUE"""),"OPERATIVO PNC TRANSITO")</f>
        <v>OPERATIVO PNC TRANSITO</v>
      </c>
      <c r="AF103" s="64" t="str">
        <f>IFERROR(__xludf.DUMMYFUNCTION("""COMPUTED_VALUE"""),"SOBRECARGA ")</f>
        <v>SOBRECARGA </v>
      </c>
      <c r="AG103" s="64" t="str">
        <f>IFERROR(__xludf.DUMMYFUNCTION("""COMPUTED_VALUE"""),"OPERATIVO EN CONJUNTO")</f>
        <v>OPERATIVO EN CONJUNTO</v>
      </c>
      <c r="AH103" s="64" t="str">
        <f>IFERROR(__xludf.DUMMYFUNCTION("""COMPUTED_VALUE"""),"PUESTO DE ATENCION AL USUARIO")</f>
        <v>PUESTO DE ATENCION AL USUARIO</v>
      </c>
      <c r="AI103" s="64" t="str">
        <f>IFERROR(__xludf.DUMMYFUNCTION("""COMPUTED_VALUE"""),"INCENDIO EN RUTA")</f>
        <v>INCENDIO EN RUTA</v>
      </c>
      <c r="AJ103" s="64" t="str">
        <f>IFERROR(__xludf.DUMMYFUNCTION("""COMPUTED_VALUE"""),"APOYO ANTORCHA ")</f>
        <v>APOYO ANTORCHA </v>
      </c>
    </row>
    <row r="104">
      <c r="B104" s="64" t="s">
        <v>54</v>
      </c>
      <c r="C104" s="64" t="str">
        <f>IFERROR(__xludf.DUMMYFUNCTION(" TRANSPOSE( unique ( QUERY(DATOPRO,""select Col2 where Col1 = '""&amp;B104&amp;""'"")))"),"PINCHAZO")</f>
        <v>PINCHAZO</v>
      </c>
      <c r="D104" s="64" t="str">
        <f>IFERROR(__xludf.DUMMYFUNCTION("""COMPUTED_VALUE"""),"TRABAJOS DE CARRETERA")</f>
        <v>TRABAJOS DE CARRETERA</v>
      </c>
      <c r="E104" s="64" t="str">
        <f>IFERROR(__xludf.DUMMYFUNCTION("""COMPUTED_VALUE"""),"CONSIGNACIÓN")</f>
        <v>CONSIGNACIÓN</v>
      </c>
      <c r="F104" s="64" t="str">
        <f>IFERROR(__xludf.DUMMYFUNCTION("""COMPUTED_VALUE"""),"DERRAME")</f>
        <v>DERRAME</v>
      </c>
      <c r="G104" s="64" t="str">
        <f>IFERROR(__xludf.DUMMYFUNCTION("""COMPUTED_VALUE"""),"CALENTAMIENTO")</f>
        <v>CALENTAMIENTO</v>
      </c>
      <c r="H104" s="64" t="str">
        <f>IFERROR(__xludf.DUMMYFUNCTION("""COMPUTED_VALUE"""),"ESCOLTANDO")</f>
        <v>ESCOLTANDO</v>
      </c>
      <c r="I104" s="64" t="str">
        <f>IFERROR(__xludf.DUMMYFUNCTION("""COMPUTED_VALUE"""),"FALTA DE COMBUSTIBLE")</f>
        <v>FALTA DE COMBUSTIBLE</v>
      </c>
      <c r="J104" s="64" t="str">
        <f>IFERROR(__xludf.DUMMYFUNCTION("""COMPUTED_VALUE"""),"DESPERFECTOS MECÁNICOS")</f>
        <v>DESPERFECTOS MECÁNICOS</v>
      </c>
      <c r="K104" s="64" t="str">
        <f>IFERROR(__xludf.DUMMYFUNCTION("""COMPUTED_VALUE"""),"LLAMADA DE ATENCIÓN")</f>
        <v>LLAMADA DE ATENCIÓN</v>
      </c>
      <c r="L104" s="64" t="str">
        <f>IFERROR(__xludf.DUMMYFUNCTION("""COMPUTED_VALUE"""),"OPERATIVOS")</f>
        <v>OPERATIVOS</v>
      </c>
      <c r="M104" s="64" t="str">
        <f>IFERROR(__xludf.DUMMYFUNCTION("""COMPUTED_VALUE"""),"SANCIÓN")</f>
        <v>SANCIÓN</v>
      </c>
      <c r="N104" s="64" t="str">
        <f>IFERROR(__xludf.DUMMYFUNCTION("""COMPUTED_VALUE"""),"SISTEMA ELECTRICO")</f>
        <v>SISTEMA ELECTRICO</v>
      </c>
      <c r="O104" s="64" t="str">
        <f>IFERROR(__xludf.DUMMYFUNCTION("""COMPUTED_VALUE"""),"ASISTENCIA AL USUARIO")</f>
        <v>ASISTENCIA AL USUARIO</v>
      </c>
      <c r="P104" s="64" t="str">
        <f>IFERROR(__xludf.DUMMYFUNCTION("""COMPUTED_VALUE"""),"DOBLE REMOLQUE")</f>
        <v>DOBLE REMOLQUE</v>
      </c>
      <c r="Q104" s="64" t="str">
        <f>IFERROR(__xludf.DUMMYFUNCTION("""COMPUTED_VALUE"""),"SINAPRESE")</f>
        <v>SINAPRESE</v>
      </c>
      <c r="R104" s="64" t="str">
        <f>IFERROR(__xludf.DUMMYFUNCTION("""COMPUTED_VALUE"""),"APOYO ATLETISMO")</f>
        <v>APOYO ATLETISMO</v>
      </c>
      <c r="S104" s="64" t="str">
        <f>IFERROR(__xludf.DUMMYFUNCTION("""COMPUTED_VALUE"""),"APOYO A CICLISMO")</f>
        <v>APOYO A CICLISMO</v>
      </c>
      <c r="T104" s="64" t="str">
        <f>IFERROR(__xludf.DUMMYFUNCTION("""COMPUTED_VALUE"""),"DESCARGA DE BATERÍA")</f>
        <v>DESCARGA DE BATERÍA</v>
      </c>
      <c r="U104" s="64" t="str">
        <f>IFERROR(__xludf.DUMMYFUNCTION("""COMPUTED_VALUE"""),"PROBLEMAS DE SALUD")</f>
        <v>PROBLEMAS DE SALUD</v>
      </c>
      <c r="V104" s="64" t="str">
        <f>IFERROR(__xludf.DUMMYFUNCTION("""COMPUTED_VALUE"""),"OLVIDO LA LLAVE")</f>
        <v>OLVIDO LA LLAVE</v>
      </c>
      <c r="W104" s="64" t="str">
        <f>IFERROR(__xludf.DUMMYFUNCTION("""COMPUTED_VALUE"""),"CARGA SOBREDIMENSIONADA")</f>
        <v>CARGA SOBREDIMENSIONADA</v>
      </c>
      <c r="X104" s="64" t="str">
        <f>IFERROR(__xludf.DUMMYFUNCTION("""COMPUTED_VALUE"""),"VEHÍCULO ABANDONADO")</f>
        <v>VEHÍCULO ABANDONADO</v>
      </c>
      <c r="Y104" s="64" t="str">
        <f>IFERROR(__xludf.DUMMYFUNCTION("""COMPUTED_VALUE"""),"DESPRENDIMIENTO")</f>
        <v>DESPRENDIMIENTO</v>
      </c>
      <c r="Z104" s="64" t="str">
        <f>IFERROR(__xludf.DUMMYFUNCTION("""COMPUTED_VALUE"""),"CAÍDA DE POSTE")</f>
        <v>CAÍDA DE POSTE</v>
      </c>
      <c r="AA104" s="64" t="str">
        <f>IFERROR(__xludf.DUMMYFUNCTION("""COMPUTED_VALUE"""),"CAÍDA DE RAMA")</f>
        <v>CAÍDA DE RAMA</v>
      </c>
      <c r="AB104" s="64" t="str">
        <f>IFERROR(__xludf.DUMMYFUNCTION("""COMPUTED_VALUE"""),"OPERATIVO DGT")</f>
        <v>OPERATIVO DGT</v>
      </c>
      <c r="AC104" s="64" t="str">
        <f>IFERROR(__xludf.DUMMYFUNCTION("""COMPUTED_VALUE"""),"OPERATIVO PMT")</f>
        <v>OPERATIVO PMT</v>
      </c>
      <c r="AD104" s="64" t="str">
        <f>IFERROR(__xludf.DUMMYFUNCTION("""COMPUTED_VALUE"""),"APOYO A DIGEF")</f>
        <v>APOYO A DIGEF</v>
      </c>
      <c r="AE104" s="64" t="str">
        <f>IFERROR(__xludf.DUMMYFUNCTION("""COMPUTED_VALUE"""),"OPERATIVO PNC TRANSITO")</f>
        <v>OPERATIVO PNC TRANSITO</v>
      </c>
      <c r="AF104" s="64" t="str">
        <f>IFERROR(__xludf.DUMMYFUNCTION("""COMPUTED_VALUE"""),"SOBRECARGA ")</f>
        <v>SOBRECARGA </v>
      </c>
      <c r="AG104" s="64" t="str">
        <f>IFERROR(__xludf.DUMMYFUNCTION("""COMPUTED_VALUE"""),"OPERATIVO EN CONJUNTO")</f>
        <v>OPERATIVO EN CONJUNTO</v>
      </c>
      <c r="AH104" s="64" t="str">
        <f>IFERROR(__xludf.DUMMYFUNCTION("""COMPUTED_VALUE"""),"PUESTO DE ATENCION AL USUARIO")</f>
        <v>PUESTO DE ATENCION AL USUARIO</v>
      </c>
      <c r="AI104" s="64" t="str">
        <f>IFERROR(__xludf.DUMMYFUNCTION("""COMPUTED_VALUE"""),"INCENDIO EN RUTA")</f>
        <v>INCENDIO EN RUTA</v>
      </c>
      <c r="AJ104" s="64" t="str">
        <f>IFERROR(__xludf.DUMMYFUNCTION("""COMPUTED_VALUE"""),"APOYO ANTORCHA ")</f>
        <v>APOYO ANTORCHA </v>
      </c>
    </row>
    <row r="105">
      <c r="B105" s="64" t="s">
        <v>54</v>
      </c>
      <c r="C105" s="64" t="str">
        <f>IFERROR(__xludf.DUMMYFUNCTION(" TRANSPOSE( unique ( QUERY(DATOPRO,""select Col2 where Col1 = '""&amp;B105&amp;""'"")))"),"PINCHAZO")</f>
        <v>PINCHAZO</v>
      </c>
      <c r="D105" s="64" t="str">
        <f>IFERROR(__xludf.DUMMYFUNCTION("""COMPUTED_VALUE"""),"TRABAJOS DE CARRETERA")</f>
        <v>TRABAJOS DE CARRETERA</v>
      </c>
      <c r="E105" s="64" t="str">
        <f>IFERROR(__xludf.DUMMYFUNCTION("""COMPUTED_VALUE"""),"CONSIGNACIÓN")</f>
        <v>CONSIGNACIÓN</v>
      </c>
      <c r="F105" s="64" t="str">
        <f>IFERROR(__xludf.DUMMYFUNCTION("""COMPUTED_VALUE"""),"DERRAME")</f>
        <v>DERRAME</v>
      </c>
      <c r="G105" s="64" t="str">
        <f>IFERROR(__xludf.DUMMYFUNCTION("""COMPUTED_VALUE"""),"CALENTAMIENTO")</f>
        <v>CALENTAMIENTO</v>
      </c>
      <c r="H105" s="64" t="str">
        <f>IFERROR(__xludf.DUMMYFUNCTION("""COMPUTED_VALUE"""),"ESCOLTANDO")</f>
        <v>ESCOLTANDO</v>
      </c>
      <c r="I105" s="64" t="str">
        <f>IFERROR(__xludf.DUMMYFUNCTION("""COMPUTED_VALUE"""),"FALTA DE COMBUSTIBLE")</f>
        <v>FALTA DE COMBUSTIBLE</v>
      </c>
      <c r="J105" s="64" t="str">
        <f>IFERROR(__xludf.DUMMYFUNCTION("""COMPUTED_VALUE"""),"DESPERFECTOS MECÁNICOS")</f>
        <v>DESPERFECTOS MECÁNICOS</v>
      </c>
      <c r="K105" s="64" t="str">
        <f>IFERROR(__xludf.DUMMYFUNCTION("""COMPUTED_VALUE"""),"LLAMADA DE ATENCIÓN")</f>
        <v>LLAMADA DE ATENCIÓN</v>
      </c>
      <c r="L105" s="64" t="str">
        <f>IFERROR(__xludf.DUMMYFUNCTION("""COMPUTED_VALUE"""),"OPERATIVOS")</f>
        <v>OPERATIVOS</v>
      </c>
      <c r="M105" s="64" t="str">
        <f>IFERROR(__xludf.DUMMYFUNCTION("""COMPUTED_VALUE"""),"SANCIÓN")</f>
        <v>SANCIÓN</v>
      </c>
      <c r="N105" s="64" t="str">
        <f>IFERROR(__xludf.DUMMYFUNCTION("""COMPUTED_VALUE"""),"SISTEMA ELECTRICO")</f>
        <v>SISTEMA ELECTRICO</v>
      </c>
      <c r="O105" s="64" t="str">
        <f>IFERROR(__xludf.DUMMYFUNCTION("""COMPUTED_VALUE"""),"ASISTENCIA AL USUARIO")</f>
        <v>ASISTENCIA AL USUARIO</v>
      </c>
      <c r="P105" s="64" t="str">
        <f>IFERROR(__xludf.DUMMYFUNCTION("""COMPUTED_VALUE"""),"DOBLE REMOLQUE")</f>
        <v>DOBLE REMOLQUE</v>
      </c>
      <c r="Q105" s="64" t="str">
        <f>IFERROR(__xludf.DUMMYFUNCTION("""COMPUTED_VALUE"""),"SINAPRESE")</f>
        <v>SINAPRESE</v>
      </c>
      <c r="R105" s="64" t="str">
        <f>IFERROR(__xludf.DUMMYFUNCTION("""COMPUTED_VALUE"""),"APOYO ATLETISMO")</f>
        <v>APOYO ATLETISMO</v>
      </c>
      <c r="S105" s="64" t="str">
        <f>IFERROR(__xludf.DUMMYFUNCTION("""COMPUTED_VALUE"""),"APOYO A CICLISMO")</f>
        <v>APOYO A CICLISMO</v>
      </c>
      <c r="T105" s="64" t="str">
        <f>IFERROR(__xludf.DUMMYFUNCTION("""COMPUTED_VALUE"""),"DESCARGA DE BATERÍA")</f>
        <v>DESCARGA DE BATERÍA</v>
      </c>
      <c r="U105" s="64" t="str">
        <f>IFERROR(__xludf.DUMMYFUNCTION("""COMPUTED_VALUE"""),"PROBLEMAS DE SALUD")</f>
        <v>PROBLEMAS DE SALUD</v>
      </c>
      <c r="V105" s="64" t="str">
        <f>IFERROR(__xludf.DUMMYFUNCTION("""COMPUTED_VALUE"""),"OLVIDO LA LLAVE")</f>
        <v>OLVIDO LA LLAVE</v>
      </c>
      <c r="W105" s="64" t="str">
        <f>IFERROR(__xludf.DUMMYFUNCTION("""COMPUTED_VALUE"""),"CARGA SOBREDIMENSIONADA")</f>
        <v>CARGA SOBREDIMENSIONADA</v>
      </c>
      <c r="X105" s="64" t="str">
        <f>IFERROR(__xludf.DUMMYFUNCTION("""COMPUTED_VALUE"""),"VEHÍCULO ABANDONADO")</f>
        <v>VEHÍCULO ABANDONADO</v>
      </c>
      <c r="Y105" s="64" t="str">
        <f>IFERROR(__xludf.DUMMYFUNCTION("""COMPUTED_VALUE"""),"DESPRENDIMIENTO")</f>
        <v>DESPRENDIMIENTO</v>
      </c>
      <c r="Z105" s="64" t="str">
        <f>IFERROR(__xludf.DUMMYFUNCTION("""COMPUTED_VALUE"""),"CAÍDA DE POSTE")</f>
        <v>CAÍDA DE POSTE</v>
      </c>
      <c r="AA105" s="64" t="str">
        <f>IFERROR(__xludf.DUMMYFUNCTION("""COMPUTED_VALUE"""),"CAÍDA DE RAMA")</f>
        <v>CAÍDA DE RAMA</v>
      </c>
      <c r="AB105" s="64" t="str">
        <f>IFERROR(__xludf.DUMMYFUNCTION("""COMPUTED_VALUE"""),"OPERATIVO DGT")</f>
        <v>OPERATIVO DGT</v>
      </c>
      <c r="AC105" s="64" t="str">
        <f>IFERROR(__xludf.DUMMYFUNCTION("""COMPUTED_VALUE"""),"OPERATIVO PMT")</f>
        <v>OPERATIVO PMT</v>
      </c>
      <c r="AD105" s="64" t="str">
        <f>IFERROR(__xludf.DUMMYFUNCTION("""COMPUTED_VALUE"""),"APOYO A DIGEF")</f>
        <v>APOYO A DIGEF</v>
      </c>
      <c r="AE105" s="64" t="str">
        <f>IFERROR(__xludf.DUMMYFUNCTION("""COMPUTED_VALUE"""),"OPERATIVO PNC TRANSITO")</f>
        <v>OPERATIVO PNC TRANSITO</v>
      </c>
      <c r="AF105" s="64" t="str">
        <f>IFERROR(__xludf.DUMMYFUNCTION("""COMPUTED_VALUE"""),"SOBRECARGA ")</f>
        <v>SOBRECARGA </v>
      </c>
      <c r="AG105" s="64" t="str">
        <f>IFERROR(__xludf.DUMMYFUNCTION("""COMPUTED_VALUE"""),"OPERATIVO EN CONJUNTO")</f>
        <v>OPERATIVO EN CONJUNTO</v>
      </c>
      <c r="AH105" s="64" t="str">
        <f>IFERROR(__xludf.DUMMYFUNCTION("""COMPUTED_VALUE"""),"PUESTO DE ATENCION AL USUARIO")</f>
        <v>PUESTO DE ATENCION AL USUARIO</v>
      </c>
      <c r="AI105" s="64" t="str">
        <f>IFERROR(__xludf.DUMMYFUNCTION("""COMPUTED_VALUE"""),"INCENDIO EN RUTA")</f>
        <v>INCENDIO EN RUTA</v>
      </c>
      <c r="AJ105" s="64" t="str">
        <f>IFERROR(__xludf.DUMMYFUNCTION("""COMPUTED_VALUE"""),"APOYO ANTORCHA ")</f>
        <v>APOYO ANTORCHA </v>
      </c>
    </row>
    <row r="106">
      <c r="B106" s="64" t="s">
        <v>38</v>
      </c>
      <c r="C106" s="64" t="str">
        <f>IFERROR(__xludf.DUMMYFUNCTION(" TRANSPOSE( unique ( QUERY(DATOPRO,""select Col2 where Col1 = '""&amp;B106&amp;""'"")))"),"ATAQUE ARMADO")</f>
        <v>ATAQUE ARMADO</v>
      </c>
      <c r="D106" s="64" t="str">
        <f>IFERROR(__xludf.DUMMYFUNCTION("""COMPUTED_VALUE"""),"DESBALANCE DE CARGA")</f>
        <v>DESBALANCE DE CARGA</v>
      </c>
      <c r="E106" s="64" t="str">
        <f>IFERROR(__xludf.DUMMYFUNCTION("""COMPUTED_VALUE"""),"PERSONA FALLECIDA")</f>
        <v>PERSONA FALLECIDA</v>
      </c>
      <c r="F106" s="64" t="str">
        <f>IFERROR(__xludf.DUMMYFUNCTION("""COMPUTED_VALUE"""),"DESPRENDIMIENTO DE NEUMATICO")</f>
        <v>DESPRENDIMIENTO DE NEUMATICO</v>
      </c>
      <c r="G106" s="64" t="str">
        <f>IFERROR(__xludf.DUMMYFUNCTION("""COMPUTED_VALUE"""),"SALIDA DE PISTA")</f>
        <v>SALIDA DE PISTA</v>
      </c>
      <c r="H106" s="64" t="str">
        <f>IFERROR(__xludf.DUMMYFUNCTION("""COMPUTED_VALUE"""),"DESPRENDIMIENTO DE CONTENEDOR")</f>
        <v>DESPRENDIMIENTO DE CONTENEDOR</v>
      </c>
      <c r="I106" s="64" t="str">
        <f>IFERROR(__xludf.DUMMYFUNCTION("""COMPUTED_VALUE"""),"CAÍDA DE CARGA")</f>
        <v>CAÍDA DE CARGA</v>
      </c>
      <c r="J106" s="64" t="str">
        <f>IFERROR(__xludf.DUMMYFUNCTION("""COMPUTED_VALUE"""),"CHOQUE")</f>
        <v>CHOQUE</v>
      </c>
      <c r="K106" s="64" t="str">
        <f>IFERROR(__xludf.DUMMYFUNCTION("""COMPUTED_VALUE"""),"COLISIÓN")</f>
        <v>COLISIÓN</v>
      </c>
      <c r="L106" s="64" t="str">
        <f>IFERROR(__xludf.DUMMYFUNCTION("""COMPUTED_VALUE"""),"COLISIÓN MÚLTIPLE")</f>
        <v>COLISIÓN MÚLTIPLE</v>
      </c>
      <c r="M106" s="64" t="str">
        <f>IFERROR(__xludf.DUMMYFUNCTION("""COMPUTED_VALUE"""),"DERRAPE")</f>
        <v>DERRAPE</v>
      </c>
      <c r="N106" s="64" t="str">
        <f>IFERROR(__xludf.DUMMYFUNCTION("""COMPUTED_VALUE"""),"VEHÍCULO INCENDIADO")</f>
        <v>VEHÍCULO INCENDIADO</v>
      </c>
      <c r="O106" s="64" t="str">
        <f>IFERROR(__xludf.DUMMYFUNCTION("""COMPUTED_VALUE"""),"VUELCO")</f>
        <v>VUELCO</v>
      </c>
      <c r="P106" s="64" t="str">
        <f>IFERROR(__xludf.DUMMYFUNCTION("""COMPUTED_VALUE"""),"DESPRENDIMIENTO")</f>
        <v>DESPRENDIMIENTO</v>
      </c>
      <c r="Q106" s="64" t="str">
        <f>IFERROR(__xludf.DUMMYFUNCTION("""COMPUTED_VALUE"""),"CAÍDA DE ÁRBOL")</f>
        <v>CAÍDA DE ÁRBOL</v>
      </c>
      <c r="R106" s="64" t="str">
        <f>IFERROR(__xludf.DUMMYFUNCTION("""COMPUTED_VALUE"""),"DESPRENDIMIENTO DE EJE")</f>
        <v>DESPRENDIMIENTO DE EJE</v>
      </c>
      <c r="S106" s="64" t="str">
        <f>IFERROR(__xludf.DUMMYFUNCTION("""COMPUTED_VALUE"""),"PERSONA ATROPELLADA")</f>
        <v>PERSONA ATROPELLADA</v>
      </c>
    </row>
    <row r="107">
      <c r="B107" s="64"/>
      <c r="C107" s="64" t="str">
        <f>IFERROR(__xludf.DUMMYFUNCTION(" TRANSPOSE( unique ( QUERY(DATOPRO,""select Col2 where Col1 = '""&amp;B107&amp;""'"")))"),"")</f>
        <v/>
      </c>
    </row>
    <row r="108">
      <c r="B108" s="64" t="s">
        <v>38</v>
      </c>
      <c r="C108" s="64" t="str">
        <f>IFERROR(__xludf.DUMMYFUNCTION(" TRANSPOSE( unique ( QUERY(DATOPRO,""select Col2 where Col1 = '""&amp;B108&amp;""'"")))"),"ATAQUE ARMADO")</f>
        <v>ATAQUE ARMADO</v>
      </c>
      <c r="D108" s="64" t="str">
        <f>IFERROR(__xludf.DUMMYFUNCTION("""COMPUTED_VALUE"""),"DESBALANCE DE CARGA")</f>
        <v>DESBALANCE DE CARGA</v>
      </c>
      <c r="E108" s="64" t="str">
        <f>IFERROR(__xludf.DUMMYFUNCTION("""COMPUTED_VALUE"""),"PERSONA FALLECIDA")</f>
        <v>PERSONA FALLECIDA</v>
      </c>
      <c r="F108" s="64" t="str">
        <f>IFERROR(__xludf.DUMMYFUNCTION("""COMPUTED_VALUE"""),"DESPRENDIMIENTO DE NEUMATICO")</f>
        <v>DESPRENDIMIENTO DE NEUMATICO</v>
      </c>
      <c r="G108" s="64" t="str">
        <f>IFERROR(__xludf.DUMMYFUNCTION("""COMPUTED_VALUE"""),"SALIDA DE PISTA")</f>
        <v>SALIDA DE PISTA</v>
      </c>
      <c r="H108" s="64" t="str">
        <f>IFERROR(__xludf.DUMMYFUNCTION("""COMPUTED_VALUE"""),"DESPRENDIMIENTO DE CONTENEDOR")</f>
        <v>DESPRENDIMIENTO DE CONTENEDOR</v>
      </c>
      <c r="I108" s="64" t="str">
        <f>IFERROR(__xludf.DUMMYFUNCTION("""COMPUTED_VALUE"""),"CAÍDA DE CARGA")</f>
        <v>CAÍDA DE CARGA</v>
      </c>
      <c r="J108" s="64" t="str">
        <f>IFERROR(__xludf.DUMMYFUNCTION("""COMPUTED_VALUE"""),"CHOQUE")</f>
        <v>CHOQUE</v>
      </c>
      <c r="K108" s="64" t="str">
        <f>IFERROR(__xludf.DUMMYFUNCTION("""COMPUTED_VALUE"""),"COLISIÓN")</f>
        <v>COLISIÓN</v>
      </c>
      <c r="L108" s="64" t="str">
        <f>IFERROR(__xludf.DUMMYFUNCTION("""COMPUTED_VALUE"""),"COLISIÓN MÚLTIPLE")</f>
        <v>COLISIÓN MÚLTIPLE</v>
      </c>
      <c r="M108" s="64" t="str">
        <f>IFERROR(__xludf.DUMMYFUNCTION("""COMPUTED_VALUE"""),"DERRAPE")</f>
        <v>DERRAPE</v>
      </c>
      <c r="N108" s="64" t="str">
        <f>IFERROR(__xludf.DUMMYFUNCTION("""COMPUTED_VALUE"""),"VEHÍCULO INCENDIADO")</f>
        <v>VEHÍCULO INCENDIADO</v>
      </c>
      <c r="O108" s="64" t="str">
        <f>IFERROR(__xludf.DUMMYFUNCTION("""COMPUTED_VALUE"""),"VUELCO")</f>
        <v>VUELCO</v>
      </c>
      <c r="P108" s="64" t="str">
        <f>IFERROR(__xludf.DUMMYFUNCTION("""COMPUTED_VALUE"""),"DESPRENDIMIENTO")</f>
        <v>DESPRENDIMIENTO</v>
      </c>
      <c r="Q108" s="64" t="str">
        <f>IFERROR(__xludf.DUMMYFUNCTION("""COMPUTED_VALUE"""),"CAÍDA DE ÁRBOL")</f>
        <v>CAÍDA DE ÁRBOL</v>
      </c>
      <c r="R108" s="64" t="str">
        <f>IFERROR(__xludf.DUMMYFUNCTION("""COMPUTED_VALUE"""),"DESPRENDIMIENTO DE EJE")</f>
        <v>DESPRENDIMIENTO DE EJE</v>
      </c>
      <c r="S108" s="64" t="str">
        <f>IFERROR(__xludf.DUMMYFUNCTION("""COMPUTED_VALUE"""),"PERSONA ATROPELLADA")</f>
        <v>PERSONA ATROPELLADA</v>
      </c>
    </row>
    <row r="109">
      <c r="B109" s="64" t="s">
        <v>54</v>
      </c>
      <c r="C109" s="64" t="str">
        <f>IFERROR(__xludf.DUMMYFUNCTION(" TRANSPOSE( unique ( QUERY(DATOPRO,""select Col2 where Col1 = '""&amp;B109&amp;""'"")))"),"PINCHAZO")</f>
        <v>PINCHAZO</v>
      </c>
      <c r="D109" s="64" t="str">
        <f>IFERROR(__xludf.DUMMYFUNCTION("""COMPUTED_VALUE"""),"TRABAJOS DE CARRETERA")</f>
        <v>TRABAJOS DE CARRETERA</v>
      </c>
      <c r="E109" s="64" t="str">
        <f>IFERROR(__xludf.DUMMYFUNCTION("""COMPUTED_VALUE"""),"CONSIGNACIÓN")</f>
        <v>CONSIGNACIÓN</v>
      </c>
      <c r="F109" s="64" t="str">
        <f>IFERROR(__xludf.DUMMYFUNCTION("""COMPUTED_VALUE"""),"DERRAME")</f>
        <v>DERRAME</v>
      </c>
      <c r="G109" s="64" t="str">
        <f>IFERROR(__xludf.DUMMYFUNCTION("""COMPUTED_VALUE"""),"CALENTAMIENTO")</f>
        <v>CALENTAMIENTO</v>
      </c>
      <c r="H109" s="64" t="str">
        <f>IFERROR(__xludf.DUMMYFUNCTION("""COMPUTED_VALUE"""),"ESCOLTANDO")</f>
        <v>ESCOLTANDO</v>
      </c>
      <c r="I109" s="64" t="str">
        <f>IFERROR(__xludf.DUMMYFUNCTION("""COMPUTED_VALUE"""),"FALTA DE COMBUSTIBLE")</f>
        <v>FALTA DE COMBUSTIBLE</v>
      </c>
      <c r="J109" s="64" t="str">
        <f>IFERROR(__xludf.DUMMYFUNCTION("""COMPUTED_VALUE"""),"DESPERFECTOS MECÁNICOS")</f>
        <v>DESPERFECTOS MECÁNICOS</v>
      </c>
      <c r="K109" s="64" t="str">
        <f>IFERROR(__xludf.DUMMYFUNCTION("""COMPUTED_VALUE"""),"LLAMADA DE ATENCIÓN")</f>
        <v>LLAMADA DE ATENCIÓN</v>
      </c>
      <c r="L109" s="64" t="str">
        <f>IFERROR(__xludf.DUMMYFUNCTION("""COMPUTED_VALUE"""),"OPERATIVOS")</f>
        <v>OPERATIVOS</v>
      </c>
      <c r="M109" s="64" t="str">
        <f>IFERROR(__xludf.DUMMYFUNCTION("""COMPUTED_VALUE"""),"SANCIÓN")</f>
        <v>SANCIÓN</v>
      </c>
      <c r="N109" s="64" t="str">
        <f>IFERROR(__xludf.DUMMYFUNCTION("""COMPUTED_VALUE"""),"SISTEMA ELECTRICO")</f>
        <v>SISTEMA ELECTRICO</v>
      </c>
      <c r="O109" s="64" t="str">
        <f>IFERROR(__xludf.DUMMYFUNCTION("""COMPUTED_VALUE"""),"ASISTENCIA AL USUARIO")</f>
        <v>ASISTENCIA AL USUARIO</v>
      </c>
      <c r="P109" s="64" t="str">
        <f>IFERROR(__xludf.DUMMYFUNCTION("""COMPUTED_VALUE"""),"DOBLE REMOLQUE")</f>
        <v>DOBLE REMOLQUE</v>
      </c>
      <c r="Q109" s="64" t="str">
        <f>IFERROR(__xludf.DUMMYFUNCTION("""COMPUTED_VALUE"""),"SINAPRESE")</f>
        <v>SINAPRESE</v>
      </c>
      <c r="R109" s="64" t="str">
        <f>IFERROR(__xludf.DUMMYFUNCTION("""COMPUTED_VALUE"""),"APOYO ATLETISMO")</f>
        <v>APOYO ATLETISMO</v>
      </c>
      <c r="S109" s="64" t="str">
        <f>IFERROR(__xludf.DUMMYFUNCTION("""COMPUTED_VALUE"""),"APOYO A CICLISMO")</f>
        <v>APOYO A CICLISMO</v>
      </c>
      <c r="T109" s="64" t="str">
        <f>IFERROR(__xludf.DUMMYFUNCTION("""COMPUTED_VALUE"""),"DESCARGA DE BATERÍA")</f>
        <v>DESCARGA DE BATERÍA</v>
      </c>
      <c r="U109" s="64" t="str">
        <f>IFERROR(__xludf.DUMMYFUNCTION("""COMPUTED_VALUE"""),"PROBLEMAS DE SALUD")</f>
        <v>PROBLEMAS DE SALUD</v>
      </c>
      <c r="V109" s="64" t="str">
        <f>IFERROR(__xludf.DUMMYFUNCTION("""COMPUTED_VALUE"""),"OLVIDO LA LLAVE")</f>
        <v>OLVIDO LA LLAVE</v>
      </c>
      <c r="W109" s="64" t="str">
        <f>IFERROR(__xludf.DUMMYFUNCTION("""COMPUTED_VALUE"""),"CARGA SOBREDIMENSIONADA")</f>
        <v>CARGA SOBREDIMENSIONADA</v>
      </c>
      <c r="X109" s="64" t="str">
        <f>IFERROR(__xludf.DUMMYFUNCTION("""COMPUTED_VALUE"""),"VEHÍCULO ABANDONADO")</f>
        <v>VEHÍCULO ABANDONADO</v>
      </c>
      <c r="Y109" s="64" t="str">
        <f>IFERROR(__xludf.DUMMYFUNCTION("""COMPUTED_VALUE"""),"DESPRENDIMIENTO")</f>
        <v>DESPRENDIMIENTO</v>
      </c>
      <c r="Z109" s="64" t="str">
        <f>IFERROR(__xludf.DUMMYFUNCTION("""COMPUTED_VALUE"""),"CAÍDA DE POSTE")</f>
        <v>CAÍDA DE POSTE</v>
      </c>
      <c r="AA109" s="64" t="str">
        <f>IFERROR(__xludf.DUMMYFUNCTION("""COMPUTED_VALUE"""),"CAÍDA DE RAMA")</f>
        <v>CAÍDA DE RAMA</v>
      </c>
      <c r="AB109" s="64" t="str">
        <f>IFERROR(__xludf.DUMMYFUNCTION("""COMPUTED_VALUE"""),"OPERATIVO DGT")</f>
        <v>OPERATIVO DGT</v>
      </c>
      <c r="AC109" s="64" t="str">
        <f>IFERROR(__xludf.DUMMYFUNCTION("""COMPUTED_VALUE"""),"OPERATIVO PMT")</f>
        <v>OPERATIVO PMT</v>
      </c>
      <c r="AD109" s="64" t="str">
        <f>IFERROR(__xludf.DUMMYFUNCTION("""COMPUTED_VALUE"""),"APOYO A DIGEF")</f>
        <v>APOYO A DIGEF</v>
      </c>
      <c r="AE109" s="64" t="str">
        <f>IFERROR(__xludf.DUMMYFUNCTION("""COMPUTED_VALUE"""),"OPERATIVO PNC TRANSITO")</f>
        <v>OPERATIVO PNC TRANSITO</v>
      </c>
      <c r="AF109" s="64" t="str">
        <f>IFERROR(__xludf.DUMMYFUNCTION("""COMPUTED_VALUE"""),"SOBRECARGA ")</f>
        <v>SOBRECARGA </v>
      </c>
      <c r="AG109" s="64" t="str">
        <f>IFERROR(__xludf.DUMMYFUNCTION("""COMPUTED_VALUE"""),"OPERATIVO EN CONJUNTO")</f>
        <v>OPERATIVO EN CONJUNTO</v>
      </c>
      <c r="AH109" s="64" t="str">
        <f>IFERROR(__xludf.DUMMYFUNCTION("""COMPUTED_VALUE"""),"PUESTO DE ATENCION AL USUARIO")</f>
        <v>PUESTO DE ATENCION AL USUARIO</v>
      </c>
      <c r="AI109" s="64" t="str">
        <f>IFERROR(__xludf.DUMMYFUNCTION("""COMPUTED_VALUE"""),"INCENDIO EN RUTA")</f>
        <v>INCENDIO EN RUTA</v>
      </c>
      <c r="AJ109" s="64" t="str">
        <f>IFERROR(__xludf.DUMMYFUNCTION("""COMPUTED_VALUE"""),"APOYO ANTORCHA ")</f>
        <v>APOYO ANTORCHA </v>
      </c>
    </row>
    <row r="110">
      <c r="B110" s="64" t="s">
        <v>54</v>
      </c>
      <c r="C110" s="64" t="str">
        <f>IFERROR(__xludf.DUMMYFUNCTION(" TRANSPOSE( unique ( QUERY(DATOPRO,""select Col2 where Col1 = '""&amp;B110&amp;""'"")))"),"PINCHAZO")</f>
        <v>PINCHAZO</v>
      </c>
      <c r="D110" s="64" t="str">
        <f>IFERROR(__xludf.DUMMYFUNCTION("""COMPUTED_VALUE"""),"TRABAJOS DE CARRETERA")</f>
        <v>TRABAJOS DE CARRETERA</v>
      </c>
      <c r="E110" s="64" t="str">
        <f>IFERROR(__xludf.DUMMYFUNCTION("""COMPUTED_VALUE"""),"CONSIGNACIÓN")</f>
        <v>CONSIGNACIÓN</v>
      </c>
      <c r="F110" s="64" t="str">
        <f>IFERROR(__xludf.DUMMYFUNCTION("""COMPUTED_VALUE"""),"DERRAME")</f>
        <v>DERRAME</v>
      </c>
      <c r="G110" s="64" t="str">
        <f>IFERROR(__xludf.DUMMYFUNCTION("""COMPUTED_VALUE"""),"CALENTAMIENTO")</f>
        <v>CALENTAMIENTO</v>
      </c>
      <c r="H110" s="64" t="str">
        <f>IFERROR(__xludf.DUMMYFUNCTION("""COMPUTED_VALUE"""),"ESCOLTANDO")</f>
        <v>ESCOLTANDO</v>
      </c>
      <c r="I110" s="64" t="str">
        <f>IFERROR(__xludf.DUMMYFUNCTION("""COMPUTED_VALUE"""),"FALTA DE COMBUSTIBLE")</f>
        <v>FALTA DE COMBUSTIBLE</v>
      </c>
      <c r="J110" s="64" t="str">
        <f>IFERROR(__xludf.DUMMYFUNCTION("""COMPUTED_VALUE"""),"DESPERFECTOS MECÁNICOS")</f>
        <v>DESPERFECTOS MECÁNICOS</v>
      </c>
      <c r="K110" s="64" t="str">
        <f>IFERROR(__xludf.DUMMYFUNCTION("""COMPUTED_VALUE"""),"LLAMADA DE ATENCIÓN")</f>
        <v>LLAMADA DE ATENCIÓN</v>
      </c>
      <c r="L110" s="64" t="str">
        <f>IFERROR(__xludf.DUMMYFUNCTION("""COMPUTED_VALUE"""),"OPERATIVOS")</f>
        <v>OPERATIVOS</v>
      </c>
      <c r="M110" s="64" t="str">
        <f>IFERROR(__xludf.DUMMYFUNCTION("""COMPUTED_VALUE"""),"SANCIÓN")</f>
        <v>SANCIÓN</v>
      </c>
      <c r="N110" s="64" t="str">
        <f>IFERROR(__xludf.DUMMYFUNCTION("""COMPUTED_VALUE"""),"SISTEMA ELECTRICO")</f>
        <v>SISTEMA ELECTRICO</v>
      </c>
      <c r="O110" s="64" t="str">
        <f>IFERROR(__xludf.DUMMYFUNCTION("""COMPUTED_VALUE"""),"ASISTENCIA AL USUARIO")</f>
        <v>ASISTENCIA AL USUARIO</v>
      </c>
      <c r="P110" s="64" t="str">
        <f>IFERROR(__xludf.DUMMYFUNCTION("""COMPUTED_VALUE"""),"DOBLE REMOLQUE")</f>
        <v>DOBLE REMOLQUE</v>
      </c>
      <c r="Q110" s="64" t="str">
        <f>IFERROR(__xludf.DUMMYFUNCTION("""COMPUTED_VALUE"""),"SINAPRESE")</f>
        <v>SINAPRESE</v>
      </c>
      <c r="R110" s="64" t="str">
        <f>IFERROR(__xludf.DUMMYFUNCTION("""COMPUTED_VALUE"""),"APOYO ATLETISMO")</f>
        <v>APOYO ATLETISMO</v>
      </c>
      <c r="S110" s="64" t="str">
        <f>IFERROR(__xludf.DUMMYFUNCTION("""COMPUTED_VALUE"""),"APOYO A CICLISMO")</f>
        <v>APOYO A CICLISMO</v>
      </c>
      <c r="T110" s="64" t="str">
        <f>IFERROR(__xludf.DUMMYFUNCTION("""COMPUTED_VALUE"""),"DESCARGA DE BATERÍA")</f>
        <v>DESCARGA DE BATERÍA</v>
      </c>
      <c r="U110" s="64" t="str">
        <f>IFERROR(__xludf.DUMMYFUNCTION("""COMPUTED_VALUE"""),"PROBLEMAS DE SALUD")</f>
        <v>PROBLEMAS DE SALUD</v>
      </c>
      <c r="V110" s="64" t="str">
        <f>IFERROR(__xludf.DUMMYFUNCTION("""COMPUTED_VALUE"""),"OLVIDO LA LLAVE")</f>
        <v>OLVIDO LA LLAVE</v>
      </c>
      <c r="W110" s="64" t="str">
        <f>IFERROR(__xludf.DUMMYFUNCTION("""COMPUTED_VALUE"""),"CARGA SOBREDIMENSIONADA")</f>
        <v>CARGA SOBREDIMENSIONADA</v>
      </c>
      <c r="X110" s="64" t="str">
        <f>IFERROR(__xludf.DUMMYFUNCTION("""COMPUTED_VALUE"""),"VEHÍCULO ABANDONADO")</f>
        <v>VEHÍCULO ABANDONADO</v>
      </c>
      <c r="Y110" s="64" t="str">
        <f>IFERROR(__xludf.DUMMYFUNCTION("""COMPUTED_VALUE"""),"DESPRENDIMIENTO")</f>
        <v>DESPRENDIMIENTO</v>
      </c>
      <c r="Z110" s="64" t="str">
        <f>IFERROR(__xludf.DUMMYFUNCTION("""COMPUTED_VALUE"""),"CAÍDA DE POSTE")</f>
        <v>CAÍDA DE POSTE</v>
      </c>
      <c r="AA110" s="64" t="str">
        <f>IFERROR(__xludf.DUMMYFUNCTION("""COMPUTED_VALUE"""),"CAÍDA DE RAMA")</f>
        <v>CAÍDA DE RAMA</v>
      </c>
      <c r="AB110" s="64" t="str">
        <f>IFERROR(__xludf.DUMMYFUNCTION("""COMPUTED_VALUE"""),"OPERATIVO DGT")</f>
        <v>OPERATIVO DGT</v>
      </c>
      <c r="AC110" s="64" t="str">
        <f>IFERROR(__xludf.DUMMYFUNCTION("""COMPUTED_VALUE"""),"OPERATIVO PMT")</f>
        <v>OPERATIVO PMT</v>
      </c>
      <c r="AD110" s="64" t="str">
        <f>IFERROR(__xludf.DUMMYFUNCTION("""COMPUTED_VALUE"""),"APOYO A DIGEF")</f>
        <v>APOYO A DIGEF</v>
      </c>
      <c r="AE110" s="64" t="str">
        <f>IFERROR(__xludf.DUMMYFUNCTION("""COMPUTED_VALUE"""),"OPERATIVO PNC TRANSITO")</f>
        <v>OPERATIVO PNC TRANSITO</v>
      </c>
      <c r="AF110" s="64" t="str">
        <f>IFERROR(__xludf.DUMMYFUNCTION("""COMPUTED_VALUE"""),"SOBRECARGA ")</f>
        <v>SOBRECARGA </v>
      </c>
      <c r="AG110" s="64" t="str">
        <f>IFERROR(__xludf.DUMMYFUNCTION("""COMPUTED_VALUE"""),"OPERATIVO EN CONJUNTO")</f>
        <v>OPERATIVO EN CONJUNTO</v>
      </c>
      <c r="AH110" s="64" t="str">
        <f>IFERROR(__xludf.DUMMYFUNCTION("""COMPUTED_VALUE"""),"PUESTO DE ATENCION AL USUARIO")</f>
        <v>PUESTO DE ATENCION AL USUARIO</v>
      </c>
      <c r="AI110" s="64" t="str">
        <f>IFERROR(__xludf.DUMMYFUNCTION("""COMPUTED_VALUE"""),"INCENDIO EN RUTA")</f>
        <v>INCENDIO EN RUTA</v>
      </c>
      <c r="AJ110" s="64" t="str">
        <f>IFERROR(__xludf.DUMMYFUNCTION("""COMPUTED_VALUE"""),"APOYO ANTORCHA ")</f>
        <v>APOYO ANTORCHA </v>
      </c>
    </row>
    <row r="111">
      <c r="B111" s="64" t="s">
        <v>54</v>
      </c>
      <c r="C111" s="64" t="str">
        <f>IFERROR(__xludf.DUMMYFUNCTION(" TRANSPOSE( unique ( QUERY(DATOPRO,""select Col2 where Col1 = '""&amp;B111&amp;""'"")))"),"PINCHAZO")</f>
        <v>PINCHAZO</v>
      </c>
      <c r="D111" s="64" t="str">
        <f>IFERROR(__xludf.DUMMYFUNCTION("""COMPUTED_VALUE"""),"TRABAJOS DE CARRETERA")</f>
        <v>TRABAJOS DE CARRETERA</v>
      </c>
      <c r="E111" s="64" t="str">
        <f>IFERROR(__xludf.DUMMYFUNCTION("""COMPUTED_VALUE"""),"CONSIGNACIÓN")</f>
        <v>CONSIGNACIÓN</v>
      </c>
      <c r="F111" s="64" t="str">
        <f>IFERROR(__xludf.DUMMYFUNCTION("""COMPUTED_VALUE"""),"DERRAME")</f>
        <v>DERRAME</v>
      </c>
      <c r="G111" s="64" t="str">
        <f>IFERROR(__xludf.DUMMYFUNCTION("""COMPUTED_VALUE"""),"CALENTAMIENTO")</f>
        <v>CALENTAMIENTO</v>
      </c>
      <c r="H111" s="64" t="str">
        <f>IFERROR(__xludf.DUMMYFUNCTION("""COMPUTED_VALUE"""),"ESCOLTANDO")</f>
        <v>ESCOLTANDO</v>
      </c>
      <c r="I111" s="64" t="str">
        <f>IFERROR(__xludf.DUMMYFUNCTION("""COMPUTED_VALUE"""),"FALTA DE COMBUSTIBLE")</f>
        <v>FALTA DE COMBUSTIBLE</v>
      </c>
      <c r="J111" s="64" t="str">
        <f>IFERROR(__xludf.DUMMYFUNCTION("""COMPUTED_VALUE"""),"DESPERFECTOS MECÁNICOS")</f>
        <v>DESPERFECTOS MECÁNICOS</v>
      </c>
      <c r="K111" s="64" t="str">
        <f>IFERROR(__xludf.DUMMYFUNCTION("""COMPUTED_VALUE"""),"LLAMADA DE ATENCIÓN")</f>
        <v>LLAMADA DE ATENCIÓN</v>
      </c>
      <c r="L111" s="64" t="str">
        <f>IFERROR(__xludf.DUMMYFUNCTION("""COMPUTED_VALUE"""),"OPERATIVOS")</f>
        <v>OPERATIVOS</v>
      </c>
      <c r="M111" s="64" t="str">
        <f>IFERROR(__xludf.DUMMYFUNCTION("""COMPUTED_VALUE"""),"SANCIÓN")</f>
        <v>SANCIÓN</v>
      </c>
      <c r="N111" s="64" t="str">
        <f>IFERROR(__xludf.DUMMYFUNCTION("""COMPUTED_VALUE"""),"SISTEMA ELECTRICO")</f>
        <v>SISTEMA ELECTRICO</v>
      </c>
      <c r="O111" s="64" t="str">
        <f>IFERROR(__xludf.DUMMYFUNCTION("""COMPUTED_VALUE"""),"ASISTENCIA AL USUARIO")</f>
        <v>ASISTENCIA AL USUARIO</v>
      </c>
      <c r="P111" s="64" t="str">
        <f>IFERROR(__xludf.DUMMYFUNCTION("""COMPUTED_VALUE"""),"DOBLE REMOLQUE")</f>
        <v>DOBLE REMOLQUE</v>
      </c>
      <c r="Q111" s="64" t="str">
        <f>IFERROR(__xludf.DUMMYFUNCTION("""COMPUTED_VALUE"""),"SINAPRESE")</f>
        <v>SINAPRESE</v>
      </c>
      <c r="R111" s="64" t="str">
        <f>IFERROR(__xludf.DUMMYFUNCTION("""COMPUTED_VALUE"""),"APOYO ATLETISMO")</f>
        <v>APOYO ATLETISMO</v>
      </c>
      <c r="S111" s="64" t="str">
        <f>IFERROR(__xludf.DUMMYFUNCTION("""COMPUTED_VALUE"""),"APOYO A CICLISMO")</f>
        <v>APOYO A CICLISMO</v>
      </c>
      <c r="T111" s="64" t="str">
        <f>IFERROR(__xludf.DUMMYFUNCTION("""COMPUTED_VALUE"""),"DESCARGA DE BATERÍA")</f>
        <v>DESCARGA DE BATERÍA</v>
      </c>
      <c r="U111" s="64" t="str">
        <f>IFERROR(__xludf.DUMMYFUNCTION("""COMPUTED_VALUE"""),"PROBLEMAS DE SALUD")</f>
        <v>PROBLEMAS DE SALUD</v>
      </c>
      <c r="V111" s="64" t="str">
        <f>IFERROR(__xludf.DUMMYFUNCTION("""COMPUTED_VALUE"""),"OLVIDO LA LLAVE")</f>
        <v>OLVIDO LA LLAVE</v>
      </c>
      <c r="W111" s="64" t="str">
        <f>IFERROR(__xludf.DUMMYFUNCTION("""COMPUTED_VALUE"""),"CARGA SOBREDIMENSIONADA")</f>
        <v>CARGA SOBREDIMENSIONADA</v>
      </c>
      <c r="X111" s="64" t="str">
        <f>IFERROR(__xludf.DUMMYFUNCTION("""COMPUTED_VALUE"""),"VEHÍCULO ABANDONADO")</f>
        <v>VEHÍCULO ABANDONADO</v>
      </c>
      <c r="Y111" s="64" t="str">
        <f>IFERROR(__xludf.DUMMYFUNCTION("""COMPUTED_VALUE"""),"DESPRENDIMIENTO")</f>
        <v>DESPRENDIMIENTO</v>
      </c>
      <c r="Z111" s="64" t="str">
        <f>IFERROR(__xludf.DUMMYFUNCTION("""COMPUTED_VALUE"""),"CAÍDA DE POSTE")</f>
        <v>CAÍDA DE POSTE</v>
      </c>
      <c r="AA111" s="64" t="str">
        <f>IFERROR(__xludf.DUMMYFUNCTION("""COMPUTED_VALUE"""),"CAÍDA DE RAMA")</f>
        <v>CAÍDA DE RAMA</v>
      </c>
      <c r="AB111" s="64" t="str">
        <f>IFERROR(__xludf.DUMMYFUNCTION("""COMPUTED_VALUE"""),"OPERATIVO DGT")</f>
        <v>OPERATIVO DGT</v>
      </c>
      <c r="AC111" s="64" t="str">
        <f>IFERROR(__xludf.DUMMYFUNCTION("""COMPUTED_VALUE"""),"OPERATIVO PMT")</f>
        <v>OPERATIVO PMT</v>
      </c>
      <c r="AD111" s="64" t="str">
        <f>IFERROR(__xludf.DUMMYFUNCTION("""COMPUTED_VALUE"""),"APOYO A DIGEF")</f>
        <v>APOYO A DIGEF</v>
      </c>
      <c r="AE111" s="64" t="str">
        <f>IFERROR(__xludf.DUMMYFUNCTION("""COMPUTED_VALUE"""),"OPERATIVO PNC TRANSITO")</f>
        <v>OPERATIVO PNC TRANSITO</v>
      </c>
      <c r="AF111" s="64" t="str">
        <f>IFERROR(__xludf.DUMMYFUNCTION("""COMPUTED_VALUE"""),"SOBRECARGA ")</f>
        <v>SOBRECARGA </v>
      </c>
      <c r="AG111" s="64" t="str">
        <f>IFERROR(__xludf.DUMMYFUNCTION("""COMPUTED_VALUE"""),"OPERATIVO EN CONJUNTO")</f>
        <v>OPERATIVO EN CONJUNTO</v>
      </c>
      <c r="AH111" s="64" t="str">
        <f>IFERROR(__xludf.DUMMYFUNCTION("""COMPUTED_VALUE"""),"PUESTO DE ATENCION AL USUARIO")</f>
        <v>PUESTO DE ATENCION AL USUARIO</v>
      </c>
      <c r="AI111" s="64" t="str">
        <f>IFERROR(__xludf.DUMMYFUNCTION("""COMPUTED_VALUE"""),"INCENDIO EN RUTA")</f>
        <v>INCENDIO EN RUTA</v>
      </c>
      <c r="AJ111" s="64" t="str">
        <f>IFERROR(__xludf.DUMMYFUNCTION("""COMPUTED_VALUE"""),"APOYO ANTORCHA ")</f>
        <v>APOYO ANTORCHA </v>
      </c>
    </row>
    <row r="112">
      <c r="B112" s="64" t="s">
        <v>54</v>
      </c>
      <c r="C112" s="64" t="str">
        <f>IFERROR(__xludf.DUMMYFUNCTION(" TRANSPOSE( unique ( QUERY(DATOPRO,""select Col2 where Col1 = '""&amp;B112&amp;""'"")))"),"PINCHAZO")</f>
        <v>PINCHAZO</v>
      </c>
      <c r="D112" s="64" t="str">
        <f>IFERROR(__xludf.DUMMYFUNCTION("""COMPUTED_VALUE"""),"TRABAJOS DE CARRETERA")</f>
        <v>TRABAJOS DE CARRETERA</v>
      </c>
      <c r="E112" s="64" t="str">
        <f>IFERROR(__xludf.DUMMYFUNCTION("""COMPUTED_VALUE"""),"CONSIGNACIÓN")</f>
        <v>CONSIGNACIÓN</v>
      </c>
      <c r="F112" s="64" t="str">
        <f>IFERROR(__xludf.DUMMYFUNCTION("""COMPUTED_VALUE"""),"DERRAME")</f>
        <v>DERRAME</v>
      </c>
      <c r="G112" s="64" t="str">
        <f>IFERROR(__xludf.DUMMYFUNCTION("""COMPUTED_VALUE"""),"CALENTAMIENTO")</f>
        <v>CALENTAMIENTO</v>
      </c>
      <c r="H112" s="64" t="str">
        <f>IFERROR(__xludf.DUMMYFUNCTION("""COMPUTED_VALUE"""),"ESCOLTANDO")</f>
        <v>ESCOLTANDO</v>
      </c>
      <c r="I112" s="64" t="str">
        <f>IFERROR(__xludf.DUMMYFUNCTION("""COMPUTED_VALUE"""),"FALTA DE COMBUSTIBLE")</f>
        <v>FALTA DE COMBUSTIBLE</v>
      </c>
      <c r="J112" s="64" t="str">
        <f>IFERROR(__xludf.DUMMYFUNCTION("""COMPUTED_VALUE"""),"DESPERFECTOS MECÁNICOS")</f>
        <v>DESPERFECTOS MECÁNICOS</v>
      </c>
      <c r="K112" s="64" t="str">
        <f>IFERROR(__xludf.DUMMYFUNCTION("""COMPUTED_VALUE"""),"LLAMADA DE ATENCIÓN")</f>
        <v>LLAMADA DE ATENCIÓN</v>
      </c>
      <c r="L112" s="64" t="str">
        <f>IFERROR(__xludf.DUMMYFUNCTION("""COMPUTED_VALUE"""),"OPERATIVOS")</f>
        <v>OPERATIVOS</v>
      </c>
      <c r="M112" s="64" t="str">
        <f>IFERROR(__xludf.DUMMYFUNCTION("""COMPUTED_VALUE"""),"SANCIÓN")</f>
        <v>SANCIÓN</v>
      </c>
      <c r="N112" s="64" t="str">
        <f>IFERROR(__xludf.DUMMYFUNCTION("""COMPUTED_VALUE"""),"SISTEMA ELECTRICO")</f>
        <v>SISTEMA ELECTRICO</v>
      </c>
      <c r="O112" s="64" t="str">
        <f>IFERROR(__xludf.DUMMYFUNCTION("""COMPUTED_VALUE"""),"ASISTENCIA AL USUARIO")</f>
        <v>ASISTENCIA AL USUARIO</v>
      </c>
      <c r="P112" s="64" t="str">
        <f>IFERROR(__xludf.DUMMYFUNCTION("""COMPUTED_VALUE"""),"DOBLE REMOLQUE")</f>
        <v>DOBLE REMOLQUE</v>
      </c>
      <c r="Q112" s="64" t="str">
        <f>IFERROR(__xludf.DUMMYFUNCTION("""COMPUTED_VALUE"""),"SINAPRESE")</f>
        <v>SINAPRESE</v>
      </c>
      <c r="R112" s="64" t="str">
        <f>IFERROR(__xludf.DUMMYFUNCTION("""COMPUTED_VALUE"""),"APOYO ATLETISMO")</f>
        <v>APOYO ATLETISMO</v>
      </c>
      <c r="S112" s="64" t="str">
        <f>IFERROR(__xludf.DUMMYFUNCTION("""COMPUTED_VALUE"""),"APOYO A CICLISMO")</f>
        <v>APOYO A CICLISMO</v>
      </c>
      <c r="T112" s="64" t="str">
        <f>IFERROR(__xludf.DUMMYFUNCTION("""COMPUTED_VALUE"""),"DESCARGA DE BATERÍA")</f>
        <v>DESCARGA DE BATERÍA</v>
      </c>
      <c r="U112" s="64" t="str">
        <f>IFERROR(__xludf.DUMMYFUNCTION("""COMPUTED_VALUE"""),"PROBLEMAS DE SALUD")</f>
        <v>PROBLEMAS DE SALUD</v>
      </c>
      <c r="V112" s="64" t="str">
        <f>IFERROR(__xludf.DUMMYFUNCTION("""COMPUTED_VALUE"""),"OLVIDO LA LLAVE")</f>
        <v>OLVIDO LA LLAVE</v>
      </c>
      <c r="W112" s="64" t="str">
        <f>IFERROR(__xludf.DUMMYFUNCTION("""COMPUTED_VALUE"""),"CARGA SOBREDIMENSIONADA")</f>
        <v>CARGA SOBREDIMENSIONADA</v>
      </c>
      <c r="X112" s="64" t="str">
        <f>IFERROR(__xludf.DUMMYFUNCTION("""COMPUTED_VALUE"""),"VEHÍCULO ABANDONADO")</f>
        <v>VEHÍCULO ABANDONADO</v>
      </c>
      <c r="Y112" s="64" t="str">
        <f>IFERROR(__xludf.DUMMYFUNCTION("""COMPUTED_VALUE"""),"DESPRENDIMIENTO")</f>
        <v>DESPRENDIMIENTO</v>
      </c>
      <c r="Z112" s="64" t="str">
        <f>IFERROR(__xludf.DUMMYFUNCTION("""COMPUTED_VALUE"""),"CAÍDA DE POSTE")</f>
        <v>CAÍDA DE POSTE</v>
      </c>
      <c r="AA112" s="64" t="str">
        <f>IFERROR(__xludf.DUMMYFUNCTION("""COMPUTED_VALUE"""),"CAÍDA DE RAMA")</f>
        <v>CAÍDA DE RAMA</v>
      </c>
      <c r="AB112" s="64" t="str">
        <f>IFERROR(__xludf.DUMMYFUNCTION("""COMPUTED_VALUE"""),"OPERATIVO DGT")</f>
        <v>OPERATIVO DGT</v>
      </c>
      <c r="AC112" s="64" t="str">
        <f>IFERROR(__xludf.DUMMYFUNCTION("""COMPUTED_VALUE"""),"OPERATIVO PMT")</f>
        <v>OPERATIVO PMT</v>
      </c>
      <c r="AD112" s="64" t="str">
        <f>IFERROR(__xludf.DUMMYFUNCTION("""COMPUTED_VALUE"""),"APOYO A DIGEF")</f>
        <v>APOYO A DIGEF</v>
      </c>
      <c r="AE112" s="64" t="str">
        <f>IFERROR(__xludf.DUMMYFUNCTION("""COMPUTED_VALUE"""),"OPERATIVO PNC TRANSITO")</f>
        <v>OPERATIVO PNC TRANSITO</v>
      </c>
      <c r="AF112" s="64" t="str">
        <f>IFERROR(__xludf.DUMMYFUNCTION("""COMPUTED_VALUE"""),"SOBRECARGA ")</f>
        <v>SOBRECARGA </v>
      </c>
      <c r="AG112" s="64" t="str">
        <f>IFERROR(__xludf.DUMMYFUNCTION("""COMPUTED_VALUE"""),"OPERATIVO EN CONJUNTO")</f>
        <v>OPERATIVO EN CONJUNTO</v>
      </c>
      <c r="AH112" s="64" t="str">
        <f>IFERROR(__xludf.DUMMYFUNCTION("""COMPUTED_VALUE"""),"PUESTO DE ATENCION AL USUARIO")</f>
        <v>PUESTO DE ATENCION AL USUARIO</v>
      </c>
      <c r="AI112" s="64" t="str">
        <f>IFERROR(__xludf.DUMMYFUNCTION("""COMPUTED_VALUE"""),"INCENDIO EN RUTA")</f>
        <v>INCENDIO EN RUTA</v>
      </c>
      <c r="AJ112" s="64" t="str">
        <f>IFERROR(__xludf.DUMMYFUNCTION("""COMPUTED_VALUE"""),"APOYO ANTORCHA ")</f>
        <v>APOYO ANTORCHA </v>
      </c>
    </row>
    <row r="113">
      <c r="B113" s="64"/>
      <c r="C113" s="64" t="str">
        <f>IFERROR(__xludf.DUMMYFUNCTION(" TRANSPOSE( unique ( QUERY(DATOPRO,""select Col2 where Col1 = '""&amp;B113&amp;""'"")))"),"")</f>
        <v/>
      </c>
    </row>
    <row r="114">
      <c r="B114" s="64" t="s">
        <v>38</v>
      </c>
      <c r="C114" s="64" t="str">
        <f>IFERROR(__xludf.DUMMYFUNCTION(" TRANSPOSE( unique ( QUERY(DATOPRO,""select Col2 where Col1 = '""&amp;B114&amp;""'"")))"),"ATAQUE ARMADO")</f>
        <v>ATAQUE ARMADO</v>
      </c>
      <c r="D114" s="64" t="str">
        <f>IFERROR(__xludf.DUMMYFUNCTION("""COMPUTED_VALUE"""),"DESBALANCE DE CARGA")</f>
        <v>DESBALANCE DE CARGA</v>
      </c>
      <c r="E114" s="64" t="str">
        <f>IFERROR(__xludf.DUMMYFUNCTION("""COMPUTED_VALUE"""),"PERSONA FALLECIDA")</f>
        <v>PERSONA FALLECIDA</v>
      </c>
      <c r="F114" s="64" t="str">
        <f>IFERROR(__xludf.DUMMYFUNCTION("""COMPUTED_VALUE"""),"DESPRENDIMIENTO DE NEUMATICO")</f>
        <v>DESPRENDIMIENTO DE NEUMATICO</v>
      </c>
      <c r="G114" s="64" t="str">
        <f>IFERROR(__xludf.DUMMYFUNCTION("""COMPUTED_VALUE"""),"SALIDA DE PISTA")</f>
        <v>SALIDA DE PISTA</v>
      </c>
      <c r="H114" s="64" t="str">
        <f>IFERROR(__xludf.DUMMYFUNCTION("""COMPUTED_VALUE"""),"DESPRENDIMIENTO DE CONTENEDOR")</f>
        <v>DESPRENDIMIENTO DE CONTENEDOR</v>
      </c>
      <c r="I114" s="64" t="str">
        <f>IFERROR(__xludf.DUMMYFUNCTION("""COMPUTED_VALUE"""),"CAÍDA DE CARGA")</f>
        <v>CAÍDA DE CARGA</v>
      </c>
      <c r="J114" s="64" t="str">
        <f>IFERROR(__xludf.DUMMYFUNCTION("""COMPUTED_VALUE"""),"CHOQUE")</f>
        <v>CHOQUE</v>
      </c>
      <c r="K114" s="64" t="str">
        <f>IFERROR(__xludf.DUMMYFUNCTION("""COMPUTED_VALUE"""),"COLISIÓN")</f>
        <v>COLISIÓN</v>
      </c>
      <c r="L114" s="64" t="str">
        <f>IFERROR(__xludf.DUMMYFUNCTION("""COMPUTED_VALUE"""),"COLISIÓN MÚLTIPLE")</f>
        <v>COLISIÓN MÚLTIPLE</v>
      </c>
      <c r="M114" s="64" t="str">
        <f>IFERROR(__xludf.DUMMYFUNCTION("""COMPUTED_VALUE"""),"DERRAPE")</f>
        <v>DERRAPE</v>
      </c>
      <c r="N114" s="64" t="str">
        <f>IFERROR(__xludf.DUMMYFUNCTION("""COMPUTED_VALUE"""),"VEHÍCULO INCENDIADO")</f>
        <v>VEHÍCULO INCENDIADO</v>
      </c>
      <c r="O114" s="64" t="str">
        <f>IFERROR(__xludf.DUMMYFUNCTION("""COMPUTED_VALUE"""),"VUELCO")</f>
        <v>VUELCO</v>
      </c>
      <c r="P114" s="64" t="str">
        <f>IFERROR(__xludf.DUMMYFUNCTION("""COMPUTED_VALUE"""),"DESPRENDIMIENTO")</f>
        <v>DESPRENDIMIENTO</v>
      </c>
      <c r="Q114" s="64" t="str">
        <f>IFERROR(__xludf.DUMMYFUNCTION("""COMPUTED_VALUE"""),"CAÍDA DE ÁRBOL")</f>
        <v>CAÍDA DE ÁRBOL</v>
      </c>
      <c r="R114" s="64" t="str">
        <f>IFERROR(__xludf.DUMMYFUNCTION("""COMPUTED_VALUE"""),"DESPRENDIMIENTO DE EJE")</f>
        <v>DESPRENDIMIENTO DE EJE</v>
      </c>
      <c r="S114" s="64" t="str">
        <f>IFERROR(__xludf.DUMMYFUNCTION("""COMPUTED_VALUE"""),"PERSONA ATROPELLADA")</f>
        <v>PERSONA ATROPELLADA</v>
      </c>
    </row>
    <row r="115">
      <c r="B115" s="64" t="s">
        <v>38</v>
      </c>
      <c r="C115" s="64" t="str">
        <f>IFERROR(__xludf.DUMMYFUNCTION(" TRANSPOSE( unique ( QUERY(DATOPRO,""select Col2 where Col1 = '""&amp;B115&amp;""'"")))"),"ATAQUE ARMADO")</f>
        <v>ATAQUE ARMADO</v>
      </c>
      <c r="D115" s="64" t="str">
        <f>IFERROR(__xludf.DUMMYFUNCTION("""COMPUTED_VALUE"""),"DESBALANCE DE CARGA")</f>
        <v>DESBALANCE DE CARGA</v>
      </c>
      <c r="E115" s="64" t="str">
        <f>IFERROR(__xludf.DUMMYFUNCTION("""COMPUTED_VALUE"""),"PERSONA FALLECIDA")</f>
        <v>PERSONA FALLECIDA</v>
      </c>
      <c r="F115" s="64" t="str">
        <f>IFERROR(__xludf.DUMMYFUNCTION("""COMPUTED_VALUE"""),"DESPRENDIMIENTO DE NEUMATICO")</f>
        <v>DESPRENDIMIENTO DE NEUMATICO</v>
      </c>
      <c r="G115" s="64" t="str">
        <f>IFERROR(__xludf.DUMMYFUNCTION("""COMPUTED_VALUE"""),"SALIDA DE PISTA")</f>
        <v>SALIDA DE PISTA</v>
      </c>
      <c r="H115" s="64" t="str">
        <f>IFERROR(__xludf.DUMMYFUNCTION("""COMPUTED_VALUE"""),"DESPRENDIMIENTO DE CONTENEDOR")</f>
        <v>DESPRENDIMIENTO DE CONTENEDOR</v>
      </c>
      <c r="I115" s="64" t="str">
        <f>IFERROR(__xludf.DUMMYFUNCTION("""COMPUTED_VALUE"""),"CAÍDA DE CARGA")</f>
        <v>CAÍDA DE CARGA</v>
      </c>
      <c r="J115" s="64" t="str">
        <f>IFERROR(__xludf.DUMMYFUNCTION("""COMPUTED_VALUE"""),"CHOQUE")</f>
        <v>CHOQUE</v>
      </c>
      <c r="K115" s="64" t="str">
        <f>IFERROR(__xludf.DUMMYFUNCTION("""COMPUTED_VALUE"""),"COLISIÓN")</f>
        <v>COLISIÓN</v>
      </c>
      <c r="L115" s="64" t="str">
        <f>IFERROR(__xludf.DUMMYFUNCTION("""COMPUTED_VALUE"""),"COLISIÓN MÚLTIPLE")</f>
        <v>COLISIÓN MÚLTIPLE</v>
      </c>
      <c r="M115" s="64" t="str">
        <f>IFERROR(__xludf.DUMMYFUNCTION("""COMPUTED_VALUE"""),"DERRAPE")</f>
        <v>DERRAPE</v>
      </c>
      <c r="N115" s="64" t="str">
        <f>IFERROR(__xludf.DUMMYFUNCTION("""COMPUTED_VALUE"""),"VEHÍCULO INCENDIADO")</f>
        <v>VEHÍCULO INCENDIADO</v>
      </c>
      <c r="O115" s="64" t="str">
        <f>IFERROR(__xludf.DUMMYFUNCTION("""COMPUTED_VALUE"""),"VUELCO")</f>
        <v>VUELCO</v>
      </c>
      <c r="P115" s="64" t="str">
        <f>IFERROR(__xludf.DUMMYFUNCTION("""COMPUTED_VALUE"""),"DESPRENDIMIENTO")</f>
        <v>DESPRENDIMIENTO</v>
      </c>
      <c r="Q115" s="64" t="str">
        <f>IFERROR(__xludf.DUMMYFUNCTION("""COMPUTED_VALUE"""),"CAÍDA DE ÁRBOL")</f>
        <v>CAÍDA DE ÁRBOL</v>
      </c>
      <c r="R115" s="64" t="str">
        <f>IFERROR(__xludf.DUMMYFUNCTION("""COMPUTED_VALUE"""),"DESPRENDIMIENTO DE EJE")</f>
        <v>DESPRENDIMIENTO DE EJE</v>
      </c>
      <c r="S115" s="64" t="str">
        <f>IFERROR(__xludf.DUMMYFUNCTION("""COMPUTED_VALUE"""),"PERSONA ATROPELLADA")</f>
        <v>PERSONA ATROPELLADA</v>
      </c>
    </row>
    <row r="116">
      <c r="B116" s="64" t="s">
        <v>54</v>
      </c>
      <c r="C116" s="64" t="str">
        <f>IFERROR(__xludf.DUMMYFUNCTION(" TRANSPOSE( unique ( QUERY(DATOPRO,""select Col2 where Col1 = '""&amp;B116&amp;""'"")))"),"PINCHAZO")</f>
        <v>PINCHAZO</v>
      </c>
      <c r="D116" s="64" t="str">
        <f>IFERROR(__xludf.DUMMYFUNCTION("""COMPUTED_VALUE"""),"TRABAJOS DE CARRETERA")</f>
        <v>TRABAJOS DE CARRETERA</v>
      </c>
      <c r="E116" s="64" t="str">
        <f>IFERROR(__xludf.DUMMYFUNCTION("""COMPUTED_VALUE"""),"CONSIGNACIÓN")</f>
        <v>CONSIGNACIÓN</v>
      </c>
      <c r="F116" s="64" t="str">
        <f>IFERROR(__xludf.DUMMYFUNCTION("""COMPUTED_VALUE"""),"DERRAME")</f>
        <v>DERRAME</v>
      </c>
      <c r="G116" s="64" t="str">
        <f>IFERROR(__xludf.DUMMYFUNCTION("""COMPUTED_VALUE"""),"CALENTAMIENTO")</f>
        <v>CALENTAMIENTO</v>
      </c>
      <c r="H116" s="64" t="str">
        <f>IFERROR(__xludf.DUMMYFUNCTION("""COMPUTED_VALUE"""),"ESCOLTANDO")</f>
        <v>ESCOLTANDO</v>
      </c>
      <c r="I116" s="64" t="str">
        <f>IFERROR(__xludf.DUMMYFUNCTION("""COMPUTED_VALUE"""),"FALTA DE COMBUSTIBLE")</f>
        <v>FALTA DE COMBUSTIBLE</v>
      </c>
      <c r="J116" s="64" t="str">
        <f>IFERROR(__xludf.DUMMYFUNCTION("""COMPUTED_VALUE"""),"DESPERFECTOS MECÁNICOS")</f>
        <v>DESPERFECTOS MECÁNICOS</v>
      </c>
      <c r="K116" s="64" t="str">
        <f>IFERROR(__xludf.DUMMYFUNCTION("""COMPUTED_VALUE"""),"LLAMADA DE ATENCIÓN")</f>
        <v>LLAMADA DE ATENCIÓN</v>
      </c>
      <c r="L116" s="64" t="str">
        <f>IFERROR(__xludf.DUMMYFUNCTION("""COMPUTED_VALUE"""),"OPERATIVOS")</f>
        <v>OPERATIVOS</v>
      </c>
      <c r="M116" s="64" t="str">
        <f>IFERROR(__xludf.DUMMYFUNCTION("""COMPUTED_VALUE"""),"SANCIÓN")</f>
        <v>SANCIÓN</v>
      </c>
      <c r="N116" s="64" t="str">
        <f>IFERROR(__xludf.DUMMYFUNCTION("""COMPUTED_VALUE"""),"SISTEMA ELECTRICO")</f>
        <v>SISTEMA ELECTRICO</v>
      </c>
      <c r="O116" s="64" t="str">
        <f>IFERROR(__xludf.DUMMYFUNCTION("""COMPUTED_VALUE"""),"ASISTENCIA AL USUARIO")</f>
        <v>ASISTENCIA AL USUARIO</v>
      </c>
      <c r="P116" s="64" t="str">
        <f>IFERROR(__xludf.DUMMYFUNCTION("""COMPUTED_VALUE"""),"DOBLE REMOLQUE")</f>
        <v>DOBLE REMOLQUE</v>
      </c>
      <c r="Q116" s="64" t="str">
        <f>IFERROR(__xludf.DUMMYFUNCTION("""COMPUTED_VALUE"""),"SINAPRESE")</f>
        <v>SINAPRESE</v>
      </c>
      <c r="R116" s="64" t="str">
        <f>IFERROR(__xludf.DUMMYFUNCTION("""COMPUTED_VALUE"""),"APOYO ATLETISMO")</f>
        <v>APOYO ATLETISMO</v>
      </c>
      <c r="S116" s="64" t="str">
        <f>IFERROR(__xludf.DUMMYFUNCTION("""COMPUTED_VALUE"""),"APOYO A CICLISMO")</f>
        <v>APOYO A CICLISMO</v>
      </c>
      <c r="T116" s="64" t="str">
        <f>IFERROR(__xludf.DUMMYFUNCTION("""COMPUTED_VALUE"""),"DESCARGA DE BATERÍA")</f>
        <v>DESCARGA DE BATERÍA</v>
      </c>
      <c r="U116" s="64" t="str">
        <f>IFERROR(__xludf.DUMMYFUNCTION("""COMPUTED_VALUE"""),"PROBLEMAS DE SALUD")</f>
        <v>PROBLEMAS DE SALUD</v>
      </c>
      <c r="V116" s="64" t="str">
        <f>IFERROR(__xludf.DUMMYFUNCTION("""COMPUTED_VALUE"""),"OLVIDO LA LLAVE")</f>
        <v>OLVIDO LA LLAVE</v>
      </c>
      <c r="W116" s="64" t="str">
        <f>IFERROR(__xludf.DUMMYFUNCTION("""COMPUTED_VALUE"""),"CARGA SOBREDIMENSIONADA")</f>
        <v>CARGA SOBREDIMENSIONADA</v>
      </c>
      <c r="X116" s="64" t="str">
        <f>IFERROR(__xludf.DUMMYFUNCTION("""COMPUTED_VALUE"""),"VEHÍCULO ABANDONADO")</f>
        <v>VEHÍCULO ABANDONADO</v>
      </c>
      <c r="Y116" s="64" t="str">
        <f>IFERROR(__xludf.DUMMYFUNCTION("""COMPUTED_VALUE"""),"DESPRENDIMIENTO")</f>
        <v>DESPRENDIMIENTO</v>
      </c>
      <c r="Z116" s="64" t="str">
        <f>IFERROR(__xludf.DUMMYFUNCTION("""COMPUTED_VALUE"""),"CAÍDA DE POSTE")</f>
        <v>CAÍDA DE POSTE</v>
      </c>
      <c r="AA116" s="64" t="str">
        <f>IFERROR(__xludf.DUMMYFUNCTION("""COMPUTED_VALUE"""),"CAÍDA DE RAMA")</f>
        <v>CAÍDA DE RAMA</v>
      </c>
      <c r="AB116" s="64" t="str">
        <f>IFERROR(__xludf.DUMMYFUNCTION("""COMPUTED_VALUE"""),"OPERATIVO DGT")</f>
        <v>OPERATIVO DGT</v>
      </c>
      <c r="AC116" s="64" t="str">
        <f>IFERROR(__xludf.DUMMYFUNCTION("""COMPUTED_VALUE"""),"OPERATIVO PMT")</f>
        <v>OPERATIVO PMT</v>
      </c>
      <c r="AD116" s="64" t="str">
        <f>IFERROR(__xludf.DUMMYFUNCTION("""COMPUTED_VALUE"""),"APOYO A DIGEF")</f>
        <v>APOYO A DIGEF</v>
      </c>
      <c r="AE116" s="64" t="str">
        <f>IFERROR(__xludf.DUMMYFUNCTION("""COMPUTED_VALUE"""),"OPERATIVO PNC TRANSITO")</f>
        <v>OPERATIVO PNC TRANSITO</v>
      </c>
      <c r="AF116" s="64" t="str">
        <f>IFERROR(__xludf.DUMMYFUNCTION("""COMPUTED_VALUE"""),"SOBRECARGA ")</f>
        <v>SOBRECARGA </v>
      </c>
      <c r="AG116" s="64" t="str">
        <f>IFERROR(__xludf.DUMMYFUNCTION("""COMPUTED_VALUE"""),"OPERATIVO EN CONJUNTO")</f>
        <v>OPERATIVO EN CONJUNTO</v>
      </c>
      <c r="AH116" s="64" t="str">
        <f>IFERROR(__xludf.DUMMYFUNCTION("""COMPUTED_VALUE"""),"PUESTO DE ATENCION AL USUARIO")</f>
        <v>PUESTO DE ATENCION AL USUARIO</v>
      </c>
      <c r="AI116" s="64" t="str">
        <f>IFERROR(__xludf.DUMMYFUNCTION("""COMPUTED_VALUE"""),"INCENDIO EN RUTA")</f>
        <v>INCENDIO EN RUTA</v>
      </c>
      <c r="AJ116" s="64" t="str">
        <f>IFERROR(__xludf.DUMMYFUNCTION("""COMPUTED_VALUE"""),"APOYO ANTORCHA ")</f>
        <v>APOYO ANTORCHA </v>
      </c>
    </row>
    <row r="117">
      <c r="B117" s="64" t="s">
        <v>54</v>
      </c>
      <c r="C117" s="64" t="str">
        <f>IFERROR(__xludf.DUMMYFUNCTION(" TRANSPOSE( unique ( QUERY(DATOPRO,""select Col2 where Col1 = '""&amp;B117&amp;""'"")))"),"PINCHAZO")</f>
        <v>PINCHAZO</v>
      </c>
      <c r="D117" s="64" t="str">
        <f>IFERROR(__xludf.DUMMYFUNCTION("""COMPUTED_VALUE"""),"TRABAJOS DE CARRETERA")</f>
        <v>TRABAJOS DE CARRETERA</v>
      </c>
      <c r="E117" s="64" t="str">
        <f>IFERROR(__xludf.DUMMYFUNCTION("""COMPUTED_VALUE"""),"CONSIGNACIÓN")</f>
        <v>CONSIGNACIÓN</v>
      </c>
      <c r="F117" s="64" t="str">
        <f>IFERROR(__xludf.DUMMYFUNCTION("""COMPUTED_VALUE"""),"DERRAME")</f>
        <v>DERRAME</v>
      </c>
      <c r="G117" s="64" t="str">
        <f>IFERROR(__xludf.DUMMYFUNCTION("""COMPUTED_VALUE"""),"CALENTAMIENTO")</f>
        <v>CALENTAMIENTO</v>
      </c>
      <c r="H117" s="64" t="str">
        <f>IFERROR(__xludf.DUMMYFUNCTION("""COMPUTED_VALUE"""),"ESCOLTANDO")</f>
        <v>ESCOLTANDO</v>
      </c>
      <c r="I117" s="64" t="str">
        <f>IFERROR(__xludf.DUMMYFUNCTION("""COMPUTED_VALUE"""),"FALTA DE COMBUSTIBLE")</f>
        <v>FALTA DE COMBUSTIBLE</v>
      </c>
      <c r="J117" s="64" t="str">
        <f>IFERROR(__xludf.DUMMYFUNCTION("""COMPUTED_VALUE"""),"DESPERFECTOS MECÁNICOS")</f>
        <v>DESPERFECTOS MECÁNICOS</v>
      </c>
      <c r="K117" s="64" t="str">
        <f>IFERROR(__xludf.DUMMYFUNCTION("""COMPUTED_VALUE"""),"LLAMADA DE ATENCIÓN")</f>
        <v>LLAMADA DE ATENCIÓN</v>
      </c>
      <c r="L117" s="64" t="str">
        <f>IFERROR(__xludf.DUMMYFUNCTION("""COMPUTED_VALUE"""),"OPERATIVOS")</f>
        <v>OPERATIVOS</v>
      </c>
      <c r="M117" s="64" t="str">
        <f>IFERROR(__xludf.DUMMYFUNCTION("""COMPUTED_VALUE"""),"SANCIÓN")</f>
        <v>SANCIÓN</v>
      </c>
      <c r="N117" s="64" t="str">
        <f>IFERROR(__xludf.DUMMYFUNCTION("""COMPUTED_VALUE"""),"SISTEMA ELECTRICO")</f>
        <v>SISTEMA ELECTRICO</v>
      </c>
      <c r="O117" s="64" t="str">
        <f>IFERROR(__xludf.DUMMYFUNCTION("""COMPUTED_VALUE"""),"ASISTENCIA AL USUARIO")</f>
        <v>ASISTENCIA AL USUARIO</v>
      </c>
      <c r="P117" s="64" t="str">
        <f>IFERROR(__xludf.DUMMYFUNCTION("""COMPUTED_VALUE"""),"DOBLE REMOLQUE")</f>
        <v>DOBLE REMOLQUE</v>
      </c>
      <c r="Q117" s="64" t="str">
        <f>IFERROR(__xludf.DUMMYFUNCTION("""COMPUTED_VALUE"""),"SINAPRESE")</f>
        <v>SINAPRESE</v>
      </c>
      <c r="R117" s="64" t="str">
        <f>IFERROR(__xludf.DUMMYFUNCTION("""COMPUTED_VALUE"""),"APOYO ATLETISMO")</f>
        <v>APOYO ATLETISMO</v>
      </c>
      <c r="S117" s="64" t="str">
        <f>IFERROR(__xludf.DUMMYFUNCTION("""COMPUTED_VALUE"""),"APOYO A CICLISMO")</f>
        <v>APOYO A CICLISMO</v>
      </c>
      <c r="T117" s="64" t="str">
        <f>IFERROR(__xludf.DUMMYFUNCTION("""COMPUTED_VALUE"""),"DESCARGA DE BATERÍA")</f>
        <v>DESCARGA DE BATERÍA</v>
      </c>
      <c r="U117" s="64" t="str">
        <f>IFERROR(__xludf.DUMMYFUNCTION("""COMPUTED_VALUE"""),"PROBLEMAS DE SALUD")</f>
        <v>PROBLEMAS DE SALUD</v>
      </c>
      <c r="V117" s="64" t="str">
        <f>IFERROR(__xludf.DUMMYFUNCTION("""COMPUTED_VALUE"""),"OLVIDO LA LLAVE")</f>
        <v>OLVIDO LA LLAVE</v>
      </c>
      <c r="W117" s="64" t="str">
        <f>IFERROR(__xludf.DUMMYFUNCTION("""COMPUTED_VALUE"""),"CARGA SOBREDIMENSIONADA")</f>
        <v>CARGA SOBREDIMENSIONADA</v>
      </c>
      <c r="X117" s="64" t="str">
        <f>IFERROR(__xludf.DUMMYFUNCTION("""COMPUTED_VALUE"""),"VEHÍCULO ABANDONADO")</f>
        <v>VEHÍCULO ABANDONADO</v>
      </c>
      <c r="Y117" s="64" t="str">
        <f>IFERROR(__xludf.DUMMYFUNCTION("""COMPUTED_VALUE"""),"DESPRENDIMIENTO")</f>
        <v>DESPRENDIMIENTO</v>
      </c>
      <c r="Z117" s="64" t="str">
        <f>IFERROR(__xludf.DUMMYFUNCTION("""COMPUTED_VALUE"""),"CAÍDA DE POSTE")</f>
        <v>CAÍDA DE POSTE</v>
      </c>
      <c r="AA117" s="64" t="str">
        <f>IFERROR(__xludf.DUMMYFUNCTION("""COMPUTED_VALUE"""),"CAÍDA DE RAMA")</f>
        <v>CAÍDA DE RAMA</v>
      </c>
      <c r="AB117" s="64" t="str">
        <f>IFERROR(__xludf.DUMMYFUNCTION("""COMPUTED_VALUE"""),"OPERATIVO DGT")</f>
        <v>OPERATIVO DGT</v>
      </c>
      <c r="AC117" s="64" t="str">
        <f>IFERROR(__xludf.DUMMYFUNCTION("""COMPUTED_VALUE"""),"OPERATIVO PMT")</f>
        <v>OPERATIVO PMT</v>
      </c>
      <c r="AD117" s="64" t="str">
        <f>IFERROR(__xludf.DUMMYFUNCTION("""COMPUTED_VALUE"""),"APOYO A DIGEF")</f>
        <v>APOYO A DIGEF</v>
      </c>
      <c r="AE117" s="64" t="str">
        <f>IFERROR(__xludf.DUMMYFUNCTION("""COMPUTED_VALUE"""),"OPERATIVO PNC TRANSITO")</f>
        <v>OPERATIVO PNC TRANSITO</v>
      </c>
      <c r="AF117" s="64" t="str">
        <f>IFERROR(__xludf.DUMMYFUNCTION("""COMPUTED_VALUE"""),"SOBRECARGA ")</f>
        <v>SOBRECARGA </v>
      </c>
      <c r="AG117" s="64" t="str">
        <f>IFERROR(__xludf.DUMMYFUNCTION("""COMPUTED_VALUE"""),"OPERATIVO EN CONJUNTO")</f>
        <v>OPERATIVO EN CONJUNTO</v>
      </c>
      <c r="AH117" s="64" t="str">
        <f>IFERROR(__xludf.DUMMYFUNCTION("""COMPUTED_VALUE"""),"PUESTO DE ATENCION AL USUARIO")</f>
        <v>PUESTO DE ATENCION AL USUARIO</v>
      </c>
      <c r="AI117" s="64" t="str">
        <f>IFERROR(__xludf.DUMMYFUNCTION("""COMPUTED_VALUE"""),"INCENDIO EN RUTA")</f>
        <v>INCENDIO EN RUTA</v>
      </c>
      <c r="AJ117" s="64" t="str">
        <f>IFERROR(__xludf.DUMMYFUNCTION("""COMPUTED_VALUE"""),"APOYO ANTORCHA ")</f>
        <v>APOYO ANTORCHA </v>
      </c>
    </row>
    <row r="118">
      <c r="B118" s="64" t="s">
        <v>38</v>
      </c>
      <c r="C118" s="64" t="str">
        <f>IFERROR(__xludf.DUMMYFUNCTION(" TRANSPOSE( unique ( QUERY(DATOPRO,""select Col2 where Col1 = '""&amp;B118&amp;""'"")))"),"ATAQUE ARMADO")</f>
        <v>ATAQUE ARMADO</v>
      </c>
      <c r="D118" s="64" t="str">
        <f>IFERROR(__xludf.DUMMYFUNCTION("""COMPUTED_VALUE"""),"DESBALANCE DE CARGA")</f>
        <v>DESBALANCE DE CARGA</v>
      </c>
      <c r="E118" s="64" t="str">
        <f>IFERROR(__xludf.DUMMYFUNCTION("""COMPUTED_VALUE"""),"PERSONA FALLECIDA")</f>
        <v>PERSONA FALLECIDA</v>
      </c>
      <c r="F118" s="64" t="str">
        <f>IFERROR(__xludf.DUMMYFUNCTION("""COMPUTED_VALUE"""),"DESPRENDIMIENTO DE NEUMATICO")</f>
        <v>DESPRENDIMIENTO DE NEUMATICO</v>
      </c>
      <c r="G118" s="64" t="str">
        <f>IFERROR(__xludf.DUMMYFUNCTION("""COMPUTED_VALUE"""),"SALIDA DE PISTA")</f>
        <v>SALIDA DE PISTA</v>
      </c>
      <c r="H118" s="64" t="str">
        <f>IFERROR(__xludf.DUMMYFUNCTION("""COMPUTED_VALUE"""),"DESPRENDIMIENTO DE CONTENEDOR")</f>
        <v>DESPRENDIMIENTO DE CONTENEDOR</v>
      </c>
      <c r="I118" s="64" t="str">
        <f>IFERROR(__xludf.DUMMYFUNCTION("""COMPUTED_VALUE"""),"CAÍDA DE CARGA")</f>
        <v>CAÍDA DE CARGA</v>
      </c>
      <c r="J118" s="64" t="str">
        <f>IFERROR(__xludf.DUMMYFUNCTION("""COMPUTED_VALUE"""),"CHOQUE")</f>
        <v>CHOQUE</v>
      </c>
      <c r="K118" s="64" t="str">
        <f>IFERROR(__xludf.DUMMYFUNCTION("""COMPUTED_VALUE"""),"COLISIÓN")</f>
        <v>COLISIÓN</v>
      </c>
      <c r="L118" s="64" t="str">
        <f>IFERROR(__xludf.DUMMYFUNCTION("""COMPUTED_VALUE"""),"COLISIÓN MÚLTIPLE")</f>
        <v>COLISIÓN MÚLTIPLE</v>
      </c>
      <c r="M118" s="64" t="str">
        <f>IFERROR(__xludf.DUMMYFUNCTION("""COMPUTED_VALUE"""),"DERRAPE")</f>
        <v>DERRAPE</v>
      </c>
      <c r="N118" s="64" t="str">
        <f>IFERROR(__xludf.DUMMYFUNCTION("""COMPUTED_VALUE"""),"VEHÍCULO INCENDIADO")</f>
        <v>VEHÍCULO INCENDIADO</v>
      </c>
      <c r="O118" s="64" t="str">
        <f>IFERROR(__xludf.DUMMYFUNCTION("""COMPUTED_VALUE"""),"VUELCO")</f>
        <v>VUELCO</v>
      </c>
      <c r="P118" s="64" t="str">
        <f>IFERROR(__xludf.DUMMYFUNCTION("""COMPUTED_VALUE"""),"DESPRENDIMIENTO")</f>
        <v>DESPRENDIMIENTO</v>
      </c>
      <c r="Q118" s="64" t="str">
        <f>IFERROR(__xludf.DUMMYFUNCTION("""COMPUTED_VALUE"""),"CAÍDA DE ÁRBOL")</f>
        <v>CAÍDA DE ÁRBOL</v>
      </c>
      <c r="R118" s="64" t="str">
        <f>IFERROR(__xludf.DUMMYFUNCTION("""COMPUTED_VALUE"""),"DESPRENDIMIENTO DE EJE")</f>
        <v>DESPRENDIMIENTO DE EJE</v>
      </c>
      <c r="S118" s="64" t="str">
        <f>IFERROR(__xludf.DUMMYFUNCTION("""COMPUTED_VALUE"""),"PERSONA ATROPELLADA")</f>
        <v>PERSONA ATROPELLADA</v>
      </c>
    </row>
    <row r="119">
      <c r="B119" s="64" t="s">
        <v>54</v>
      </c>
      <c r="C119" s="64" t="str">
        <f>IFERROR(__xludf.DUMMYFUNCTION(" TRANSPOSE( unique ( QUERY(DATOPRO,""select Col2 where Col1 = '""&amp;B119&amp;""'"")))"),"PINCHAZO")</f>
        <v>PINCHAZO</v>
      </c>
      <c r="D119" s="64" t="str">
        <f>IFERROR(__xludf.DUMMYFUNCTION("""COMPUTED_VALUE"""),"TRABAJOS DE CARRETERA")</f>
        <v>TRABAJOS DE CARRETERA</v>
      </c>
      <c r="E119" s="64" t="str">
        <f>IFERROR(__xludf.DUMMYFUNCTION("""COMPUTED_VALUE"""),"CONSIGNACIÓN")</f>
        <v>CONSIGNACIÓN</v>
      </c>
      <c r="F119" s="64" t="str">
        <f>IFERROR(__xludf.DUMMYFUNCTION("""COMPUTED_VALUE"""),"DERRAME")</f>
        <v>DERRAME</v>
      </c>
      <c r="G119" s="64" t="str">
        <f>IFERROR(__xludf.DUMMYFUNCTION("""COMPUTED_VALUE"""),"CALENTAMIENTO")</f>
        <v>CALENTAMIENTO</v>
      </c>
      <c r="H119" s="64" t="str">
        <f>IFERROR(__xludf.DUMMYFUNCTION("""COMPUTED_VALUE"""),"ESCOLTANDO")</f>
        <v>ESCOLTANDO</v>
      </c>
      <c r="I119" s="64" t="str">
        <f>IFERROR(__xludf.DUMMYFUNCTION("""COMPUTED_VALUE"""),"FALTA DE COMBUSTIBLE")</f>
        <v>FALTA DE COMBUSTIBLE</v>
      </c>
      <c r="J119" s="64" t="str">
        <f>IFERROR(__xludf.DUMMYFUNCTION("""COMPUTED_VALUE"""),"DESPERFECTOS MECÁNICOS")</f>
        <v>DESPERFECTOS MECÁNICOS</v>
      </c>
      <c r="K119" s="64" t="str">
        <f>IFERROR(__xludf.DUMMYFUNCTION("""COMPUTED_VALUE"""),"LLAMADA DE ATENCIÓN")</f>
        <v>LLAMADA DE ATENCIÓN</v>
      </c>
      <c r="L119" s="64" t="str">
        <f>IFERROR(__xludf.DUMMYFUNCTION("""COMPUTED_VALUE"""),"OPERATIVOS")</f>
        <v>OPERATIVOS</v>
      </c>
      <c r="M119" s="64" t="str">
        <f>IFERROR(__xludf.DUMMYFUNCTION("""COMPUTED_VALUE"""),"SANCIÓN")</f>
        <v>SANCIÓN</v>
      </c>
      <c r="N119" s="64" t="str">
        <f>IFERROR(__xludf.DUMMYFUNCTION("""COMPUTED_VALUE"""),"SISTEMA ELECTRICO")</f>
        <v>SISTEMA ELECTRICO</v>
      </c>
      <c r="O119" s="64" t="str">
        <f>IFERROR(__xludf.DUMMYFUNCTION("""COMPUTED_VALUE"""),"ASISTENCIA AL USUARIO")</f>
        <v>ASISTENCIA AL USUARIO</v>
      </c>
      <c r="P119" s="64" t="str">
        <f>IFERROR(__xludf.DUMMYFUNCTION("""COMPUTED_VALUE"""),"DOBLE REMOLQUE")</f>
        <v>DOBLE REMOLQUE</v>
      </c>
      <c r="Q119" s="64" t="str">
        <f>IFERROR(__xludf.DUMMYFUNCTION("""COMPUTED_VALUE"""),"SINAPRESE")</f>
        <v>SINAPRESE</v>
      </c>
      <c r="R119" s="64" t="str">
        <f>IFERROR(__xludf.DUMMYFUNCTION("""COMPUTED_VALUE"""),"APOYO ATLETISMO")</f>
        <v>APOYO ATLETISMO</v>
      </c>
      <c r="S119" s="64" t="str">
        <f>IFERROR(__xludf.DUMMYFUNCTION("""COMPUTED_VALUE"""),"APOYO A CICLISMO")</f>
        <v>APOYO A CICLISMO</v>
      </c>
      <c r="T119" s="64" t="str">
        <f>IFERROR(__xludf.DUMMYFUNCTION("""COMPUTED_VALUE"""),"DESCARGA DE BATERÍA")</f>
        <v>DESCARGA DE BATERÍA</v>
      </c>
      <c r="U119" s="64" t="str">
        <f>IFERROR(__xludf.DUMMYFUNCTION("""COMPUTED_VALUE"""),"PROBLEMAS DE SALUD")</f>
        <v>PROBLEMAS DE SALUD</v>
      </c>
      <c r="V119" s="64" t="str">
        <f>IFERROR(__xludf.DUMMYFUNCTION("""COMPUTED_VALUE"""),"OLVIDO LA LLAVE")</f>
        <v>OLVIDO LA LLAVE</v>
      </c>
      <c r="W119" s="64" t="str">
        <f>IFERROR(__xludf.DUMMYFUNCTION("""COMPUTED_VALUE"""),"CARGA SOBREDIMENSIONADA")</f>
        <v>CARGA SOBREDIMENSIONADA</v>
      </c>
      <c r="X119" s="64" t="str">
        <f>IFERROR(__xludf.DUMMYFUNCTION("""COMPUTED_VALUE"""),"VEHÍCULO ABANDONADO")</f>
        <v>VEHÍCULO ABANDONADO</v>
      </c>
      <c r="Y119" s="64" t="str">
        <f>IFERROR(__xludf.DUMMYFUNCTION("""COMPUTED_VALUE"""),"DESPRENDIMIENTO")</f>
        <v>DESPRENDIMIENTO</v>
      </c>
      <c r="Z119" s="64" t="str">
        <f>IFERROR(__xludf.DUMMYFUNCTION("""COMPUTED_VALUE"""),"CAÍDA DE POSTE")</f>
        <v>CAÍDA DE POSTE</v>
      </c>
      <c r="AA119" s="64" t="str">
        <f>IFERROR(__xludf.DUMMYFUNCTION("""COMPUTED_VALUE"""),"CAÍDA DE RAMA")</f>
        <v>CAÍDA DE RAMA</v>
      </c>
      <c r="AB119" s="64" t="str">
        <f>IFERROR(__xludf.DUMMYFUNCTION("""COMPUTED_VALUE"""),"OPERATIVO DGT")</f>
        <v>OPERATIVO DGT</v>
      </c>
      <c r="AC119" s="64" t="str">
        <f>IFERROR(__xludf.DUMMYFUNCTION("""COMPUTED_VALUE"""),"OPERATIVO PMT")</f>
        <v>OPERATIVO PMT</v>
      </c>
      <c r="AD119" s="64" t="str">
        <f>IFERROR(__xludf.DUMMYFUNCTION("""COMPUTED_VALUE"""),"APOYO A DIGEF")</f>
        <v>APOYO A DIGEF</v>
      </c>
      <c r="AE119" s="64" t="str">
        <f>IFERROR(__xludf.DUMMYFUNCTION("""COMPUTED_VALUE"""),"OPERATIVO PNC TRANSITO")</f>
        <v>OPERATIVO PNC TRANSITO</v>
      </c>
      <c r="AF119" s="64" t="str">
        <f>IFERROR(__xludf.DUMMYFUNCTION("""COMPUTED_VALUE"""),"SOBRECARGA ")</f>
        <v>SOBRECARGA </v>
      </c>
      <c r="AG119" s="64" t="str">
        <f>IFERROR(__xludf.DUMMYFUNCTION("""COMPUTED_VALUE"""),"OPERATIVO EN CONJUNTO")</f>
        <v>OPERATIVO EN CONJUNTO</v>
      </c>
      <c r="AH119" s="64" t="str">
        <f>IFERROR(__xludf.DUMMYFUNCTION("""COMPUTED_VALUE"""),"PUESTO DE ATENCION AL USUARIO")</f>
        <v>PUESTO DE ATENCION AL USUARIO</v>
      </c>
      <c r="AI119" s="64" t="str">
        <f>IFERROR(__xludf.DUMMYFUNCTION("""COMPUTED_VALUE"""),"INCENDIO EN RUTA")</f>
        <v>INCENDIO EN RUTA</v>
      </c>
      <c r="AJ119" s="64" t="str">
        <f>IFERROR(__xludf.DUMMYFUNCTION("""COMPUTED_VALUE"""),"APOYO ANTORCHA ")</f>
        <v>APOYO ANTORCHA </v>
      </c>
    </row>
    <row r="120">
      <c r="B120" s="64" t="s">
        <v>54</v>
      </c>
      <c r="C120" s="64" t="str">
        <f>IFERROR(__xludf.DUMMYFUNCTION(" TRANSPOSE( unique ( QUERY(DATOPRO,""select Col2 where Col1 = '""&amp;B120&amp;""'"")))"),"PINCHAZO")</f>
        <v>PINCHAZO</v>
      </c>
      <c r="D120" s="64" t="str">
        <f>IFERROR(__xludf.DUMMYFUNCTION("""COMPUTED_VALUE"""),"TRABAJOS DE CARRETERA")</f>
        <v>TRABAJOS DE CARRETERA</v>
      </c>
      <c r="E120" s="64" t="str">
        <f>IFERROR(__xludf.DUMMYFUNCTION("""COMPUTED_VALUE"""),"CONSIGNACIÓN")</f>
        <v>CONSIGNACIÓN</v>
      </c>
      <c r="F120" s="64" t="str">
        <f>IFERROR(__xludf.DUMMYFUNCTION("""COMPUTED_VALUE"""),"DERRAME")</f>
        <v>DERRAME</v>
      </c>
      <c r="G120" s="64" t="str">
        <f>IFERROR(__xludf.DUMMYFUNCTION("""COMPUTED_VALUE"""),"CALENTAMIENTO")</f>
        <v>CALENTAMIENTO</v>
      </c>
      <c r="H120" s="64" t="str">
        <f>IFERROR(__xludf.DUMMYFUNCTION("""COMPUTED_VALUE"""),"ESCOLTANDO")</f>
        <v>ESCOLTANDO</v>
      </c>
      <c r="I120" s="64" t="str">
        <f>IFERROR(__xludf.DUMMYFUNCTION("""COMPUTED_VALUE"""),"FALTA DE COMBUSTIBLE")</f>
        <v>FALTA DE COMBUSTIBLE</v>
      </c>
      <c r="J120" s="64" t="str">
        <f>IFERROR(__xludf.DUMMYFUNCTION("""COMPUTED_VALUE"""),"DESPERFECTOS MECÁNICOS")</f>
        <v>DESPERFECTOS MECÁNICOS</v>
      </c>
      <c r="K120" s="64" t="str">
        <f>IFERROR(__xludf.DUMMYFUNCTION("""COMPUTED_VALUE"""),"LLAMADA DE ATENCIÓN")</f>
        <v>LLAMADA DE ATENCIÓN</v>
      </c>
      <c r="L120" s="64" t="str">
        <f>IFERROR(__xludf.DUMMYFUNCTION("""COMPUTED_VALUE"""),"OPERATIVOS")</f>
        <v>OPERATIVOS</v>
      </c>
      <c r="M120" s="64" t="str">
        <f>IFERROR(__xludf.DUMMYFUNCTION("""COMPUTED_VALUE"""),"SANCIÓN")</f>
        <v>SANCIÓN</v>
      </c>
      <c r="N120" s="64" t="str">
        <f>IFERROR(__xludf.DUMMYFUNCTION("""COMPUTED_VALUE"""),"SISTEMA ELECTRICO")</f>
        <v>SISTEMA ELECTRICO</v>
      </c>
      <c r="O120" s="64" t="str">
        <f>IFERROR(__xludf.DUMMYFUNCTION("""COMPUTED_VALUE"""),"ASISTENCIA AL USUARIO")</f>
        <v>ASISTENCIA AL USUARIO</v>
      </c>
      <c r="P120" s="64" t="str">
        <f>IFERROR(__xludf.DUMMYFUNCTION("""COMPUTED_VALUE"""),"DOBLE REMOLQUE")</f>
        <v>DOBLE REMOLQUE</v>
      </c>
      <c r="Q120" s="64" t="str">
        <f>IFERROR(__xludf.DUMMYFUNCTION("""COMPUTED_VALUE"""),"SINAPRESE")</f>
        <v>SINAPRESE</v>
      </c>
      <c r="R120" s="64" t="str">
        <f>IFERROR(__xludf.DUMMYFUNCTION("""COMPUTED_VALUE"""),"APOYO ATLETISMO")</f>
        <v>APOYO ATLETISMO</v>
      </c>
      <c r="S120" s="64" t="str">
        <f>IFERROR(__xludf.DUMMYFUNCTION("""COMPUTED_VALUE"""),"APOYO A CICLISMO")</f>
        <v>APOYO A CICLISMO</v>
      </c>
      <c r="T120" s="64" t="str">
        <f>IFERROR(__xludf.DUMMYFUNCTION("""COMPUTED_VALUE"""),"DESCARGA DE BATERÍA")</f>
        <v>DESCARGA DE BATERÍA</v>
      </c>
      <c r="U120" s="64" t="str">
        <f>IFERROR(__xludf.DUMMYFUNCTION("""COMPUTED_VALUE"""),"PROBLEMAS DE SALUD")</f>
        <v>PROBLEMAS DE SALUD</v>
      </c>
      <c r="V120" s="64" t="str">
        <f>IFERROR(__xludf.DUMMYFUNCTION("""COMPUTED_VALUE"""),"OLVIDO LA LLAVE")</f>
        <v>OLVIDO LA LLAVE</v>
      </c>
      <c r="W120" s="64" t="str">
        <f>IFERROR(__xludf.DUMMYFUNCTION("""COMPUTED_VALUE"""),"CARGA SOBREDIMENSIONADA")</f>
        <v>CARGA SOBREDIMENSIONADA</v>
      </c>
      <c r="X120" s="64" t="str">
        <f>IFERROR(__xludf.DUMMYFUNCTION("""COMPUTED_VALUE"""),"VEHÍCULO ABANDONADO")</f>
        <v>VEHÍCULO ABANDONADO</v>
      </c>
      <c r="Y120" s="64" t="str">
        <f>IFERROR(__xludf.DUMMYFUNCTION("""COMPUTED_VALUE"""),"DESPRENDIMIENTO")</f>
        <v>DESPRENDIMIENTO</v>
      </c>
      <c r="Z120" s="64" t="str">
        <f>IFERROR(__xludf.DUMMYFUNCTION("""COMPUTED_VALUE"""),"CAÍDA DE POSTE")</f>
        <v>CAÍDA DE POSTE</v>
      </c>
      <c r="AA120" s="64" t="str">
        <f>IFERROR(__xludf.DUMMYFUNCTION("""COMPUTED_VALUE"""),"CAÍDA DE RAMA")</f>
        <v>CAÍDA DE RAMA</v>
      </c>
      <c r="AB120" s="64" t="str">
        <f>IFERROR(__xludf.DUMMYFUNCTION("""COMPUTED_VALUE"""),"OPERATIVO DGT")</f>
        <v>OPERATIVO DGT</v>
      </c>
      <c r="AC120" s="64" t="str">
        <f>IFERROR(__xludf.DUMMYFUNCTION("""COMPUTED_VALUE"""),"OPERATIVO PMT")</f>
        <v>OPERATIVO PMT</v>
      </c>
      <c r="AD120" s="64" t="str">
        <f>IFERROR(__xludf.DUMMYFUNCTION("""COMPUTED_VALUE"""),"APOYO A DIGEF")</f>
        <v>APOYO A DIGEF</v>
      </c>
      <c r="AE120" s="64" t="str">
        <f>IFERROR(__xludf.DUMMYFUNCTION("""COMPUTED_VALUE"""),"OPERATIVO PNC TRANSITO")</f>
        <v>OPERATIVO PNC TRANSITO</v>
      </c>
      <c r="AF120" s="64" t="str">
        <f>IFERROR(__xludf.DUMMYFUNCTION("""COMPUTED_VALUE"""),"SOBRECARGA ")</f>
        <v>SOBRECARGA </v>
      </c>
      <c r="AG120" s="64" t="str">
        <f>IFERROR(__xludf.DUMMYFUNCTION("""COMPUTED_VALUE"""),"OPERATIVO EN CONJUNTO")</f>
        <v>OPERATIVO EN CONJUNTO</v>
      </c>
      <c r="AH120" s="64" t="str">
        <f>IFERROR(__xludf.DUMMYFUNCTION("""COMPUTED_VALUE"""),"PUESTO DE ATENCION AL USUARIO")</f>
        <v>PUESTO DE ATENCION AL USUARIO</v>
      </c>
      <c r="AI120" s="64" t="str">
        <f>IFERROR(__xludf.DUMMYFUNCTION("""COMPUTED_VALUE"""),"INCENDIO EN RUTA")</f>
        <v>INCENDIO EN RUTA</v>
      </c>
      <c r="AJ120" s="64" t="str">
        <f>IFERROR(__xludf.DUMMYFUNCTION("""COMPUTED_VALUE"""),"APOYO ANTORCHA ")</f>
        <v>APOYO ANTORCHA </v>
      </c>
    </row>
    <row r="121">
      <c r="B121" s="64" t="s">
        <v>54</v>
      </c>
      <c r="C121" s="64" t="str">
        <f>IFERROR(__xludf.DUMMYFUNCTION(" TRANSPOSE( unique ( QUERY(DATOPRO,""select Col2 where Col1 = '""&amp;B121&amp;""'"")))"),"PINCHAZO")</f>
        <v>PINCHAZO</v>
      </c>
      <c r="D121" s="64" t="str">
        <f>IFERROR(__xludf.DUMMYFUNCTION("""COMPUTED_VALUE"""),"TRABAJOS DE CARRETERA")</f>
        <v>TRABAJOS DE CARRETERA</v>
      </c>
      <c r="E121" s="64" t="str">
        <f>IFERROR(__xludf.DUMMYFUNCTION("""COMPUTED_VALUE"""),"CONSIGNACIÓN")</f>
        <v>CONSIGNACIÓN</v>
      </c>
      <c r="F121" s="64" t="str">
        <f>IFERROR(__xludf.DUMMYFUNCTION("""COMPUTED_VALUE"""),"DERRAME")</f>
        <v>DERRAME</v>
      </c>
      <c r="G121" s="64" t="str">
        <f>IFERROR(__xludf.DUMMYFUNCTION("""COMPUTED_VALUE"""),"CALENTAMIENTO")</f>
        <v>CALENTAMIENTO</v>
      </c>
      <c r="H121" s="64" t="str">
        <f>IFERROR(__xludf.DUMMYFUNCTION("""COMPUTED_VALUE"""),"ESCOLTANDO")</f>
        <v>ESCOLTANDO</v>
      </c>
      <c r="I121" s="64" t="str">
        <f>IFERROR(__xludf.DUMMYFUNCTION("""COMPUTED_VALUE"""),"FALTA DE COMBUSTIBLE")</f>
        <v>FALTA DE COMBUSTIBLE</v>
      </c>
      <c r="J121" s="64" t="str">
        <f>IFERROR(__xludf.DUMMYFUNCTION("""COMPUTED_VALUE"""),"DESPERFECTOS MECÁNICOS")</f>
        <v>DESPERFECTOS MECÁNICOS</v>
      </c>
      <c r="K121" s="64" t="str">
        <f>IFERROR(__xludf.DUMMYFUNCTION("""COMPUTED_VALUE"""),"LLAMADA DE ATENCIÓN")</f>
        <v>LLAMADA DE ATENCIÓN</v>
      </c>
      <c r="L121" s="64" t="str">
        <f>IFERROR(__xludf.DUMMYFUNCTION("""COMPUTED_VALUE"""),"OPERATIVOS")</f>
        <v>OPERATIVOS</v>
      </c>
      <c r="M121" s="64" t="str">
        <f>IFERROR(__xludf.DUMMYFUNCTION("""COMPUTED_VALUE"""),"SANCIÓN")</f>
        <v>SANCIÓN</v>
      </c>
      <c r="N121" s="64" t="str">
        <f>IFERROR(__xludf.DUMMYFUNCTION("""COMPUTED_VALUE"""),"SISTEMA ELECTRICO")</f>
        <v>SISTEMA ELECTRICO</v>
      </c>
      <c r="O121" s="64" t="str">
        <f>IFERROR(__xludf.DUMMYFUNCTION("""COMPUTED_VALUE"""),"ASISTENCIA AL USUARIO")</f>
        <v>ASISTENCIA AL USUARIO</v>
      </c>
      <c r="P121" s="64" t="str">
        <f>IFERROR(__xludf.DUMMYFUNCTION("""COMPUTED_VALUE"""),"DOBLE REMOLQUE")</f>
        <v>DOBLE REMOLQUE</v>
      </c>
      <c r="Q121" s="64" t="str">
        <f>IFERROR(__xludf.DUMMYFUNCTION("""COMPUTED_VALUE"""),"SINAPRESE")</f>
        <v>SINAPRESE</v>
      </c>
      <c r="R121" s="64" t="str">
        <f>IFERROR(__xludf.DUMMYFUNCTION("""COMPUTED_VALUE"""),"APOYO ATLETISMO")</f>
        <v>APOYO ATLETISMO</v>
      </c>
      <c r="S121" s="64" t="str">
        <f>IFERROR(__xludf.DUMMYFUNCTION("""COMPUTED_VALUE"""),"APOYO A CICLISMO")</f>
        <v>APOYO A CICLISMO</v>
      </c>
      <c r="T121" s="64" t="str">
        <f>IFERROR(__xludf.DUMMYFUNCTION("""COMPUTED_VALUE"""),"DESCARGA DE BATERÍA")</f>
        <v>DESCARGA DE BATERÍA</v>
      </c>
      <c r="U121" s="64" t="str">
        <f>IFERROR(__xludf.DUMMYFUNCTION("""COMPUTED_VALUE"""),"PROBLEMAS DE SALUD")</f>
        <v>PROBLEMAS DE SALUD</v>
      </c>
      <c r="V121" s="64" t="str">
        <f>IFERROR(__xludf.DUMMYFUNCTION("""COMPUTED_VALUE"""),"OLVIDO LA LLAVE")</f>
        <v>OLVIDO LA LLAVE</v>
      </c>
      <c r="W121" s="64" t="str">
        <f>IFERROR(__xludf.DUMMYFUNCTION("""COMPUTED_VALUE"""),"CARGA SOBREDIMENSIONADA")</f>
        <v>CARGA SOBREDIMENSIONADA</v>
      </c>
      <c r="X121" s="64" t="str">
        <f>IFERROR(__xludf.DUMMYFUNCTION("""COMPUTED_VALUE"""),"VEHÍCULO ABANDONADO")</f>
        <v>VEHÍCULO ABANDONADO</v>
      </c>
      <c r="Y121" s="64" t="str">
        <f>IFERROR(__xludf.DUMMYFUNCTION("""COMPUTED_VALUE"""),"DESPRENDIMIENTO")</f>
        <v>DESPRENDIMIENTO</v>
      </c>
      <c r="Z121" s="64" t="str">
        <f>IFERROR(__xludf.DUMMYFUNCTION("""COMPUTED_VALUE"""),"CAÍDA DE POSTE")</f>
        <v>CAÍDA DE POSTE</v>
      </c>
      <c r="AA121" s="64" t="str">
        <f>IFERROR(__xludf.DUMMYFUNCTION("""COMPUTED_VALUE"""),"CAÍDA DE RAMA")</f>
        <v>CAÍDA DE RAMA</v>
      </c>
      <c r="AB121" s="64" t="str">
        <f>IFERROR(__xludf.DUMMYFUNCTION("""COMPUTED_VALUE"""),"OPERATIVO DGT")</f>
        <v>OPERATIVO DGT</v>
      </c>
      <c r="AC121" s="64" t="str">
        <f>IFERROR(__xludf.DUMMYFUNCTION("""COMPUTED_VALUE"""),"OPERATIVO PMT")</f>
        <v>OPERATIVO PMT</v>
      </c>
      <c r="AD121" s="64" t="str">
        <f>IFERROR(__xludf.DUMMYFUNCTION("""COMPUTED_VALUE"""),"APOYO A DIGEF")</f>
        <v>APOYO A DIGEF</v>
      </c>
      <c r="AE121" s="64" t="str">
        <f>IFERROR(__xludf.DUMMYFUNCTION("""COMPUTED_VALUE"""),"OPERATIVO PNC TRANSITO")</f>
        <v>OPERATIVO PNC TRANSITO</v>
      </c>
      <c r="AF121" s="64" t="str">
        <f>IFERROR(__xludf.DUMMYFUNCTION("""COMPUTED_VALUE"""),"SOBRECARGA ")</f>
        <v>SOBRECARGA </v>
      </c>
      <c r="AG121" s="64" t="str">
        <f>IFERROR(__xludf.DUMMYFUNCTION("""COMPUTED_VALUE"""),"OPERATIVO EN CONJUNTO")</f>
        <v>OPERATIVO EN CONJUNTO</v>
      </c>
      <c r="AH121" s="64" t="str">
        <f>IFERROR(__xludf.DUMMYFUNCTION("""COMPUTED_VALUE"""),"PUESTO DE ATENCION AL USUARIO")</f>
        <v>PUESTO DE ATENCION AL USUARIO</v>
      </c>
      <c r="AI121" s="64" t="str">
        <f>IFERROR(__xludf.DUMMYFUNCTION("""COMPUTED_VALUE"""),"INCENDIO EN RUTA")</f>
        <v>INCENDIO EN RUTA</v>
      </c>
      <c r="AJ121" s="64" t="str">
        <f>IFERROR(__xludf.DUMMYFUNCTION("""COMPUTED_VALUE"""),"APOYO ANTORCHA ")</f>
        <v>APOYO ANTORCHA </v>
      </c>
    </row>
    <row r="122">
      <c r="B122" s="64" t="s">
        <v>54</v>
      </c>
      <c r="C122" s="64" t="str">
        <f>IFERROR(__xludf.DUMMYFUNCTION(" TRANSPOSE( unique ( QUERY(DATOPRO,""select Col2 where Col1 = '""&amp;B122&amp;""'"")))"),"PINCHAZO")</f>
        <v>PINCHAZO</v>
      </c>
      <c r="D122" s="64" t="str">
        <f>IFERROR(__xludf.DUMMYFUNCTION("""COMPUTED_VALUE"""),"TRABAJOS DE CARRETERA")</f>
        <v>TRABAJOS DE CARRETERA</v>
      </c>
      <c r="E122" s="64" t="str">
        <f>IFERROR(__xludf.DUMMYFUNCTION("""COMPUTED_VALUE"""),"CONSIGNACIÓN")</f>
        <v>CONSIGNACIÓN</v>
      </c>
      <c r="F122" s="64" t="str">
        <f>IFERROR(__xludf.DUMMYFUNCTION("""COMPUTED_VALUE"""),"DERRAME")</f>
        <v>DERRAME</v>
      </c>
      <c r="G122" s="64" t="str">
        <f>IFERROR(__xludf.DUMMYFUNCTION("""COMPUTED_VALUE"""),"CALENTAMIENTO")</f>
        <v>CALENTAMIENTO</v>
      </c>
      <c r="H122" s="64" t="str">
        <f>IFERROR(__xludf.DUMMYFUNCTION("""COMPUTED_VALUE"""),"ESCOLTANDO")</f>
        <v>ESCOLTANDO</v>
      </c>
      <c r="I122" s="64" t="str">
        <f>IFERROR(__xludf.DUMMYFUNCTION("""COMPUTED_VALUE"""),"FALTA DE COMBUSTIBLE")</f>
        <v>FALTA DE COMBUSTIBLE</v>
      </c>
      <c r="J122" s="64" t="str">
        <f>IFERROR(__xludf.DUMMYFUNCTION("""COMPUTED_VALUE"""),"DESPERFECTOS MECÁNICOS")</f>
        <v>DESPERFECTOS MECÁNICOS</v>
      </c>
      <c r="K122" s="64" t="str">
        <f>IFERROR(__xludf.DUMMYFUNCTION("""COMPUTED_VALUE"""),"LLAMADA DE ATENCIÓN")</f>
        <v>LLAMADA DE ATENCIÓN</v>
      </c>
      <c r="L122" s="64" t="str">
        <f>IFERROR(__xludf.DUMMYFUNCTION("""COMPUTED_VALUE"""),"OPERATIVOS")</f>
        <v>OPERATIVOS</v>
      </c>
      <c r="M122" s="64" t="str">
        <f>IFERROR(__xludf.DUMMYFUNCTION("""COMPUTED_VALUE"""),"SANCIÓN")</f>
        <v>SANCIÓN</v>
      </c>
      <c r="N122" s="64" t="str">
        <f>IFERROR(__xludf.DUMMYFUNCTION("""COMPUTED_VALUE"""),"SISTEMA ELECTRICO")</f>
        <v>SISTEMA ELECTRICO</v>
      </c>
      <c r="O122" s="64" t="str">
        <f>IFERROR(__xludf.DUMMYFUNCTION("""COMPUTED_VALUE"""),"ASISTENCIA AL USUARIO")</f>
        <v>ASISTENCIA AL USUARIO</v>
      </c>
      <c r="P122" s="64" t="str">
        <f>IFERROR(__xludf.DUMMYFUNCTION("""COMPUTED_VALUE"""),"DOBLE REMOLQUE")</f>
        <v>DOBLE REMOLQUE</v>
      </c>
      <c r="Q122" s="64" t="str">
        <f>IFERROR(__xludf.DUMMYFUNCTION("""COMPUTED_VALUE"""),"SINAPRESE")</f>
        <v>SINAPRESE</v>
      </c>
      <c r="R122" s="64" t="str">
        <f>IFERROR(__xludf.DUMMYFUNCTION("""COMPUTED_VALUE"""),"APOYO ATLETISMO")</f>
        <v>APOYO ATLETISMO</v>
      </c>
      <c r="S122" s="64" t="str">
        <f>IFERROR(__xludf.DUMMYFUNCTION("""COMPUTED_VALUE"""),"APOYO A CICLISMO")</f>
        <v>APOYO A CICLISMO</v>
      </c>
      <c r="T122" s="64" t="str">
        <f>IFERROR(__xludf.DUMMYFUNCTION("""COMPUTED_VALUE"""),"DESCARGA DE BATERÍA")</f>
        <v>DESCARGA DE BATERÍA</v>
      </c>
      <c r="U122" s="64" t="str">
        <f>IFERROR(__xludf.DUMMYFUNCTION("""COMPUTED_VALUE"""),"PROBLEMAS DE SALUD")</f>
        <v>PROBLEMAS DE SALUD</v>
      </c>
      <c r="V122" s="64" t="str">
        <f>IFERROR(__xludf.DUMMYFUNCTION("""COMPUTED_VALUE"""),"OLVIDO LA LLAVE")</f>
        <v>OLVIDO LA LLAVE</v>
      </c>
      <c r="W122" s="64" t="str">
        <f>IFERROR(__xludf.DUMMYFUNCTION("""COMPUTED_VALUE"""),"CARGA SOBREDIMENSIONADA")</f>
        <v>CARGA SOBREDIMENSIONADA</v>
      </c>
      <c r="X122" s="64" t="str">
        <f>IFERROR(__xludf.DUMMYFUNCTION("""COMPUTED_VALUE"""),"VEHÍCULO ABANDONADO")</f>
        <v>VEHÍCULO ABANDONADO</v>
      </c>
      <c r="Y122" s="64" t="str">
        <f>IFERROR(__xludf.DUMMYFUNCTION("""COMPUTED_VALUE"""),"DESPRENDIMIENTO")</f>
        <v>DESPRENDIMIENTO</v>
      </c>
      <c r="Z122" s="64" t="str">
        <f>IFERROR(__xludf.DUMMYFUNCTION("""COMPUTED_VALUE"""),"CAÍDA DE POSTE")</f>
        <v>CAÍDA DE POSTE</v>
      </c>
      <c r="AA122" s="64" t="str">
        <f>IFERROR(__xludf.DUMMYFUNCTION("""COMPUTED_VALUE"""),"CAÍDA DE RAMA")</f>
        <v>CAÍDA DE RAMA</v>
      </c>
      <c r="AB122" s="64" t="str">
        <f>IFERROR(__xludf.DUMMYFUNCTION("""COMPUTED_VALUE"""),"OPERATIVO DGT")</f>
        <v>OPERATIVO DGT</v>
      </c>
      <c r="AC122" s="64" t="str">
        <f>IFERROR(__xludf.DUMMYFUNCTION("""COMPUTED_VALUE"""),"OPERATIVO PMT")</f>
        <v>OPERATIVO PMT</v>
      </c>
      <c r="AD122" s="64" t="str">
        <f>IFERROR(__xludf.DUMMYFUNCTION("""COMPUTED_VALUE"""),"APOYO A DIGEF")</f>
        <v>APOYO A DIGEF</v>
      </c>
      <c r="AE122" s="64" t="str">
        <f>IFERROR(__xludf.DUMMYFUNCTION("""COMPUTED_VALUE"""),"OPERATIVO PNC TRANSITO")</f>
        <v>OPERATIVO PNC TRANSITO</v>
      </c>
      <c r="AF122" s="64" t="str">
        <f>IFERROR(__xludf.DUMMYFUNCTION("""COMPUTED_VALUE"""),"SOBRECARGA ")</f>
        <v>SOBRECARGA </v>
      </c>
      <c r="AG122" s="64" t="str">
        <f>IFERROR(__xludf.DUMMYFUNCTION("""COMPUTED_VALUE"""),"OPERATIVO EN CONJUNTO")</f>
        <v>OPERATIVO EN CONJUNTO</v>
      </c>
      <c r="AH122" s="64" t="str">
        <f>IFERROR(__xludf.DUMMYFUNCTION("""COMPUTED_VALUE"""),"PUESTO DE ATENCION AL USUARIO")</f>
        <v>PUESTO DE ATENCION AL USUARIO</v>
      </c>
      <c r="AI122" s="64" t="str">
        <f>IFERROR(__xludf.DUMMYFUNCTION("""COMPUTED_VALUE"""),"INCENDIO EN RUTA")</f>
        <v>INCENDIO EN RUTA</v>
      </c>
      <c r="AJ122" s="64" t="str">
        <f>IFERROR(__xludf.DUMMYFUNCTION("""COMPUTED_VALUE"""),"APOYO ANTORCHA ")</f>
        <v>APOYO ANTORCHA </v>
      </c>
    </row>
    <row r="123">
      <c r="B123" s="64" t="s">
        <v>54</v>
      </c>
      <c r="C123" s="64" t="str">
        <f>IFERROR(__xludf.DUMMYFUNCTION(" TRANSPOSE( unique ( QUERY(DATOPRO,""select Col2 where Col1 = '""&amp;B123&amp;""'"")))"),"PINCHAZO")</f>
        <v>PINCHAZO</v>
      </c>
      <c r="D123" s="64" t="str">
        <f>IFERROR(__xludf.DUMMYFUNCTION("""COMPUTED_VALUE"""),"TRABAJOS DE CARRETERA")</f>
        <v>TRABAJOS DE CARRETERA</v>
      </c>
      <c r="E123" s="64" t="str">
        <f>IFERROR(__xludf.DUMMYFUNCTION("""COMPUTED_VALUE"""),"CONSIGNACIÓN")</f>
        <v>CONSIGNACIÓN</v>
      </c>
      <c r="F123" s="64" t="str">
        <f>IFERROR(__xludf.DUMMYFUNCTION("""COMPUTED_VALUE"""),"DERRAME")</f>
        <v>DERRAME</v>
      </c>
      <c r="G123" s="64" t="str">
        <f>IFERROR(__xludf.DUMMYFUNCTION("""COMPUTED_VALUE"""),"CALENTAMIENTO")</f>
        <v>CALENTAMIENTO</v>
      </c>
      <c r="H123" s="64" t="str">
        <f>IFERROR(__xludf.DUMMYFUNCTION("""COMPUTED_VALUE"""),"ESCOLTANDO")</f>
        <v>ESCOLTANDO</v>
      </c>
      <c r="I123" s="64" t="str">
        <f>IFERROR(__xludf.DUMMYFUNCTION("""COMPUTED_VALUE"""),"FALTA DE COMBUSTIBLE")</f>
        <v>FALTA DE COMBUSTIBLE</v>
      </c>
      <c r="J123" s="64" t="str">
        <f>IFERROR(__xludf.DUMMYFUNCTION("""COMPUTED_VALUE"""),"DESPERFECTOS MECÁNICOS")</f>
        <v>DESPERFECTOS MECÁNICOS</v>
      </c>
      <c r="K123" s="64" t="str">
        <f>IFERROR(__xludf.DUMMYFUNCTION("""COMPUTED_VALUE"""),"LLAMADA DE ATENCIÓN")</f>
        <v>LLAMADA DE ATENCIÓN</v>
      </c>
      <c r="L123" s="64" t="str">
        <f>IFERROR(__xludf.DUMMYFUNCTION("""COMPUTED_VALUE"""),"OPERATIVOS")</f>
        <v>OPERATIVOS</v>
      </c>
      <c r="M123" s="64" t="str">
        <f>IFERROR(__xludf.DUMMYFUNCTION("""COMPUTED_VALUE"""),"SANCIÓN")</f>
        <v>SANCIÓN</v>
      </c>
      <c r="N123" s="64" t="str">
        <f>IFERROR(__xludf.DUMMYFUNCTION("""COMPUTED_VALUE"""),"SISTEMA ELECTRICO")</f>
        <v>SISTEMA ELECTRICO</v>
      </c>
      <c r="O123" s="64" t="str">
        <f>IFERROR(__xludf.DUMMYFUNCTION("""COMPUTED_VALUE"""),"ASISTENCIA AL USUARIO")</f>
        <v>ASISTENCIA AL USUARIO</v>
      </c>
      <c r="P123" s="64" t="str">
        <f>IFERROR(__xludf.DUMMYFUNCTION("""COMPUTED_VALUE"""),"DOBLE REMOLQUE")</f>
        <v>DOBLE REMOLQUE</v>
      </c>
      <c r="Q123" s="64" t="str">
        <f>IFERROR(__xludf.DUMMYFUNCTION("""COMPUTED_VALUE"""),"SINAPRESE")</f>
        <v>SINAPRESE</v>
      </c>
      <c r="R123" s="64" t="str">
        <f>IFERROR(__xludf.DUMMYFUNCTION("""COMPUTED_VALUE"""),"APOYO ATLETISMO")</f>
        <v>APOYO ATLETISMO</v>
      </c>
      <c r="S123" s="64" t="str">
        <f>IFERROR(__xludf.DUMMYFUNCTION("""COMPUTED_VALUE"""),"APOYO A CICLISMO")</f>
        <v>APOYO A CICLISMO</v>
      </c>
      <c r="T123" s="64" t="str">
        <f>IFERROR(__xludf.DUMMYFUNCTION("""COMPUTED_VALUE"""),"DESCARGA DE BATERÍA")</f>
        <v>DESCARGA DE BATERÍA</v>
      </c>
      <c r="U123" s="64" t="str">
        <f>IFERROR(__xludf.DUMMYFUNCTION("""COMPUTED_VALUE"""),"PROBLEMAS DE SALUD")</f>
        <v>PROBLEMAS DE SALUD</v>
      </c>
      <c r="V123" s="64" t="str">
        <f>IFERROR(__xludf.DUMMYFUNCTION("""COMPUTED_VALUE"""),"OLVIDO LA LLAVE")</f>
        <v>OLVIDO LA LLAVE</v>
      </c>
      <c r="W123" s="64" t="str">
        <f>IFERROR(__xludf.DUMMYFUNCTION("""COMPUTED_VALUE"""),"CARGA SOBREDIMENSIONADA")</f>
        <v>CARGA SOBREDIMENSIONADA</v>
      </c>
      <c r="X123" s="64" t="str">
        <f>IFERROR(__xludf.DUMMYFUNCTION("""COMPUTED_VALUE"""),"VEHÍCULO ABANDONADO")</f>
        <v>VEHÍCULO ABANDONADO</v>
      </c>
      <c r="Y123" s="64" t="str">
        <f>IFERROR(__xludf.DUMMYFUNCTION("""COMPUTED_VALUE"""),"DESPRENDIMIENTO")</f>
        <v>DESPRENDIMIENTO</v>
      </c>
      <c r="Z123" s="64" t="str">
        <f>IFERROR(__xludf.DUMMYFUNCTION("""COMPUTED_VALUE"""),"CAÍDA DE POSTE")</f>
        <v>CAÍDA DE POSTE</v>
      </c>
      <c r="AA123" s="64" t="str">
        <f>IFERROR(__xludf.DUMMYFUNCTION("""COMPUTED_VALUE"""),"CAÍDA DE RAMA")</f>
        <v>CAÍDA DE RAMA</v>
      </c>
      <c r="AB123" s="64" t="str">
        <f>IFERROR(__xludf.DUMMYFUNCTION("""COMPUTED_VALUE"""),"OPERATIVO DGT")</f>
        <v>OPERATIVO DGT</v>
      </c>
      <c r="AC123" s="64" t="str">
        <f>IFERROR(__xludf.DUMMYFUNCTION("""COMPUTED_VALUE"""),"OPERATIVO PMT")</f>
        <v>OPERATIVO PMT</v>
      </c>
      <c r="AD123" s="64" t="str">
        <f>IFERROR(__xludf.DUMMYFUNCTION("""COMPUTED_VALUE"""),"APOYO A DIGEF")</f>
        <v>APOYO A DIGEF</v>
      </c>
      <c r="AE123" s="64" t="str">
        <f>IFERROR(__xludf.DUMMYFUNCTION("""COMPUTED_VALUE"""),"OPERATIVO PNC TRANSITO")</f>
        <v>OPERATIVO PNC TRANSITO</v>
      </c>
      <c r="AF123" s="64" t="str">
        <f>IFERROR(__xludf.DUMMYFUNCTION("""COMPUTED_VALUE"""),"SOBRECARGA ")</f>
        <v>SOBRECARGA </v>
      </c>
      <c r="AG123" s="64" t="str">
        <f>IFERROR(__xludf.DUMMYFUNCTION("""COMPUTED_VALUE"""),"OPERATIVO EN CONJUNTO")</f>
        <v>OPERATIVO EN CONJUNTO</v>
      </c>
      <c r="AH123" s="64" t="str">
        <f>IFERROR(__xludf.DUMMYFUNCTION("""COMPUTED_VALUE"""),"PUESTO DE ATENCION AL USUARIO")</f>
        <v>PUESTO DE ATENCION AL USUARIO</v>
      </c>
      <c r="AI123" s="64" t="str">
        <f>IFERROR(__xludf.DUMMYFUNCTION("""COMPUTED_VALUE"""),"INCENDIO EN RUTA")</f>
        <v>INCENDIO EN RUTA</v>
      </c>
      <c r="AJ123" s="64" t="str">
        <f>IFERROR(__xludf.DUMMYFUNCTION("""COMPUTED_VALUE"""),"APOYO ANTORCHA ")</f>
        <v>APOYO ANTORCHA </v>
      </c>
    </row>
    <row r="124">
      <c r="B124" s="64"/>
      <c r="C124" s="64" t="str">
        <f>IFERROR(__xludf.DUMMYFUNCTION(" TRANSPOSE( unique ( QUERY(DATOPRO,""select Col2 where Col1 = '""&amp;B124&amp;""'"")))"),"")</f>
        <v/>
      </c>
    </row>
    <row r="125">
      <c r="B125" s="64" t="s">
        <v>38</v>
      </c>
      <c r="C125" s="64" t="str">
        <f>IFERROR(__xludf.DUMMYFUNCTION(" TRANSPOSE( unique ( QUERY(DATOPRO,""select Col2 where Col1 = '""&amp;B125&amp;""'"")))"),"ATAQUE ARMADO")</f>
        <v>ATAQUE ARMADO</v>
      </c>
      <c r="D125" s="64" t="str">
        <f>IFERROR(__xludf.DUMMYFUNCTION("""COMPUTED_VALUE"""),"DESBALANCE DE CARGA")</f>
        <v>DESBALANCE DE CARGA</v>
      </c>
      <c r="E125" s="64" t="str">
        <f>IFERROR(__xludf.DUMMYFUNCTION("""COMPUTED_VALUE"""),"PERSONA FALLECIDA")</f>
        <v>PERSONA FALLECIDA</v>
      </c>
      <c r="F125" s="64" t="str">
        <f>IFERROR(__xludf.DUMMYFUNCTION("""COMPUTED_VALUE"""),"DESPRENDIMIENTO DE NEUMATICO")</f>
        <v>DESPRENDIMIENTO DE NEUMATICO</v>
      </c>
      <c r="G125" s="64" t="str">
        <f>IFERROR(__xludf.DUMMYFUNCTION("""COMPUTED_VALUE"""),"SALIDA DE PISTA")</f>
        <v>SALIDA DE PISTA</v>
      </c>
      <c r="H125" s="64" t="str">
        <f>IFERROR(__xludf.DUMMYFUNCTION("""COMPUTED_VALUE"""),"DESPRENDIMIENTO DE CONTENEDOR")</f>
        <v>DESPRENDIMIENTO DE CONTENEDOR</v>
      </c>
      <c r="I125" s="64" t="str">
        <f>IFERROR(__xludf.DUMMYFUNCTION("""COMPUTED_VALUE"""),"CAÍDA DE CARGA")</f>
        <v>CAÍDA DE CARGA</v>
      </c>
      <c r="J125" s="64" t="str">
        <f>IFERROR(__xludf.DUMMYFUNCTION("""COMPUTED_VALUE"""),"CHOQUE")</f>
        <v>CHOQUE</v>
      </c>
      <c r="K125" s="64" t="str">
        <f>IFERROR(__xludf.DUMMYFUNCTION("""COMPUTED_VALUE"""),"COLISIÓN")</f>
        <v>COLISIÓN</v>
      </c>
      <c r="L125" s="64" t="str">
        <f>IFERROR(__xludf.DUMMYFUNCTION("""COMPUTED_VALUE"""),"COLISIÓN MÚLTIPLE")</f>
        <v>COLISIÓN MÚLTIPLE</v>
      </c>
      <c r="M125" s="64" t="str">
        <f>IFERROR(__xludf.DUMMYFUNCTION("""COMPUTED_VALUE"""),"DERRAPE")</f>
        <v>DERRAPE</v>
      </c>
      <c r="N125" s="64" t="str">
        <f>IFERROR(__xludf.DUMMYFUNCTION("""COMPUTED_VALUE"""),"VEHÍCULO INCENDIADO")</f>
        <v>VEHÍCULO INCENDIADO</v>
      </c>
      <c r="O125" s="64" t="str">
        <f>IFERROR(__xludf.DUMMYFUNCTION("""COMPUTED_VALUE"""),"VUELCO")</f>
        <v>VUELCO</v>
      </c>
      <c r="P125" s="64" t="str">
        <f>IFERROR(__xludf.DUMMYFUNCTION("""COMPUTED_VALUE"""),"DESPRENDIMIENTO")</f>
        <v>DESPRENDIMIENTO</v>
      </c>
      <c r="Q125" s="64" t="str">
        <f>IFERROR(__xludf.DUMMYFUNCTION("""COMPUTED_VALUE"""),"CAÍDA DE ÁRBOL")</f>
        <v>CAÍDA DE ÁRBOL</v>
      </c>
      <c r="R125" s="64" t="str">
        <f>IFERROR(__xludf.DUMMYFUNCTION("""COMPUTED_VALUE"""),"DESPRENDIMIENTO DE EJE")</f>
        <v>DESPRENDIMIENTO DE EJE</v>
      </c>
      <c r="S125" s="64" t="str">
        <f>IFERROR(__xludf.DUMMYFUNCTION("""COMPUTED_VALUE"""),"PERSONA ATROPELLADA")</f>
        <v>PERSONA ATROPELLADA</v>
      </c>
    </row>
    <row r="126">
      <c r="B126" s="64" t="s">
        <v>54</v>
      </c>
      <c r="C126" s="64" t="str">
        <f>IFERROR(__xludf.DUMMYFUNCTION(" TRANSPOSE( unique ( QUERY(DATOPRO,""select Col2 where Col1 = '""&amp;B126&amp;""'"")))"),"PINCHAZO")</f>
        <v>PINCHAZO</v>
      </c>
      <c r="D126" s="64" t="str">
        <f>IFERROR(__xludf.DUMMYFUNCTION("""COMPUTED_VALUE"""),"TRABAJOS DE CARRETERA")</f>
        <v>TRABAJOS DE CARRETERA</v>
      </c>
      <c r="E126" s="64" t="str">
        <f>IFERROR(__xludf.DUMMYFUNCTION("""COMPUTED_VALUE"""),"CONSIGNACIÓN")</f>
        <v>CONSIGNACIÓN</v>
      </c>
      <c r="F126" s="64" t="str">
        <f>IFERROR(__xludf.DUMMYFUNCTION("""COMPUTED_VALUE"""),"DERRAME")</f>
        <v>DERRAME</v>
      </c>
      <c r="G126" s="64" t="str">
        <f>IFERROR(__xludf.DUMMYFUNCTION("""COMPUTED_VALUE"""),"CALENTAMIENTO")</f>
        <v>CALENTAMIENTO</v>
      </c>
      <c r="H126" s="64" t="str">
        <f>IFERROR(__xludf.DUMMYFUNCTION("""COMPUTED_VALUE"""),"ESCOLTANDO")</f>
        <v>ESCOLTANDO</v>
      </c>
      <c r="I126" s="64" t="str">
        <f>IFERROR(__xludf.DUMMYFUNCTION("""COMPUTED_VALUE"""),"FALTA DE COMBUSTIBLE")</f>
        <v>FALTA DE COMBUSTIBLE</v>
      </c>
      <c r="J126" s="64" t="str">
        <f>IFERROR(__xludf.DUMMYFUNCTION("""COMPUTED_VALUE"""),"DESPERFECTOS MECÁNICOS")</f>
        <v>DESPERFECTOS MECÁNICOS</v>
      </c>
      <c r="K126" s="64" t="str">
        <f>IFERROR(__xludf.DUMMYFUNCTION("""COMPUTED_VALUE"""),"LLAMADA DE ATENCIÓN")</f>
        <v>LLAMADA DE ATENCIÓN</v>
      </c>
      <c r="L126" s="64" t="str">
        <f>IFERROR(__xludf.DUMMYFUNCTION("""COMPUTED_VALUE"""),"OPERATIVOS")</f>
        <v>OPERATIVOS</v>
      </c>
      <c r="M126" s="64" t="str">
        <f>IFERROR(__xludf.DUMMYFUNCTION("""COMPUTED_VALUE"""),"SANCIÓN")</f>
        <v>SANCIÓN</v>
      </c>
      <c r="N126" s="64" t="str">
        <f>IFERROR(__xludf.DUMMYFUNCTION("""COMPUTED_VALUE"""),"SISTEMA ELECTRICO")</f>
        <v>SISTEMA ELECTRICO</v>
      </c>
      <c r="O126" s="64" t="str">
        <f>IFERROR(__xludf.DUMMYFUNCTION("""COMPUTED_VALUE"""),"ASISTENCIA AL USUARIO")</f>
        <v>ASISTENCIA AL USUARIO</v>
      </c>
      <c r="P126" s="64" t="str">
        <f>IFERROR(__xludf.DUMMYFUNCTION("""COMPUTED_VALUE"""),"DOBLE REMOLQUE")</f>
        <v>DOBLE REMOLQUE</v>
      </c>
      <c r="Q126" s="64" t="str">
        <f>IFERROR(__xludf.DUMMYFUNCTION("""COMPUTED_VALUE"""),"SINAPRESE")</f>
        <v>SINAPRESE</v>
      </c>
      <c r="R126" s="64" t="str">
        <f>IFERROR(__xludf.DUMMYFUNCTION("""COMPUTED_VALUE"""),"APOYO ATLETISMO")</f>
        <v>APOYO ATLETISMO</v>
      </c>
      <c r="S126" s="64" t="str">
        <f>IFERROR(__xludf.DUMMYFUNCTION("""COMPUTED_VALUE"""),"APOYO A CICLISMO")</f>
        <v>APOYO A CICLISMO</v>
      </c>
      <c r="T126" s="64" t="str">
        <f>IFERROR(__xludf.DUMMYFUNCTION("""COMPUTED_VALUE"""),"DESCARGA DE BATERÍA")</f>
        <v>DESCARGA DE BATERÍA</v>
      </c>
      <c r="U126" s="64" t="str">
        <f>IFERROR(__xludf.DUMMYFUNCTION("""COMPUTED_VALUE"""),"PROBLEMAS DE SALUD")</f>
        <v>PROBLEMAS DE SALUD</v>
      </c>
      <c r="V126" s="64" t="str">
        <f>IFERROR(__xludf.DUMMYFUNCTION("""COMPUTED_VALUE"""),"OLVIDO LA LLAVE")</f>
        <v>OLVIDO LA LLAVE</v>
      </c>
      <c r="W126" s="64" t="str">
        <f>IFERROR(__xludf.DUMMYFUNCTION("""COMPUTED_VALUE"""),"CARGA SOBREDIMENSIONADA")</f>
        <v>CARGA SOBREDIMENSIONADA</v>
      </c>
      <c r="X126" s="64" t="str">
        <f>IFERROR(__xludf.DUMMYFUNCTION("""COMPUTED_VALUE"""),"VEHÍCULO ABANDONADO")</f>
        <v>VEHÍCULO ABANDONADO</v>
      </c>
      <c r="Y126" s="64" t="str">
        <f>IFERROR(__xludf.DUMMYFUNCTION("""COMPUTED_VALUE"""),"DESPRENDIMIENTO")</f>
        <v>DESPRENDIMIENTO</v>
      </c>
      <c r="Z126" s="64" t="str">
        <f>IFERROR(__xludf.DUMMYFUNCTION("""COMPUTED_VALUE"""),"CAÍDA DE POSTE")</f>
        <v>CAÍDA DE POSTE</v>
      </c>
      <c r="AA126" s="64" t="str">
        <f>IFERROR(__xludf.DUMMYFUNCTION("""COMPUTED_VALUE"""),"CAÍDA DE RAMA")</f>
        <v>CAÍDA DE RAMA</v>
      </c>
      <c r="AB126" s="64" t="str">
        <f>IFERROR(__xludf.DUMMYFUNCTION("""COMPUTED_VALUE"""),"OPERATIVO DGT")</f>
        <v>OPERATIVO DGT</v>
      </c>
      <c r="AC126" s="64" t="str">
        <f>IFERROR(__xludf.DUMMYFUNCTION("""COMPUTED_VALUE"""),"OPERATIVO PMT")</f>
        <v>OPERATIVO PMT</v>
      </c>
      <c r="AD126" s="64" t="str">
        <f>IFERROR(__xludf.DUMMYFUNCTION("""COMPUTED_VALUE"""),"APOYO A DIGEF")</f>
        <v>APOYO A DIGEF</v>
      </c>
      <c r="AE126" s="64" t="str">
        <f>IFERROR(__xludf.DUMMYFUNCTION("""COMPUTED_VALUE"""),"OPERATIVO PNC TRANSITO")</f>
        <v>OPERATIVO PNC TRANSITO</v>
      </c>
      <c r="AF126" s="64" t="str">
        <f>IFERROR(__xludf.DUMMYFUNCTION("""COMPUTED_VALUE"""),"SOBRECARGA ")</f>
        <v>SOBRECARGA </v>
      </c>
      <c r="AG126" s="64" t="str">
        <f>IFERROR(__xludf.DUMMYFUNCTION("""COMPUTED_VALUE"""),"OPERATIVO EN CONJUNTO")</f>
        <v>OPERATIVO EN CONJUNTO</v>
      </c>
      <c r="AH126" s="64" t="str">
        <f>IFERROR(__xludf.DUMMYFUNCTION("""COMPUTED_VALUE"""),"PUESTO DE ATENCION AL USUARIO")</f>
        <v>PUESTO DE ATENCION AL USUARIO</v>
      </c>
      <c r="AI126" s="64" t="str">
        <f>IFERROR(__xludf.DUMMYFUNCTION("""COMPUTED_VALUE"""),"INCENDIO EN RUTA")</f>
        <v>INCENDIO EN RUTA</v>
      </c>
      <c r="AJ126" s="64" t="str">
        <f>IFERROR(__xludf.DUMMYFUNCTION("""COMPUTED_VALUE"""),"APOYO ANTORCHA ")</f>
        <v>APOYO ANTORCHA </v>
      </c>
    </row>
    <row r="127">
      <c r="B127" s="64" t="s">
        <v>54</v>
      </c>
      <c r="C127" s="64" t="str">
        <f>IFERROR(__xludf.DUMMYFUNCTION(" TRANSPOSE( unique ( QUERY(DATOPRO,""select Col2 where Col1 = '""&amp;B127&amp;""'"")))"),"PINCHAZO")</f>
        <v>PINCHAZO</v>
      </c>
      <c r="D127" s="64" t="str">
        <f>IFERROR(__xludf.DUMMYFUNCTION("""COMPUTED_VALUE"""),"TRABAJOS DE CARRETERA")</f>
        <v>TRABAJOS DE CARRETERA</v>
      </c>
      <c r="E127" s="64" t="str">
        <f>IFERROR(__xludf.DUMMYFUNCTION("""COMPUTED_VALUE"""),"CONSIGNACIÓN")</f>
        <v>CONSIGNACIÓN</v>
      </c>
      <c r="F127" s="64" t="str">
        <f>IFERROR(__xludf.DUMMYFUNCTION("""COMPUTED_VALUE"""),"DERRAME")</f>
        <v>DERRAME</v>
      </c>
      <c r="G127" s="64" t="str">
        <f>IFERROR(__xludf.DUMMYFUNCTION("""COMPUTED_VALUE"""),"CALENTAMIENTO")</f>
        <v>CALENTAMIENTO</v>
      </c>
      <c r="H127" s="64" t="str">
        <f>IFERROR(__xludf.DUMMYFUNCTION("""COMPUTED_VALUE"""),"ESCOLTANDO")</f>
        <v>ESCOLTANDO</v>
      </c>
      <c r="I127" s="64" t="str">
        <f>IFERROR(__xludf.DUMMYFUNCTION("""COMPUTED_VALUE"""),"FALTA DE COMBUSTIBLE")</f>
        <v>FALTA DE COMBUSTIBLE</v>
      </c>
      <c r="J127" s="64" t="str">
        <f>IFERROR(__xludf.DUMMYFUNCTION("""COMPUTED_VALUE"""),"DESPERFECTOS MECÁNICOS")</f>
        <v>DESPERFECTOS MECÁNICOS</v>
      </c>
      <c r="K127" s="64" t="str">
        <f>IFERROR(__xludf.DUMMYFUNCTION("""COMPUTED_VALUE"""),"LLAMADA DE ATENCIÓN")</f>
        <v>LLAMADA DE ATENCIÓN</v>
      </c>
      <c r="L127" s="64" t="str">
        <f>IFERROR(__xludf.DUMMYFUNCTION("""COMPUTED_VALUE"""),"OPERATIVOS")</f>
        <v>OPERATIVOS</v>
      </c>
      <c r="M127" s="64" t="str">
        <f>IFERROR(__xludf.DUMMYFUNCTION("""COMPUTED_VALUE"""),"SANCIÓN")</f>
        <v>SANCIÓN</v>
      </c>
      <c r="N127" s="64" t="str">
        <f>IFERROR(__xludf.DUMMYFUNCTION("""COMPUTED_VALUE"""),"SISTEMA ELECTRICO")</f>
        <v>SISTEMA ELECTRICO</v>
      </c>
      <c r="O127" s="64" t="str">
        <f>IFERROR(__xludf.DUMMYFUNCTION("""COMPUTED_VALUE"""),"ASISTENCIA AL USUARIO")</f>
        <v>ASISTENCIA AL USUARIO</v>
      </c>
      <c r="P127" s="64" t="str">
        <f>IFERROR(__xludf.DUMMYFUNCTION("""COMPUTED_VALUE"""),"DOBLE REMOLQUE")</f>
        <v>DOBLE REMOLQUE</v>
      </c>
      <c r="Q127" s="64" t="str">
        <f>IFERROR(__xludf.DUMMYFUNCTION("""COMPUTED_VALUE"""),"SINAPRESE")</f>
        <v>SINAPRESE</v>
      </c>
      <c r="R127" s="64" t="str">
        <f>IFERROR(__xludf.DUMMYFUNCTION("""COMPUTED_VALUE"""),"APOYO ATLETISMO")</f>
        <v>APOYO ATLETISMO</v>
      </c>
      <c r="S127" s="64" t="str">
        <f>IFERROR(__xludf.DUMMYFUNCTION("""COMPUTED_VALUE"""),"APOYO A CICLISMO")</f>
        <v>APOYO A CICLISMO</v>
      </c>
      <c r="T127" s="64" t="str">
        <f>IFERROR(__xludf.DUMMYFUNCTION("""COMPUTED_VALUE"""),"DESCARGA DE BATERÍA")</f>
        <v>DESCARGA DE BATERÍA</v>
      </c>
      <c r="U127" s="64" t="str">
        <f>IFERROR(__xludf.DUMMYFUNCTION("""COMPUTED_VALUE"""),"PROBLEMAS DE SALUD")</f>
        <v>PROBLEMAS DE SALUD</v>
      </c>
      <c r="V127" s="64" t="str">
        <f>IFERROR(__xludf.DUMMYFUNCTION("""COMPUTED_VALUE"""),"OLVIDO LA LLAVE")</f>
        <v>OLVIDO LA LLAVE</v>
      </c>
      <c r="W127" s="64" t="str">
        <f>IFERROR(__xludf.DUMMYFUNCTION("""COMPUTED_VALUE"""),"CARGA SOBREDIMENSIONADA")</f>
        <v>CARGA SOBREDIMENSIONADA</v>
      </c>
      <c r="X127" s="64" t="str">
        <f>IFERROR(__xludf.DUMMYFUNCTION("""COMPUTED_VALUE"""),"VEHÍCULO ABANDONADO")</f>
        <v>VEHÍCULO ABANDONADO</v>
      </c>
      <c r="Y127" s="64" t="str">
        <f>IFERROR(__xludf.DUMMYFUNCTION("""COMPUTED_VALUE"""),"DESPRENDIMIENTO")</f>
        <v>DESPRENDIMIENTO</v>
      </c>
      <c r="Z127" s="64" t="str">
        <f>IFERROR(__xludf.DUMMYFUNCTION("""COMPUTED_VALUE"""),"CAÍDA DE POSTE")</f>
        <v>CAÍDA DE POSTE</v>
      </c>
      <c r="AA127" s="64" t="str">
        <f>IFERROR(__xludf.DUMMYFUNCTION("""COMPUTED_VALUE"""),"CAÍDA DE RAMA")</f>
        <v>CAÍDA DE RAMA</v>
      </c>
      <c r="AB127" s="64" t="str">
        <f>IFERROR(__xludf.DUMMYFUNCTION("""COMPUTED_VALUE"""),"OPERATIVO DGT")</f>
        <v>OPERATIVO DGT</v>
      </c>
      <c r="AC127" s="64" t="str">
        <f>IFERROR(__xludf.DUMMYFUNCTION("""COMPUTED_VALUE"""),"OPERATIVO PMT")</f>
        <v>OPERATIVO PMT</v>
      </c>
      <c r="AD127" s="64" t="str">
        <f>IFERROR(__xludf.DUMMYFUNCTION("""COMPUTED_VALUE"""),"APOYO A DIGEF")</f>
        <v>APOYO A DIGEF</v>
      </c>
      <c r="AE127" s="64" t="str">
        <f>IFERROR(__xludf.DUMMYFUNCTION("""COMPUTED_VALUE"""),"OPERATIVO PNC TRANSITO")</f>
        <v>OPERATIVO PNC TRANSITO</v>
      </c>
      <c r="AF127" s="64" t="str">
        <f>IFERROR(__xludf.DUMMYFUNCTION("""COMPUTED_VALUE"""),"SOBRECARGA ")</f>
        <v>SOBRECARGA </v>
      </c>
      <c r="AG127" s="64" t="str">
        <f>IFERROR(__xludf.DUMMYFUNCTION("""COMPUTED_VALUE"""),"OPERATIVO EN CONJUNTO")</f>
        <v>OPERATIVO EN CONJUNTO</v>
      </c>
      <c r="AH127" s="64" t="str">
        <f>IFERROR(__xludf.DUMMYFUNCTION("""COMPUTED_VALUE"""),"PUESTO DE ATENCION AL USUARIO")</f>
        <v>PUESTO DE ATENCION AL USUARIO</v>
      </c>
      <c r="AI127" s="64" t="str">
        <f>IFERROR(__xludf.DUMMYFUNCTION("""COMPUTED_VALUE"""),"INCENDIO EN RUTA")</f>
        <v>INCENDIO EN RUTA</v>
      </c>
      <c r="AJ127" s="64" t="str">
        <f>IFERROR(__xludf.DUMMYFUNCTION("""COMPUTED_VALUE"""),"APOYO ANTORCHA ")</f>
        <v>APOYO ANTORCHA </v>
      </c>
    </row>
    <row r="128">
      <c r="B128" s="64" t="s">
        <v>38</v>
      </c>
      <c r="C128" s="64" t="str">
        <f>IFERROR(__xludf.DUMMYFUNCTION(" TRANSPOSE( unique ( QUERY(DATOPRO,""select Col2 where Col1 = '""&amp;B128&amp;""'"")))"),"ATAQUE ARMADO")</f>
        <v>ATAQUE ARMADO</v>
      </c>
      <c r="D128" s="64" t="str">
        <f>IFERROR(__xludf.DUMMYFUNCTION("""COMPUTED_VALUE"""),"DESBALANCE DE CARGA")</f>
        <v>DESBALANCE DE CARGA</v>
      </c>
      <c r="E128" s="64" t="str">
        <f>IFERROR(__xludf.DUMMYFUNCTION("""COMPUTED_VALUE"""),"PERSONA FALLECIDA")</f>
        <v>PERSONA FALLECIDA</v>
      </c>
      <c r="F128" s="64" t="str">
        <f>IFERROR(__xludf.DUMMYFUNCTION("""COMPUTED_VALUE"""),"DESPRENDIMIENTO DE NEUMATICO")</f>
        <v>DESPRENDIMIENTO DE NEUMATICO</v>
      </c>
      <c r="G128" s="64" t="str">
        <f>IFERROR(__xludf.DUMMYFUNCTION("""COMPUTED_VALUE"""),"SALIDA DE PISTA")</f>
        <v>SALIDA DE PISTA</v>
      </c>
      <c r="H128" s="64" t="str">
        <f>IFERROR(__xludf.DUMMYFUNCTION("""COMPUTED_VALUE"""),"DESPRENDIMIENTO DE CONTENEDOR")</f>
        <v>DESPRENDIMIENTO DE CONTENEDOR</v>
      </c>
      <c r="I128" s="64" t="str">
        <f>IFERROR(__xludf.DUMMYFUNCTION("""COMPUTED_VALUE"""),"CAÍDA DE CARGA")</f>
        <v>CAÍDA DE CARGA</v>
      </c>
      <c r="J128" s="64" t="str">
        <f>IFERROR(__xludf.DUMMYFUNCTION("""COMPUTED_VALUE"""),"CHOQUE")</f>
        <v>CHOQUE</v>
      </c>
      <c r="K128" s="64" t="str">
        <f>IFERROR(__xludf.DUMMYFUNCTION("""COMPUTED_VALUE"""),"COLISIÓN")</f>
        <v>COLISIÓN</v>
      </c>
      <c r="L128" s="64" t="str">
        <f>IFERROR(__xludf.DUMMYFUNCTION("""COMPUTED_VALUE"""),"COLISIÓN MÚLTIPLE")</f>
        <v>COLISIÓN MÚLTIPLE</v>
      </c>
      <c r="M128" s="64" t="str">
        <f>IFERROR(__xludf.DUMMYFUNCTION("""COMPUTED_VALUE"""),"DERRAPE")</f>
        <v>DERRAPE</v>
      </c>
      <c r="N128" s="64" t="str">
        <f>IFERROR(__xludf.DUMMYFUNCTION("""COMPUTED_VALUE"""),"VEHÍCULO INCENDIADO")</f>
        <v>VEHÍCULO INCENDIADO</v>
      </c>
      <c r="O128" s="64" t="str">
        <f>IFERROR(__xludf.DUMMYFUNCTION("""COMPUTED_VALUE"""),"VUELCO")</f>
        <v>VUELCO</v>
      </c>
      <c r="P128" s="64" t="str">
        <f>IFERROR(__xludf.DUMMYFUNCTION("""COMPUTED_VALUE"""),"DESPRENDIMIENTO")</f>
        <v>DESPRENDIMIENTO</v>
      </c>
      <c r="Q128" s="64" t="str">
        <f>IFERROR(__xludf.DUMMYFUNCTION("""COMPUTED_VALUE"""),"CAÍDA DE ÁRBOL")</f>
        <v>CAÍDA DE ÁRBOL</v>
      </c>
      <c r="R128" s="64" t="str">
        <f>IFERROR(__xludf.DUMMYFUNCTION("""COMPUTED_VALUE"""),"DESPRENDIMIENTO DE EJE")</f>
        <v>DESPRENDIMIENTO DE EJE</v>
      </c>
      <c r="S128" s="64" t="str">
        <f>IFERROR(__xludf.DUMMYFUNCTION("""COMPUTED_VALUE"""),"PERSONA ATROPELLADA")</f>
        <v>PERSONA ATROPELLADA</v>
      </c>
    </row>
    <row r="129">
      <c r="B129" s="64" t="s">
        <v>54</v>
      </c>
      <c r="C129" s="64" t="str">
        <f>IFERROR(__xludf.DUMMYFUNCTION(" TRANSPOSE( unique ( QUERY(DATOPRO,""select Col2 where Col1 = '""&amp;B129&amp;""'"")))"),"PINCHAZO")</f>
        <v>PINCHAZO</v>
      </c>
      <c r="D129" s="64" t="str">
        <f>IFERROR(__xludf.DUMMYFUNCTION("""COMPUTED_VALUE"""),"TRABAJOS DE CARRETERA")</f>
        <v>TRABAJOS DE CARRETERA</v>
      </c>
      <c r="E129" s="64" t="str">
        <f>IFERROR(__xludf.DUMMYFUNCTION("""COMPUTED_VALUE"""),"CONSIGNACIÓN")</f>
        <v>CONSIGNACIÓN</v>
      </c>
      <c r="F129" s="64" t="str">
        <f>IFERROR(__xludf.DUMMYFUNCTION("""COMPUTED_VALUE"""),"DERRAME")</f>
        <v>DERRAME</v>
      </c>
      <c r="G129" s="64" t="str">
        <f>IFERROR(__xludf.DUMMYFUNCTION("""COMPUTED_VALUE"""),"CALENTAMIENTO")</f>
        <v>CALENTAMIENTO</v>
      </c>
      <c r="H129" s="64" t="str">
        <f>IFERROR(__xludf.DUMMYFUNCTION("""COMPUTED_VALUE"""),"ESCOLTANDO")</f>
        <v>ESCOLTANDO</v>
      </c>
      <c r="I129" s="64" t="str">
        <f>IFERROR(__xludf.DUMMYFUNCTION("""COMPUTED_VALUE"""),"FALTA DE COMBUSTIBLE")</f>
        <v>FALTA DE COMBUSTIBLE</v>
      </c>
      <c r="J129" s="64" t="str">
        <f>IFERROR(__xludf.DUMMYFUNCTION("""COMPUTED_VALUE"""),"DESPERFECTOS MECÁNICOS")</f>
        <v>DESPERFECTOS MECÁNICOS</v>
      </c>
      <c r="K129" s="64" t="str">
        <f>IFERROR(__xludf.DUMMYFUNCTION("""COMPUTED_VALUE"""),"LLAMADA DE ATENCIÓN")</f>
        <v>LLAMADA DE ATENCIÓN</v>
      </c>
      <c r="L129" s="64" t="str">
        <f>IFERROR(__xludf.DUMMYFUNCTION("""COMPUTED_VALUE"""),"OPERATIVOS")</f>
        <v>OPERATIVOS</v>
      </c>
      <c r="M129" s="64" t="str">
        <f>IFERROR(__xludf.DUMMYFUNCTION("""COMPUTED_VALUE"""),"SANCIÓN")</f>
        <v>SANCIÓN</v>
      </c>
      <c r="N129" s="64" t="str">
        <f>IFERROR(__xludf.DUMMYFUNCTION("""COMPUTED_VALUE"""),"SISTEMA ELECTRICO")</f>
        <v>SISTEMA ELECTRICO</v>
      </c>
      <c r="O129" s="64" t="str">
        <f>IFERROR(__xludf.DUMMYFUNCTION("""COMPUTED_VALUE"""),"ASISTENCIA AL USUARIO")</f>
        <v>ASISTENCIA AL USUARIO</v>
      </c>
      <c r="P129" s="64" t="str">
        <f>IFERROR(__xludf.DUMMYFUNCTION("""COMPUTED_VALUE"""),"DOBLE REMOLQUE")</f>
        <v>DOBLE REMOLQUE</v>
      </c>
      <c r="Q129" s="64" t="str">
        <f>IFERROR(__xludf.DUMMYFUNCTION("""COMPUTED_VALUE"""),"SINAPRESE")</f>
        <v>SINAPRESE</v>
      </c>
      <c r="R129" s="64" t="str">
        <f>IFERROR(__xludf.DUMMYFUNCTION("""COMPUTED_VALUE"""),"APOYO ATLETISMO")</f>
        <v>APOYO ATLETISMO</v>
      </c>
      <c r="S129" s="64" t="str">
        <f>IFERROR(__xludf.DUMMYFUNCTION("""COMPUTED_VALUE"""),"APOYO A CICLISMO")</f>
        <v>APOYO A CICLISMO</v>
      </c>
      <c r="T129" s="64" t="str">
        <f>IFERROR(__xludf.DUMMYFUNCTION("""COMPUTED_VALUE"""),"DESCARGA DE BATERÍA")</f>
        <v>DESCARGA DE BATERÍA</v>
      </c>
      <c r="U129" s="64" t="str">
        <f>IFERROR(__xludf.DUMMYFUNCTION("""COMPUTED_VALUE"""),"PROBLEMAS DE SALUD")</f>
        <v>PROBLEMAS DE SALUD</v>
      </c>
      <c r="V129" s="64" t="str">
        <f>IFERROR(__xludf.DUMMYFUNCTION("""COMPUTED_VALUE"""),"OLVIDO LA LLAVE")</f>
        <v>OLVIDO LA LLAVE</v>
      </c>
      <c r="W129" s="64" t="str">
        <f>IFERROR(__xludf.DUMMYFUNCTION("""COMPUTED_VALUE"""),"CARGA SOBREDIMENSIONADA")</f>
        <v>CARGA SOBREDIMENSIONADA</v>
      </c>
      <c r="X129" s="64" t="str">
        <f>IFERROR(__xludf.DUMMYFUNCTION("""COMPUTED_VALUE"""),"VEHÍCULO ABANDONADO")</f>
        <v>VEHÍCULO ABANDONADO</v>
      </c>
      <c r="Y129" s="64" t="str">
        <f>IFERROR(__xludf.DUMMYFUNCTION("""COMPUTED_VALUE"""),"DESPRENDIMIENTO")</f>
        <v>DESPRENDIMIENTO</v>
      </c>
      <c r="Z129" s="64" t="str">
        <f>IFERROR(__xludf.DUMMYFUNCTION("""COMPUTED_VALUE"""),"CAÍDA DE POSTE")</f>
        <v>CAÍDA DE POSTE</v>
      </c>
      <c r="AA129" s="64" t="str">
        <f>IFERROR(__xludf.DUMMYFUNCTION("""COMPUTED_VALUE"""),"CAÍDA DE RAMA")</f>
        <v>CAÍDA DE RAMA</v>
      </c>
      <c r="AB129" s="64" t="str">
        <f>IFERROR(__xludf.DUMMYFUNCTION("""COMPUTED_VALUE"""),"OPERATIVO DGT")</f>
        <v>OPERATIVO DGT</v>
      </c>
      <c r="AC129" s="64" t="str">
        <f>IFERROR(__xludf.DUMMYFUNCTION("""COMPUTED_VALUE"""),"OPERATIVO PMT")</f>
        <v>OPERATIVO PMT</v>
      </c>
      <c r="AD129" s="64" t="str">
        <f>IFERROR(__xludf.DUMMYFUNCTION("""COMPUTED_VALUE"""),"APOYO A DIGEF")</f>
        <v>APOYO A DIGEF</v>
      </c>
      <c r="AE129" s="64" t="str">
        <f>IFERROR(__xludf.DUMMYFUNCTION("""COMPUTED_VALUE"""),"OPERATIVO PNC TRANSITO")</f>
        <v>OPERATIVO PNC TRANSITO</v>
      </c>
      <c r="AF129" s="64" t="str">
        <f>IFERROR(__xludf.DUMMYFUNCTION("""COMPUTED_VALUE"""),"SOBRECARGA ")</f>
        <v>SOBRECARGA </v>
      </c>
      <c r="AG129" s="64" t="str">
        <f>IFERROR(__xludf.DUMMYFUNCTION("""COMPUTED_VALUE"""),"OPERATIVO EN CONJUNTO")</f>
        <v>OPERATIVO EN CONJUNTO</v>
      </c>
      <c r="AH129" s="64" t="str">
        <f>IFERROR(__xludf.DUMMYFUNCTION("""COMPUTED_VALUE"""),"PUESTO DE ATENCION AL USUARIO")</f>
        <v>PUESTO DE ATENCION AL USUARIO</v>
      </c>
      <c r="AI129" s="64" t="str">
        <f>IFERROR(__xludf.DUMMYFUNCTION("""COMPUTED_VALUE"""),"INCENDIO EN RUTA")</f>
        <v>INCENDIO EN RUTA</v>
      </c>
      <c r="AJ129" s="64" t="str">
        <f>IFERROR(__xludf.DUMMYFUNCTION("""COMPUTED_VALUE"""),"APOYO ANTORCHA ")</f>
        <v>APOYO ANTORCHA </v>
      </c>
    </row>
    <row r="130">
      <c r="B130" s="64" t="s">
        <v>54</v>
      </c>
      <c r="C130" s="64" t="str">
        <f>IFERROR(__xludf.DUMMYFUNCTION(" TRANSPOSE( unique ( QUERY(DATOPRO,""select Col2 where Col1 = '""&amp;B130&amp;""'"")))"),"PINCHAZO")</f>
        <v>PINCHAZO</v>
      </c>
      <c r="D130" s="64" t="str">
        <f>IFERROR(__xludf.DUMMYFUNCTION("""COMPUTED_VALUE"""),"TRABAJOS DE CARRETERA")</f>
        <v>TRABAJOS DE CARRETERA</v>
      </c>
      <c r="E130" s="64" t="str">
        <f>IFERROR(__xludf.DUMMYFUNCTION("""COMPUTED_VALUE"""),"CONSIGNACIÓN")</f>
        <v>CONSIGNACIÓN</v>
      </c>
      <c r="F130" s="64" t="str">
        <f>IFERROR(__xludf.DUMMYFUNCTION("""COMPUTED_VALUE"""),"DERRAME")</f>
        <v>DERRAME</v>
      </c>
      <c r="G130" s="64" t="str">
        <f>IFERROR(__xludf.DUMMYFUNCTION("""COMPUTED_VALUE"""),"CALENTAMIENTO")</f>
        <v>CALENTAMIENTO</v>
      </c>
      <c r="H130" s="64" t="str">
        <f>IFERROR(__xludf.DUMMYFUNCTION("""COMPUTED_VALUE"""),"ESCOLTANDO")</f>
        <v>ESCOLTANDO</v>
      </c>
      <c r="I130" s="64" t="str">
        <f>IFERROR(__xludf.DUMMYFUNCTION("""COMPUTED_VALUE"""),"FALTA DE COMBUSTIBLE")</f>
        <v>FALTA DE COMBUSTIBLE</v>
      </c>
      <c r="J130" s="64" t="str">
        <f>IFERROR(__xludf.DUMMYFUNCTION("""COMPUTED_VALUE"""),"DESPERFECTOS MECÁNICOS")</f>
        <v>DESPERFECTOS MECÁNICOS</v>
      </c>
      <c r="K130" s="64" t="str">
        <f>IFERROR(__xludf.DUMMYFUNCTION("""COMPUTED_VALUE"""),"LLAMADA DE ATENCIÓN")</f>
        <v>LLAMADA DE ATENCIÓN</v>
      </c>
      <c r="L130" s="64" t="str">
        <f>IFERROR(__xludf.DUMMYFUNCTION("""COMPUTED_VALUE"""),"OPERATIVOS")</f>
        <v>OPERATIVOS</v>
      </c>
      <c r="M130" s="64" t="str">
        <f>IFERROR(__xludf.DUMMYFUNCTION("""COMPUTED_VALUE"""),"SANCIÓN")</f>
        <v>SANCIÓN</v>
      </c>
      <c r="N130" s="64" t="str">
        <f>IFERROR(__xludf.DUMMYFUNCTION("""COMPUTED_VALUE"""),"SISTEMA ELECTRICO")</f>
        <v>SISTEMA ELECTRICO</v>
      </c>
      <c r="O130" s="64" t="str">
        <f>IFERROR(__xludf.DUMMYFUNCTION("""COMPUTED_VALUE"""),"ASISTENCIA AL USUARIO")</f>
        <v>ASISTENCIA AL USUARIO</v>
      </c>
      <c r="P130" s="64" t="str">
        <f>IFERROR(__xludf.DUMMYFUNCTION("""COMPUTED_VALUE"""),"DOBLE REMOLQUE")</f>
        <v>DOBLE REMOLQUE</v>
      </c>
      <c r="Q130" s="64" t="str">
        <f>IFERROR(__xludf.DUMMYFUNCTION("""COMPUTED_VALUE"""),"SINAPRESE")</f>
        <v>SINAPRESE</v>
      </c>
      <c r="R130" s="64" t="str">
        <f>IFERROR(__xludf.DUMMYFUNCTION("""COMPUTED_VALUE"""),"APOYO ATLETISMO")</f>
        <v>APOYO ATLETISMO</v>
      </c>
      <c r="S130" s="64" t="str">
        <f>IFERROR(__xludf.DUMMYFUNCTION("""COMPUTED_VALUE"""),"APOYO A CICLISMO")</f>
        <v>APOYO A CICLISMO</v>
      </c>
      <c r="T130" s="64" t="str">
        <f>IFERROR(__xludf.DUMMYFUNCTION("""COMPUTED_VALUE"""),"DESCARGA DE BATERÍA")</f>
        <v>DESCARGA DE BATERÍA</v>
      </c>
      <c r="U130" s="64" t="str">
        <f>IFERROR(__xludf.DUMMYFUNCTION("""COMPUTED_VALUE"""),"PROBLEMAS DE SALUD")</f>
        <v>PROBLEMAS DE SALUD</v>
      </c>
      <c r="V130" s="64" t="str">
        <f>IFERROR(__xludf.DUMMYFUNCTION("""COMPUTED_VALUE"""),"OLVIDO LA LLAVE")</f>
        <v>OLVIDO LA LLAVE</v>
      </c>
      <c r="W130" s="64" t="str">
        <f>IFERROR(__xludf.DUMMYFUNCTION("""COMPUTED_VALUE"""),"CARGA SOBREDIMENSIONADA")</f>
        <v>CARGA SOBREDIMENSIONADA</v>
      </c>
      <c r="X130" s="64" t="str">
        <f>IFERROR(__xludf.DUMMYFUNCTION("""COMPUTED_VALUE"""),"VEHÍCULO ABANDONADO")</f>
        <v>VEHÍCULO ABANDONADO</v>
      </c>
      <c r="Y130" s="64" t="str">
        <f>IFERROR(__xludf.DUMMYFUNCTION("""COMPUTED_VALUE"""),"DESPRENDIMIENTO")</f>
        <v>DESPRENDIMIENTO</v>
      </c>
      <c r="Z130" s="64" t="str">
        <f>IFERROR(__xludf.DUMMYFUNCTION("""COMPUTED_VALUE"""),"CAÍDA DE POSTE")</f>
        <v>CAÍDA DE POSTE</v>
      </c>
      <c r="AA130" s="64" t="str">
        <f>IFERROR(__xludf.DUMMYFUNCTION("""COMPUTED_VALUE"""),"CAÍDA DE RAMA")</f>
        <v>CAÍDA DE RAMA</v>
      </c>
      <c r="AB130" s="64" t="str">
        <f>IFERROR(__xludf.DUMMYFUNCTION("""COMPUTED_VALUE"""),"OPERATIVO DGT")</f>
        <v>OPERATIVO DGT</v>
      </c>
      <c r="AC130" s="64" t="str">
        <f>IFERROR(__xludf.DUMMYFUNCTION("""COMPUTED_VALUE"""),"OPERATIVO PMT")</f>
        <v>OPERATIVO PMT</v>
      </c>
      <c r="AD130" s="64" t="str">
        <f>IFERROR(__xludf.DUMMYFUNCTION("""COMPUTED_VALUE"""),"APOYO A DIGEF")</f>
        <v>APOYO A DIGEF</v>
      </c>
      <c r="AE130" s="64" t="str">
        <f>IFERROR(__xludf.DUMMYFUNCTION("""COMPUTED_VALUE"""),"OPERATIVO PNC TRANSITO")</f>
        <v>OPERATIVO PNC TRANSITO</v>
      </c>
      <c r="AF130" s="64" t="str">
        <f>IFERROR(__xludf.DUMMYFUNCTION("""COMPUTED_VALUE"""),"SOBRECARGA ")</f>
        <v>SOBRECARGA </v>
      </c>
      <c r="AG130" s="64" t="str">
        <f>IFERROR(__xludf.DUMMYFUNCTION("""COMPUTED_VALUE"""),"OPERATIVO EN CONJUNTO")</f>
        <v>OPERATIVO EN CONJUNTO</v>
      </c>
      <c r="AH130" s="64" t="str">
        <f>IFERROR(__xludf.DUMMYFUNCTION("""COMPUTED_VALUE"""),"PUESTO DE ATENCION AL USUARIO")</f>
        <v>PUESTO DE ATENCION AL USUARIO</v>
      </c>
      <c r="AI130" s="64" t="str">
        <f>IFERROR(__xludf.DUMMYFUNCTION("""COMPUTED_VALUE"""),"INCENDIO EN RUTA")</f>
        <v>INCENDIO EN RUTA</v>
      </c>
      <c r="AJ130" s="64" t="str">
        <f>IFERROR(__xludf.DUMMYFUNCTION("""COMPUTED_VALUE"""),"APOYO ANTORCHA ")</f>
        <v>APOYO ANTORCHA </v>
      </c>
    </row>
    <row r="131">
      <c r="B131" s="64"/>
      <c r="C131" s="64" t="str">
        <f>IFERROR(__xludf.DUMMYFUNCTION(" TRANSPOSE( unique ( QUERY(DATOPRO,""select Col2 where Col1 = '""&amp;B131&amp;""'"")))"),"")</f>
        <v/>
      </c>
    </row>
    <row r="132">
      <c r="B132" s="64" t="s">
        <v>38</v>
      </c>
      <c r="C132" s="64" t="str">
        <f>IFERROR(__xludf.DUMMYFUNCTION(" TRANSPOSE( unique ( QUERY(DATOPRO,""select Col2 where Col1 = '""&amp;B132&amp;""'"")))"),"ATAQUE ARMADO")</f>
        <v>ATAQUE ARMADO</v>
      </c>
      <c r="D132" s="64" t="str">
        <f>IFERROR(__xludf.DUMMYFUNCTION("""COMPUTED_VALUE"""),"DESBALANCE DE CARGA")</f>
        <v>DESBALANCE DE CARGA</v>
      </c>
      <c r="E132" s="64" t="str">
        <f>IFERROR(__xludf.DUMMYFUNCTION("""COMPUTED_VALUE"""),"PERSONA FALLECIDA")</f>
        <v>PERSONA FALLECIDA</v>
      </c>
      <c r="F132" s="64" t="str">
        <f>IFERROR(__xludf.DUMMYFUNCTION("""COMPUTED_VALUE"""),"DESPRENDIMIENTO DE NEUMATICO")</f>
        <v>DESPRENDIMIENTO DE NEUMATICO</v>
      </c>
      <c r="G132" s="64" t="str">
        <f>IFERROR(__xludf.DUMMYFUNCTION("""COMPUTED_VALUE"""),"SALIDA DE PISTA")</f>
        <v>SALIDA DE PISTA</v>
      </c>
      <c r="H132" s="64" t="str">
        <f>IFERROR(__xludf.DUMMYFUNCTION("""COMPUTED_VALUE"""),"DESPRENDIMIENTO DE CONTENEDOR")</f>
        <v>DESPRENDIMIENTO DE CONTENEDOR</v>
      </c>
      <c r="I132" s="64" t="str">
        <f>IFERROR(__xludf.DUMMYFUNCTION("""COMPUTED_VALUE"""),"CAÍDA DE CARGA")</f>
        <v>CAÍDA DE CARGA</v>
      </c>
      <c r="J132" s="64" t="str">
        <f>IFERROR(__xludf.DUMMYFUNCTION("""COMPUTED_VALUE"""),"CHOQUE")</f>
        <v>CHOQUE</v>
      </c>
      <c r="K132" s="64" t="str">
        <f>IFERROR(__xludf.DUMMYFUNCTION("""COMPUTED_VALUE"""),"COLISIÓN")</f>
        <v>COLISIÓN</v>
      </c>
      <c r="L132" s="64" t="str">
        <f>IFERROR(__xludf.DUMMYFUNCTION("""COMPUTED_VALUE"""),"COLISIÓN MÚLTIPLE")</f>
        <v>COLISIÓN MÚLTIPLE</v>
      </c>
      <c r="M132" s="64" t="str">
        <f>IFERROR(__xludf.DUMMYFUNCTION("""COMPUTED_VALUE"""),"DERRAPE")</f>
        <v>DERRAPE</v>
      </c>
      <c r="N132" s="64" t="str">
        <f>IFERROR(__xludf.DUMMYFUNCTION("""COMPUTED_VALUE"""),"VEHÍCULO INCENDIADO")</f>
        <v>VEHÍCULO INCENDIADO</v>
      </c>
      <c r="O132" s="64" t="str">
        <f>IFERROR(__xludf.DUMMYFUNCTION("""COMPUTED_VALUE"""),"VUELCO")</f>
        <v>VUELCO</v>
      </c>
      <c r="P132" s="64" t="str">
        <f>IFERROR(__xludf.DUMMYFUNCTION("""COMPUTED_VALUE"""),"DESPRENDIMIENTO")</f>
        <v>DESPRENDIMIENTO</v>
      </c>
      <c r="Q132" s="64" t="str">
        <f>IFERROR(__xludf.DUMMYFUNCTION("""COMPUTED_VALUE"""),"CAÍDA DE ÁRBOL")</f>
        <v>CAÍDA DE ÁRBOL</v>
      </c>
      <c r="R132" s="64" t="str">
        <f>IFERROR(__xludf.DUMMYFUNCTION("""COMPUTED_VALUE"""),"DESPRENDIMIENTO DE EJE")</f>
        <v>DESPRENDIMIENTO DE EJE</v>
      </c>
      <c r="S132" s="64" t="str">
        <f>IFERROR(__xludf.DUMMYFUNCTION("""COMPUTED_VALUE"""),"PERSONA ATROPELLADA")</f>
        <v>PERSONA ATROPELLADA</v>
      </c>
    </row>
    <row r="133">
      <c r="B133" s="64" t="s">
        <v>38</v>
      </c>
      <c r="C133" s="64" t="str">
        <f>IFERROR(__xludf.DUMMYFUNCTION(" TRANSPOSE( unique ( QUERY(DATOPRO,""select Col2 where Col1 = '""&amp;B133&amp;""'"")))"),"ATAQUE ARMADO")</f>
        <v>ATAQUE ARMADO</v>
      </c>
      <c r="D133" s="64" t="str">
        <f>IFERROR(__xludf.DUMMYFUNCTION("""COMPUTED_VALUE"""),"DESBALANCE DE CARGA")</f>
        <v>DESBALANCE DE CARGA</v>
      </c>
      <c r="E133" s="64" t="str">
        <f>IFERROR(__xludf.DUMMYFUNCTION("""COMPUTED_VALUE"""),"PERSONA FALLECIDA")</f>
        <v>PERSONA FALLECIDA</v>
      </c>
      <c r="F133" s="64" t="str">
        <f>IFERROR(__xludf.DUMMYFUNCTION("""COMPUTED_VALUE"""),"DESPRENDIMIENTO DE NEUMATICO")</f>
        <v>DESPRENDIMIENTO DE NEUMATICO</v>
      </c>
      <c r="G133" s="64" t="str">
        <f>IFERROR(__xludf.DUMMYFUNCTION("""COMPUTED_VALUE"""),"SALIDA DE PISTA")</f>
        <v>SALIDA DE PISTA</v>
      </c>
      <c r="H133" s="64" t="str">
        <f>IFERROR(__xludf.DUMMYFUNCTION("""COMPUTED_VALUE"""),"DESPRENDIMIENTO DE CONTENEDOR")</f>
        <v>DESPRENDIMIENTO DE CONTENEDOR</v>
      </c>
      <c r="I133" s="64" t="str">
        <f>IFERROR(__xludf.DUMMYFUNCTION("""COMPUTED_VALUE"""),"CAÍDA DE CARGA")</f>
        <v>CAÍDA DE CARGA</v>
      </c>
      <c r="J133" s="64" t="str">
        <f>IFERROR(__xludf.DUMMYFUNCTION("""COMPUTED_VALUE"""),"CHOQUE")</f>
        <v>CHOQUE</v>
      </c>
      <c r="K133" s="64" t="str">
        <f>IFERROR(__xludf.DUMMYFUNCTION("""COMPUTED_VALUE"""),"COLISIÓN")</f>
        <v>COLISIÓN</v>
      </c>
      <c r="L133" s="64" t="str">
        <f>IFERROR(__xludf.DUMMYFUNCTION("""COMPUTED_VALUE"""),"COLISIÓN MÚLTIPLE")</f>
        <v>COLISIÓN MÚLTIPLE</v>
      </c>
      <c r="M133" s="64" t="str">
        <f>IFERROR(__xludf.DUMMYFUNCTION("""COMPUTED_VALUE"""),"DERRAPE")</f>
        <v>DERRAPE</v>
      </c>
      <c r="N133" s="64" t="str">
        <f>IFERROR(__xludf.DUMMYFUNCTION("""COMPUTED_VALUE"""),"VEHÍCULO INCENDIADO")</f>
        <v>VEHÍCULO INCENDIADO</v>
      </c>
      <c r="O133" s="64" t="str">
        <f>IFERROR(__xludf.DUMMYFUNCTION("""COMPUTED_VALUE"""),"VUELCO")</f>
        <v>VUELCO</v>
      </c>
      <c r="P133" s="64" t="str">
        <f>IFERROR(__xludf.DUMMYFUNCTION("""COMPUTED_VALUE"""),"DESPRENDIMIENTO")</f>
        <v>DESPRENDIMIENTO</v>
      </c>
      <c r="Q133" s="64" t="str">
        <f>IFERROR(__xludf.DUMMYFUNCTION("""COMPUTED_VALUE"""),"CAÍDA DE ÁRBOL")</f>
        <v>CAÍDA DE ÁRBOL</v>
      </c>
      <c r="R133" s="64" t="str">
        <f>IFERROR(__xludf.DUMMYFUNCTION("""COMPUTED_VALUE"""),"DESPRENDIMIENTO DE EJE")</f>
        <v>DESPRENDIMIENTO DE EJE</v>
      </c>
      <c r="S133" s="64" t="str">
        <f>IFERROR(__xludf.DUMMYFUNCTION("""COMPUTED_VALUE"""),"PERSONA ATROPELLADA")</f>
        <v>PERSONA ATROPELLADA</v>
      </c>
    </row>
    <row r="134">
      <c r="B134" s="64" t="s">
        <v>54</v>
      </c>
      <c r="C134" s="64" t="str">
        <f>IFERROR(__xludf.DUMMYFUNCTION(" TRANSPOSE( unique ( QUERY(DATOPRO,""select Col2 where Col1 = '""&amp;B134&amp;""'"")))"),"PINCHAZO")</f>
        <v>PINCHAZO</v>
      </c>
      <c r="D134" s="64" t="str">
        <f>IFERROR(__xludf.DUMMYFUNCTION("""COMPUTED_VALUE"""),"TRABAJOS DE CARRETERA")</f>
        <v>TRABAJOS DE CARRETERA</v>
      </c>
      <c r="E134" s="64" t="str">
        <f>IFERROR(__xludf.DUMMYFUNCTION("""COMPUTED_VALUE"""),"CONSIGNACIÓN")</f>
        <v>CONSIGNACIÓN</v>
      </c>
      <c r="F134" s="64" t="str">
        <f>IFERROR(__xludf.DUMMYFUNCTION("""COMPUTED_VALUE"""),"DERRAME")</f>
        <v>DERRAME</v>
      </c>
      <c r="G134" s="64" t="str">
        <f>IFERROR(__xludf.DUMMYFUNCTION("""COMPUTED_VALUE"""),"CALENTAMIENTO")</f>
        <v>CALENTAMIENTO</v>
      </c>
      <c r="H134" s="64" t="str">
        <f>IFERROR(__xludf.DUMMYFUNCTION("""COMPUTED_VALUE"""),"ESCOLTANDO")</f>
        <v>ESCOLTANDO</v>
      </c>
      <c r="I134" s="64" t="str">
        <f>IFERROR(__xludf.DUMMYFUNCTION("""COMPUTED_VALUE"""),"FALTA DE COMBUSTIBLE")</f>
        <v>FALTA DE COMBUSTIBLE</v>
      </c>
      <c r="J134" s="64" t="str">
        <f>IFERROR(__xludf.DUMMYFUNCTION("""COMPUTED_VALUE"""),"DESPERFECTOS MECÁNICOS")</f>
        <v>DESPERFECTOS MECÁNICOS</v>
      </c>
      <c r="K134" s="64" t="str">
        <f>IFERROR(__xludf.DUMMYFUNCTION("""COMPUTED_VALUE"""),"LLAMADA DE ATENCIÓN")</f>
        <v>LLAMADA DE ATENCIÓN</v>
      </c>
      <c r="L134" s="64" t="str">
        <f>IFERROR(__xludf.DUMMYFUNCTION("""COMPUTED_VALUE"""),"OPERATIVOS")</f>
        <v>OPERATIVOS</v>
      </c>
      <c r="M134" s="64" t="str">
        <f>IFERROR(__xludf.DUMMYFUNCTION("""COMPUTED_VALUE"""),"SANCIÓN")</f>
        <v>SANCIÓN</v>
      </c>
      <c r="N134" s="64" t="str">
        <f>IFERROR(__xludf.DUMMYFUNCTION("""COMPUTED_VALUE"""),"SISTEMA ELECTRICO")</f>
        <v>SISTEMA ELECTRICO</v>
      </c>
      <c r="O134" s="64" t="str">
        <f>IFERROR(__xludf.DUMMYFUNCTION("""COMPUTED_VALUE"""),"ASISTENCIA AL USUARIO")</f>
        <v>ASISTENCIA AL USUARIO</v>
      </c>
      <c r="P134" s="64" t="str">
        <f>IFERROR(__xludf.DUMMYFUNCTION("""COMPUTED_VALUE"""),"DOBLE REMOLQUE")</f>
        <v>DOBLE REMOLQUE</v>
      </c>
      <c r="Q134" s="64" t="str">
        <f>IFERROR(__xludf.DUMMYFUNCTION("""COMPUTED_VALUE"""),"SINAPRESE")</f>
        <v>SINAPRESE</v>
      </c>
      <c r="R134" s="64" t="str">
        <f>IFERROR(__xludf.DUMMYFUNCTION("""COMPUTED_VALUE"""),"APOYO ATLETISMO")</f>
        <v>APOYO ATLETISMO</v>
      </c>
      <c r="S134" s="64" t="str">
        <f>IFERROR(__xludf.DUMMYFUNCTION("""COMPUTED_VALUE"""),"APOYO A CICLISMO")</f>
        <v>APOYO A CICLISMO</v>
      </c>
      <c r="T134" s="64" t="str">
        <f>IFERROR(__xludf.DUMMYFUNCTION("""COMPUTED_VALUE"""),"DESCARGA DE BATERÍA")</f>
        <v>DESCARGA DE BATERÍA</v>
      </c>
      <c r="U134" s="64" t="str">
        <f>IFERROR(__xludf.DUMMYFUNCTION("""COMPUTED_VALUE"""),"PROBLEMAS DE SALUD")</f>
        <v>PROBLEMAS DE SALUD</v>
      </c>
      <c r="V134" s="64" t="str">
        <f>IFERROR(__xludf.DUMMYFUNCTION("""COMPUTED_VALUE"""),"OLVIDO LA LLAVE")</f>
        <v>OLVIDO LA LLAVE</v>
      </c>
      <c r="W134" s="64" t="str">
        <f>IFERROR(__xludf.DUMMYFUNCTION("""COMPUTED_VALUE"""),"CARGA SOBREDIMENSIONADA")</f>
        <v>CARGA SOBREDIMENSIONADA</v>
      </c>
      <c r="X134" s="64" t="str">
        <f>IFERROR(__xludf.DUMMYFUNCTION("""COMPUTED_VALUE"""),"VEHÍCULO ABANDONADO")</f>
        <v>VEHÍCULO ABANDONADO</v>
      </c>
      <c r="Y134" s="64" t="str">
        <f>IFERROR(__xludf.DUMMYFUNCTION("""COMPUTED_VALUE"""),"DESPRENDIMIENTO")</f>
        <v>DESPRENDIMIENTO</v>
      </c>
      <c r="Z134" s="64" t="str">
        <f>IFERROR(__xludf.DUMMYFUNCTION("""COMPUTED_VALUE"""),"CAÍDA DE POSTE")</f>
        <v>CAÍDA DE POSTE</v>
      </c>
      <c r="AA134" s="64" t="str">
        <f>IFERROR(__xludf.DUMMYFUNCTION("""COMPUTED_VALUE"""),"CAÍDA DE RAMA")</f>
        <v>CAÍDA DE RAMA</v>
      </c>
      <c r="AB134" s="64" t="str">
        <f>IFERROR(__xludf.DUMMYFUNCTION("""COMPUTED_VALUE"""),"OPERATIVO DGT")</f>
        <v>OPERATIVO DGT</v>
      </c>
      <c r="AC134" s="64" t="str">
        <f>IFERROR(__xludf.DUMMYFUNCTION("""COMPUTED_VALUE"""),"OPERATIVO PMT")</f>
        <v>OPERATIVO PMT</v>
      </c>
      <c r="AD134" s="64" t="str">
        <f>IFERROR(__xludf.DUMMYFUNCTION("""COMPUTED_VALUE"""),"APOYO A DIGEF")</f>
        <v>APOYO A DIGEF</v>
      </c>
      <c r="AE134" s="64" t="str">
        <f>IFERROR(__xludf.DUMMYFUNCTION("""COMPUTED_VALUE"""),"OPERATIVO PNC TRANSITO")</f>
        <v>OPERATIVO PNC TRANSITO</v>
      </c>
      <c r="AF134" s="64" t="str">
        <f>IFERROR(__xludf.DUMMYFUNCTION("""COMPUTED_VALUE"""),"SOBRECARGA ")</f>
        <v>SOBRECARGA </v>
      </c>
      <c r="AG134" s="64" t="str">
        <f>IFERROR(__xludf.DUMMYFUNCTION("""COMPUTED_VALUE"""),"OPERATIVO EN CONJUNTO")</f>
        <v>OPERATIVO EN CONJUNTO</v>
      </c>
      <c r="AH134" s="64" t="str">
        <f>IFERROR(__xludf.DUMMYFUNCTION("""COMPUTED_VALUE"""),"PUESTO DE ATENCION AL USUARIO")</f>
        <v>PUESTO DE ATENCION AL USUARIO</v>
      </c>
      <c r="AI134" s="64" t="str">
        <f>IFERROR(__xludf.DUMMYFUNCTION("""COMPUTED_VALUE"""),"INCENDIO EN RUTA")</f>
        <v>INCENDIO EN RUTA</v>
      </c>
      <c r="AJ134" s="64" t="str">
        <f>IFERROR(__xludf.DUMMYFUNCTION("""COMPUTED_VALUE"""),"APOYO ANTORCHA ")</f>
        <v>APOYO ANTORCHA </v>
      </c>
    </row>
    <row r="135">
      <c r="B135" s="64" t="s">
        <v>54</v>
      </c>
      <c r="C135" s="64" t="str">
        <f>IFERROR(__xludf.DUMMYFUNCTION(" TRANSPOSE( unique ( QUERY(DATOPRO,""select Col2 where Col1 = '""&amp;B135&amp;""'"")))"),"PINCHAZO")</f>
        <v>PINCHAZO</v>
      </c>
      <c r="D135" s="64" t="str">
        <f>IFERROR(__xludf.DUMMYFUNCTION("""COMPUTED_VALUE"""),"TRABAJOS DE CARRETERA")</f>
        <v>TRABAJOS DE CARRETERA</v>
      </c>
      <c r="E135" s="64" t="str">
        <f>IFERROR(__xludf.DUMMYFUNCTION("""COMPUTED_VALUE"""),"CONSIGNACIÓN")</f>
        <v>CONSIGNACIÓN</v>
      </c>
      <c r="F135" s="64" t="str">
        <f>IFERROR(__xludf.DUMMYFUNCTION("""COMPUTED_VALUE"""),"DERRAME")</f>
        <v>DERRAME</v>
      </c>
      <c r="G135" s="64" t="str">
        <f>IFERROR(__xludf.DUMMYFUNCTION("""COMPUTED_VALUE"""),"CALENTAMIENTO")</f>
        <v>CALENTAMIENTO</v>
      </c>
      <c r="H135" s="64" t="str">
        <f>IFERROR(__xludf.DUMMYFUNCTION("""COMPUTED_VALUE"""),"ESCOLTANDO")</f>
        <v>ESCOLTANDO</v>
      </c>
      <c r="I135" s="64" t="str">
        <f>IFERROR(__xludf.DUMMYFUNCTION("""COMPUTED_VALUE"""),"FALTA DE COMBUSTIBLE")</f>
        <v>FALTA DE COMBUSTIBLE</v>
      </c>
      <c r="J135" s="64" t="str">
        <f>IFERROR(__xludf.DUMMYFUNCTION("""COMPUTED_VALUE"""),"DESPERFECTOS MECÁNICOS")</f>
        <v>DESPERFECTOS MECÁNICOS</v>
      </c>
      <c r="K135" s="64" t="str">
        <f>IFERROR(__xludf.DUMMYFUNCTION("""COMPUTED_VALUE"""),"LLAMADA DE ATENCIÓN")</f>
        <v>LLAMADA DE ATENCIÓN</v>
      </c>
      <c r="L135" s="64" t="str">
        <f>IFERROR(__xludf.DUMMYFUNCTION("""COMPUTED_VALUE"""),"OPERATIVOS")</f>
        <v>OPERATIVOS</v>
      </c>
      <c r="M135" s="64" t="str">
        <f>IFERROR(__xludf.DUMMYFUNCTION("""COMPUTED_VALUE"""),"SANCIÓN")</f>
        <v>SANCIÓN</v>
      </c>
      <c r="N135" s="64" t="str">
        <f>IFERROR(__xludf.DUMMYFUNCTION("""COMPUTED_VALUE"""),"SISTEMA ELECTRICO")</f>
        <v>SISTEMA ELECTRICO</v>
      </c>
      <c r="O135" s="64" t="str">
        <f>IFERROR(__xludf.DUMMYFUNCTION("""COMPUTED_VALUE"""),"ASISTENCIA AL USUARIO")</f>
        <v>ASISTENCIA AL USUARIO</v>
      </c>
      <c r="P135" s="64" t="str">
        <f>IFERROR(__xludf.DUMMYFUNCTION("""COMPUTED_VALUE"""),"DOBLE REMOLQUE")</f>
        <v>DOBLE REMOLQUE</v>
      </c>
      <c r="Q135" s="64" t="str">
        <f>IFERROR(__xludf.DUMMYFUNCTION("""COMPUTED_VALUE"""),"SINAPRESE")</f>
        <v>SINAPRESE</v>
      </c>
      <c r="R135" s="64" t="str">
        <f>IFERROR(__xludf.DUMMYFUNCTION("""COMPUTED_VALUE"""),"APOYO ATLETISMO")</f>
        <v>APOYO ATLETISMO</v>
      </c>
      <c r="S135" s="64" t="str">
        <f>IFERROR(__xludf.DUMMYFUNCTION("""COMPUTED_VALUE"""),"APOYO A CICLISMO")</f>
        <v>APOYO A CICLISMO</v>
      </c>
      <c r="T135" s="64" t="str">
        <f>IFERROR(__xludf.DUMMYFUNCTION("""COMPUTED_VALUE"""),"DESCARGA DE BATERÍA")</f>
        <v>DESCARGA DE BATERÍA</v>
      </c>
      <c r="U135" s="64" t="str">
        <f>IFERROR(__xludf.DUMMYFUNCTION("""COMPUTED_VALUE"""),"PROBLEMAS DE SALUD")</f>
        <v>PROBLEMAS DE SALUD</v>
      </c>
      <c r="V135" s="64" t="str">
        <f>IFERROR(__xludf.DUMMYFUNCTION("""COMPUTED_VALUE"""),"OLVIDO LA LLAVE")</f>
        <v>OLVIDO LA LLAVE</v>
      </c>
      <c r="W135" s="64" t="str">
        <f>IFERROR(__xludf.DUMMYFUNCTION("""COMPUTED_VALUE"""),"CARGA SOBREDIMENSIONADA")</f>
        <v>CARGA SOBREDIMENSIONADA</v>
      </c>
      <c r="X135" s="64" t="str">
        <f>IFERROR(__xludf.DUMMYFUNCTION("""COMPUTED_VALUE"""),"VEHÍCULO ABANDONADO")</f>
        <v>VEHÍCULO ABANDONADO</v>
      </c>
      <c r="Y135" s="64" t="str">
        <f>IFERROR(__xludf.DUMMYFUNCTION("""COMPUTED_VALUE"""),"DESPRENDIMIENTO")</f>
        <v>DESPRENDIMIENTO</v>
      </c>
      <c r="Z135" s="64" t="str">
        <f>IFERROR(__xludf.DUMMYFUNCTION("""COMPUTED_VALUE"""),"CAÍDA DE POSTE")</f>
        <v>CAÍDA DE POSTE</v>
      </c>
      <c r="AA135" s="64" t="str">
        <f>IFERROR(__xludf.DUMMYFUNCTION("""COMPUTED_VALUE"""),"CAÍDA DE RAMA")</f>
        <v>CAÍDA DE RAMA</v>
      </c>
      <c r="AB135" s="64" t="str">
        <f>IFERROR(__xludf.DUMMYFUNCTION("""COMPUTED_VALUE"""),"OPERATIVO DGT")</f>
        <v>OPERATIVO DGT</v>
      </c>
      <c r="AC135" s="64" t="str">
        <f>IFERROR(__xludf.DUMMYFUNCTION("""COMPUTED_VALUE"""),"OPERATIVO PMT")</f>
        <v>OPERATIVO PMT</v>
      </c>
      <c r="AD135" s="64" t="str">
        <f>IFERROR(__xludf.DUMMYFUNCTION("""COMPUTED_VALUE"""),"APOYO A DIGEF")</f>
        <v>APOYO A DIGEF</v>
      </c>
      <c r="AE135" s="64" t="str">
        <f>IFERROR(__xludf.DUMMYFUNCTION("""COMPUTED_VALUE"""),"OPERATIVO PNC TRANSITO")</f>
        <v>OPERATIVO PNC TRANSITO</v>
      </c>
      <c r="AF135" s="64" t="str">
        <f>IFERROR(__xludf.DUMMYFUNCTION("""COMPUTED_VALUE"""),"SOBRECARGA ")</f>
        <v>SOBRECARGA </v>
      </c>
      <c r="AG135" s="64" t="str">
        <f>IFERROR(__xludf.DUMMYFUNCTION("""COMPUTED_VALUE"""),"OPERATIVO EN CONJUNTO")</f>
        <v>OPERATIVO EN CONJUNTO</v>
      </c>
      <c r="AH135" s="64" t="str">
        <f>IFERROR(__xludf.DUMMYFUNCTION("""COMPUTED_VALUE"""),"PUESTO DE ATENCION AL USUARIO")</f>
        <v>PUESTO DE ATENCION AL USUARIO</v>
      </c>
      <c r="AI135" s="64" t="str">
        <f>IFERROR(__xludf.DUMMYFUNCTION("""COMPUTED_VALUE"""),"INCENDIO EN RUTA")</f>
        <v>INCENDIO EN RUTA</v>
      </c>
      <c r="AJ135" s="64" t="str">
        <f>IFERROR(__xludf.DUMMYFUNCTION("""COMPUTED_VALUE"""),"APOYO ANTORCHA ")</f>
        <v>APOYO ANTORCHA </v>
      </c>
    </row>
    <row r="136">
      <c r="B136" s="64"/>
      <c r="C136" s="64" t="str">
        <f>IFERROR(__xludf.DUMMYFUNCTION(" TRANSPOSE( unique ( QUERY(DATOPRO,""select Col2 where Col1 = '""&amp;B136&amp;""'"")))"),"")</f>
        <v/>
      </c>
    </row>
    <row r="137">
      <c r="B137" s="64"/>
      <c r="C137" s="64" t="str">
        <f>IFERROR(__xludf.DUMMYFUNCTION(" TRANSPOSE( unique ( QUERY(DATOPRO,""select Col2 where Col1 = '""&amp;B137&amp;""'"")))"),"")</f>
        <v/>
      </c>
    </row>
    <row r="138">
      <c r="B138" s="64" t="s">
        <v>38</v>
      </c>
      <c r="C138" s="64" t="str">
        <f>IFERROR(__xludf.DUMMYFUNCTION(" TRANSPOSE( unique ( QUERY(DATOPRO,""select Col2 where Col1 = '""&amp;B138&amp;""'"")))"),"ATAQUE ARMADO")</f>
        <v>ATAQUE ARMADO</v>
      </c>
      <c r="D138" s="64" t="str">
        <f>IFERROR(__xludf.DUMMYFUNCTION("""COMPUTED_VALUE"""),"DESBALANCE DE CARGA")</f>
        <v>DESBALANCE DE CARGA</v>
      </c>
      <c r="E138" s="64" t="str">
        <f>IFERROR(__xludf.DUMMYFUNCTION("""COMPUTED_VALUE"""),"PERSONA FALLECIDA")</f>
        <v>PERSONA FALLECIDA</v>
      </c>
      <c r="F138" s="64" t="str">
        <f>IFERROR(__xludf.DUMMYFUNCTION("""COMPUTED_VALUE"""),"DESPRENDIMIENTO DE NEUMATICO")</f>
        <v>DESPRENDIMIENTO DE NEUMATICO</v>
      </c>
      <c r="G138" s="64" t="str">
        <f>IFERROR(__xludf.DUMMYFUNCTION("""COMPUTED_VALUE"""),"SALIDA DE PISTA")</f>
        <v>SALIDA DE PISTA</v>
      </c>
      <c r="H138" s="64" t="str">
        <f>IFERROR(__xludf.DUMMYFUNCTION("""COMPUTED_VALUE"""),"DESPRENDIMIENTO DE CONTENEDOR")</f>
        <v>DESPRENDIMIENTO DE CONTENEDOR</v>
      </c>
      <c r="I138" s="64" t="str">
        <f>IFERROR(__xludf.DUMMYFUNCTION("""COMPUTED_VALUE"""),"CAÍDA DE CARGA")</f>
        <v>CAÍDA DE CARGA</v>
      </c>
      <c r="J138" s="64" t="str">
        <f>IFERROR(__xludf.DUMMYFUNCTION("""COMPUTED_VALUE"""),"CHOQUE")</f>
        <v>CHOQUE</v>
      </c>
      <c r="K138" s="64" t="str">
        <f>IFERROR(__xludf.DUMMYFUNCTION("""COMPUTED_VALUE"""),"COLISIÓN")</f>
        <v>COLISIÓN</v>
      </c>
      <c r="L138" s="64" t="str">
        <f>IFERROR(__xludf.DUMMYFUNCTION("""COMPUTED_VALUE"""),"COLISIÓN MÚLTIPLE")</f>
        <v>COLISIÓN MÚLTIPLE</v>
      </c>
      <c r="M138" s="64" t="str">
        <f>IFERROR(__xludf.DUMMYFUNCTION("""COMPUTED_VALUE"""),"DERRAPE")</f>
        <v>DERRAPE</v>
      </c>
      <c r="N138" s="64" t="str">
        <f>IFERROR(__xludf.DUMMYFUNCTION("""COMPUTED_VALUE"""),"VEHÍCULO INCENDIADO")</f>
        <v>VEHÍCULO INCENDIADO</v>
      </c>
      <c r="O138" s="64" t="str">
        <f>IFERROR(__xludf.DUMMYFUNCTION("""COMPUTED_VALUE"""),"VUELCO")</f>
        <v>VUELCO</v>
      </c>
      <c r="P138" s="64" t="str">
        <f>IFERROR(__xludf.DUMMYFUNCTION("""COMPUTED_VALUE"""),"DESPRENDIMIENTO")</f>
        <v>DESPRENDIMIENTO</v>
      </c>
      <c r="Q138" s="64" t="str">
        <f>IFERROR(__xludf.DUMMYFUNCTION("""COMPUTED_VALUE"""),"CAÍDA DE ÁRBOL")</f>
        <v>CAÍDA DE ÁRBOL</v>
      </c>
      <c r="R138" s="64" t="str">
        <f>IFERROR(__xludf.DUMMYFUNCTION("""COMPUTED_VALUE"""),"DESPRENDIMIENTO DE EJE")</f>
        <v>DESPRENDIMIENTO DE EJE</v>
      </c>
      <c r="S138" s="64" t="str">
        <f>IFERROR(__xludf.DUMMYFUNCTION("""COMPUTED_VALUE"""),"PERSONA ATROPELLADA")</f>
        <v>PERSONA ATROPELLADA</v>
      </c>
    </row>
    <row r="139">
      <c r="B139" s="64" t="s">
        <v>38</v>
      </c>
      <c r="C139" s="64" t="str">
        <f>IFERROR(__xludf.DUMMYFUNCTION(" TRANSPOSE( unique ( QUERY(DATOPRO,""select Col2 where Col1 = '""&amp;B139&amp;""'"")))"),"ATAQUE ARMADO")</f>
        <v>ATAQUE ARMADO</v>
      </c>
      <c r="D139" s="64" t="str">
        <f>IFERROR(__xludf.DUMMYFUNCTION("""COMPUTED_VALUE"""),"DESBALANCE DE CARGA")</f>
        <v>DESBALANCE DE CARGA</v>
      </c>
      <c r="E139" s="64" t="str">
        <f>IFERROR(__xludf.DUMMYFUNCTION("""COMPUTED_VALUE"""),"PERSONA FALLECIDA")</f>
        <v>PERSONA FALLECIDA</v>
      </c>
      <c r="F139" s="64" t="str">
        <f>IFERROR(__xludf.DUMMYFUNCTION("""COMPUTED_VALUE"""),"DESPRENDIMIENTO DE NEUMATICO")</f>
        <v>DESPRENDIMIENTO DE NEUMATICO</v>
      </c>
      <c r="G139" s="64" t="str">
        <f>IFERROR(__xludf.DUMMYFUNCTION("""COMPUTED_VALUE"""),"SALIDA DE PISTA")</f>
        <v>SALIDA DE PISTA</v>
      </c>
      <c r="H139" s="64" t="str">
        <f>IFERROR(__xludf.DUMMYFUNCTION("""COMPUTED_VALUE"""),"DESPRENDIMIENTO DE CONTENEDOR")</f>
        <v>DESPRENDIMIENTO DE CONTENEDOR</v>
      </c>
      <c r="I139" s="64" t="str">
        <f>IFERROR(__xludf.DUMMYFUNCTION("""COMPUTED_VALUE"""),"CAÍDA DE CARGA")</f>
        <v>CAÍDA DE CARGA</v>
      </c>
      <c r="J139" s="64" t="str">
        <f>IFERROR(__xludf.DUMMYFUNCTION("""COMPUTED_VALUE"""),"CHOQUE")</f>
        <v>CHOQUE</v>
      </c>
      <c r="K139" s="64" t="str">
        <f>IFERROR(__xludf.DUMMYFUNCTION("""COMPUTED_VALUE"""),"COLISIÓN")</f>
        <v>COLISIÓN</v>
      </c>
      <c r="L139" s="64" t="str">
        <f>IFERROR(__xludf.DUMMYFUNCTION("""COMPUTED_VALUE"""),"COLISIÓN MÚLTIPLE")</f>
        <v>COLISIÓN MÚLTIPLE</v>
      </c>
      <c r="M139" s="64" t="str">
        <f>IFERROR(__xludf.DUMMYFUNCTION("""COMPUTED_VALUE"""),"DERRAPE")</f>
        <v>DERRAPE</v>
      </c>
      <c r="N139" s="64" t="str">
        <f>IFERROR(__xludf.DUMMYFUNCTION("""COMPUTED_VALUE"""),"VEHÍCULO INCENDIADO")</f>
        <v>VEHÍCULO INCENDIADO</v>
      </c>
      <c r="O139" s="64" t="str">
        <f>IFERROR(__xludf.DUMMYFUNCTION("""COMPUTED_VALUE"""),"VUELCO")</f>
        <v>VUELCO</v>
      </c>
      <c r="P139" s="64" t="str">
        <f>IFERROR(__xludf.DUMMYFUNCTION("""COMPUTED_VALUE"""),"DESPRENDIMIENTO")</f>
        <v>DESPRENDIMIENTO</v>
      </c>
      <c r="Q139" s="64" t="str">
        <f>IFERROR(__xludf.DUMMYFUNCTION("""COMPUTED_VALUE"""),"CAÍDA DE ÁRBOL")</f>
        <v>CAÍDA DE ÁRBOL</v>
      </c>
      <c r="R139" s="64" t="str">
        <f>IFERROR(__xludf.DUMMYFUNCTION("""COMPUTED_VALUE"""),"DESPRENDIMIENTO DE EJE")</f>
        <v>DESPRENDIMIENTO DE EJE</v>
      </c>
      <c r="S139" s="64" t="str">
        <f>IFERROR(__xludf.DUMMYFUNCTION("""COMPUTED_VALUE"""),"PERSONA ATROPELLADA")</f>
        <v>PERSONA ATROPELLADA</v>
      </c>
    </row>
    <row r="140">
      <c r="B140" s="64" t="s">
        <v>54</v>
      </c>
      <c r="C140" s="64" t="str">
        <f>IFERROR(__xludf.DUMMYFUNCTION(" TRANSPOSE( unique ( QUERY(DATOPRO,""select Col2 where Col1 = '""&amp;B140&amp;""'"")))"),"PINCHAZO")</f>
        <v>PINCHAZO</v>
      </c>
      <c r="D140" s="64" t="str">
        <f>IFERROR(__xludf.DUMMYFUNCTION("""COMPUTED_VALUE"""),"TRABAJOS DE CARRETERA")</f>
        <v>TRABAJOS DE CARRETERA</v>
      </c>
      <c r="E140" s="64" t="str">
        <f>IFERROR(__xludf.DUMMYFUNCTION("""COMPUTED_VALUE"""),"CONSIGNACIÓN")</f>
        <v>CONSIGNACIÓN</v>
      </c>
      <c r="F140" s="64" t="str">
        <f>IFERROR(__xludf.DUMMYFUNCTION("""COMPUTED_VALUE"""),"DERRAME")</f>
        <v>DERRAME</v>
      </c>
      <c r="G140" s="64" t="str">
        <f>IFERROR(__xludf.DUMMYFUNCTION("""COMPUTED_VALUE"""),"CALENTAMIENTO")</f>
        <v>CALENTAMIENTO</v>
      </c>
      <c r="H140" s="64" t="str">
        <f>IFERROR(__xludf.DUMMYFUNCTION("""COMPUTED_VALUE"""),"ESCOLTANDO")</f>
        <v>ESCOLTANDO</v>
      </c>
      <c r="I140" s="64" t="str">
        <f>IFERROR(__xludf.DUMMYFUNCTION("""COMPUTED_VALUE"""),"FALTA DE COMBUSTIBLE")</f>
        <v>FALTA DE COMBUSTIBLE</v>
      </c>
      <c r="J140" s="64" t="str">
        <f>IFERROR(__xludf.DUMMYFUNCTION("""COMPUTED_VALUE"""),"DESPERFECTOS MECÁNICOS")</f>
        <v>DESPERFECTOS MECÁNICOS</v>
      </c>
      <c r="K140" s="64" t="str">
        <f>IFERROR(__xludf.DUMMYFUNCTION("""COMPUTED_VALUE"""),"LLAMADA DE ATENCIÓN")</f>
        <v>LLAMADA DE ATENCIÓN</v>
      </c>
      <c r="L140" s="64" t="str">
        <f>IFERROR(__xludf.DUMMYFUNCTION("""COMPUTED_VALUE"""),"OPERATIVOS")</f>
        <v>OPERATIVOS</v>
      </c>
      <c r="M140" s="64" t="str">
        <f>IFERROR(__xludf.DUMMYFUNCTION("""COMPUTED_VALUE"""),"SANCIÓN")</f>
        <v>SANCIÓN</v>
      </c>
      <c r="N140" s="64" t="str">
        <f>IFERROR(__xludf.DUMMYFUNCTION("""COMPUTED_VALUE"""),"SISTEMA ELECTRICO")</f>
        <v>SISTEMA ELECTRICO</v>
      </c>
      <c r="O140" s="64" t="str">
        <f>IFERROR(__xludf.DUMMYFUNCTION("""COMPUTED_VALUE"""),"ASISTENCIA AL USUARIO")</f>
        <v>ASISTENCIA AL USUARIO</v>
      </c>
      <c r="P140" s="64" t="str">
        <f>IFERROR(__xludf.DUMMYFUNCTION("""COMPUTED_VALUE"""),"DOBLE REMOLQUE")</f>
        <v>DOBLE REMOLQUE</v>
      </c>
      <c r="Q140" s="64" t="str">
        <f>IFERROR(__xludf.DUMMYFUNCTION("""COMPUTED_VALUE"""),"SINAPRESE")</f>
        <v>SINAPRESE</v>
      </c>
      <c r="R140" s="64" t="str">
        <f>IFERROR(__xludf.DUMMYFUNCTION("""COMPUTED_VALUE"""),"APOYO ATLETISMO")</f>
        <v>APOYO ATLETISMO</v>
      </c>
      <c r="S140" s="64" t="str">
        <f>IFERROR(__xludf.DUMMYFUNCTION("""COMPUTED_VALUE"""),"APOYO A CICLISMO")</f>
        <v>APOYO A CICLISMO</v>
      </c>
      <c r="T140" s="64" t="str">
        <f>IFERROR(__xludf.DUMMYFUNCTION("""COMPUTED_VALUE"""),"DESCARGA DE BATERÍA")</f>
        <v>DESCARGA DE BATERÍA</v>
      </c>
      <c r="U140" s="64" t="str">
        <f>IFERROR(__xludf.DUMMYFUNCTION("""COMPUTED_VALUE"""),"PROBLEMAS DE SALUD")</f>
        <v>PROBLEMAS DE SALUD</v>
      </c>
      <c r="V140" s="64" t="str">
        <f>IFERROR(__xludf.DUMMYFUNCTION("""COMPUTED_VALUE"""),"OLVIDO LA LLAVE")</f>
        <v>OLVIDO LA LLAVE</v>
      </c>
      <c r="W140" s="64" t="str">
        <f>IFERROR(__xludf.DUMMYFUNCTION("""COMPUTED_VALUE"""),"CARGA SOBREDIMENSIONADA")</f>
        <v>CARGA SOBREDIMENSIONADA</v>
      </c>
      <c r="X140" s="64" t="str">
        <f>IFERROR(__xludf.DUMMYFUNCTION("""COMPUTED_VALUE"""),"VEHÍCULO ABANDONADO")</f>
        <v>VEHÍCULO ABANDONADO</v>
      </c>
      <c r="Y140" s="64" t="str">
        <f>IFERROR(__xludf.DUMMYFUNCTION("""COMPUTED_VALUE"""),"DESPRENDIMIENTO")</f>
        <v>DESPRENDIMIENTO</v>
      </c>
      <c r="Z140" s="64" t="str">
        <f>IFERROR(__xludf.DUMMYFUNCTION("""COMPUTED_VALUE"""),"CAÍDA DE POSTE")</f>
        <v>CAÍDA DE POSTE</v>
      </c>
      <c r="AA140" s="64" t="str">
        <f>IFERROR(__xludf.DUMMYFUNCTION("""COMPUTED_VALUE"""),"CAÍDA DE RAMA")</f>
        <v>CAÍDA DE RAMA</v>
      </c>
      <c r="AB140" s="64" t="str">
        <f>IFERROR(__xludf.DUMMYFUNCTION("""COMPUTED_VALUE"""),"OPERATIVO DGT")</f>
        <v>OPERATIVO DGT</v>
      </c>
      <c r="AC140" s="64" t="str">
        <f>IFERROR(__xludf.DUMMYFUNCTION("""COMPUTED_VALUE"""),"OPERATIVO PMT")</f>
        <v>OPERATIVO PMT</v>
      </c>
      <c r="AD140" s="64" t="str">
        <f>IFERROR(__xludf.DUMMYFUNCTION("""COMPUTED_VALUE"""),"APOYO A DIGEF")</f>
        <v>APOYO A DIGEF</v>
      </c>
      <c r="AE140" s="64" t="str">
        <f>IFERROR(__xludf.DUMMYFUNCTION("""COMPUTED_VALUE"""),"OPERATIVO PNC TRANSITO")</f>
        <v>OPERATIVO PNC TRANSITO</v>
      </c>
      <c r="AF140" s="64" t="str">
        <f>IFERROR(__xludf.DUMMYFUNCTION("""COMPUTED_VALUE"""),"SOBRECARGA ")</f>
        <v>SOBRECARGA </v>
      </c>
      <c r="AG140" s="64" t="str">
        <f>IFERROR(__xludf.DUMMYFUNCTION("""COMPUTED_VALUE"""),"OPERATIVO EN CONJUNTO")</f>
        <v>OPERATIVO EN CONJUNTO</v>
      </c>
      <c r="AH140" s="64" t="str">
        <f>IFERROR(__xludf.DUMMYFUNCTION("""COMPUTED_VALUE"""),"PUESTO DE ATENCION AL USUARIO")</f>
        <v>PUESTO DE ATENCION AL USUARIO</v>
      </c>
      <c r="AI140" s="64" t="str">
        <f>IFERROR(__xludf.DUMMYFUNCTION("""COMPUTED_VALUE"""),"INCENDIO EN RUTA")</f>
        <v>INCENDIO EN RUTA</v>
      </c>
      <c r="AJ140" s="64" t="str">
        <f>IFERROR(__xludf.DUMMYFUNCTION("""COMPUTED_VALUE"""),"APOYO ANTORCHA ")</f>
        <v>APOYO ANTORCHA </v>
      </c>
    </row>
    <row r="141">
      <c r="B141" s="64" t="s">
        <v>54</v>
      </c>
      <c r="C141" s="64" t="str">
        <f>IFERROR(__xludf.DUMMYFUNCTION(" TRANSPOSE( unique ( QUERY(DATOPRO,""select Col2 where Col1 = '""&amp;B141&amp;""'"")))"),"PINCHAZO")</f>
        <v>PINCHAZO</v>
      </c>
      <c r="D141" s="64" t="str">
        <f>IFERROR(__xludf.DUMMYFUNCTION("""COMPUTED_VALUE"""),"TRABAJOS DE CARRETERA")</f>
        <v>TRABAJOS DE CARRETERA</v>
      </c>
      <c r="E141" s="64" t="str">
        <f>IFERROR(__xludf.DUMMYFUNCTION("""COMPUTED_VALUE"""),"CONSIGNACIÓN")</f>
        <v>CONSIGNACIÓN</v>
      </c>
      <c r="F141" s="64" t="str">
        <f>IFERROR(__xludf.DUMMYFUNCTION("""COMPUTED_VALUE"""),"DERRAME")</f>
        <v>DERRAME</v>
      </c>
      <c r="G141" s="64" t="str">
        <f>IFERROR(__xludf.DUMMYFUNCTION("""COMPUTED_VALUE"""),"CALENTAMIENTO")</f>
        <v>CALENTAMIENTO</v>
      </c>
      <c r="H141" s="64" t="str">
        <f>IFERROR(__xludf.DUMMYFUNCTION("""COMPUTED_VALUE"""),"ESCOLTANDO")</f>
        <v>ESCOLTANDO</v>
      </c>
      <c r="I141" s="64" t="str">
        <f>IFERROR(__xludf.DUMMYFUNCTION("""COMPUTED_VALUE"""),"FALTA DE COMBUSTIBLE")</f>
        <v>FALTA DE COMBUSTIBLE</v>
      </c>
      <c r="J141" s="64" t="str">
        <f>IFERROR(__xludf.DUMMYFUNCTION("""COMPUTED_VALUE"""),"DESPERFECTOS MECÁNICOS")</f>
        <v>DESPERFECTOS MECÁNICOS</v>
      </c>
      <c r="K141" s="64" t="str">
        <f>IFERROR(__xludf.DUMMYFUNCTION("""COMPUTED_VALUE"""),"LLAMADA DE ATENCIÓN")</f>
        <v>LLAMADA DE ATENCIÓN</v>
      </c>
      <c r="L141" s="64" t="str">
        <f>IFERROR(__xludf.DUMMYFUNCTION("""COMPUTED_VALUE"""),"OPERATIVOS")</f>
        <v>OPERATIVOS</v>
      </c>
      <c r="M141" s="64" t="str">
        <f>IFERROR(__xludf.DUMMYFUNCTION("""COMPUTED_VALUE"""),"SANCIÓN")</f>
        <v>SANCIÓN</v>
      </c>
      <c r="N141" s="64" t="str">
        <f>IFERROR(__xludf.DUMMYFUNCTION("""COMPUTED_VALUE"""),"SISTEMA ELECTRICO")</f>
        <v>SISTEMA ELECTRICO</v>
      </c>
      <c r="O141" s="64" t="str">
        <f>IFERROR(__xludf.DUMMYFUNCTION("""COMPUTED_VALUE"""),"ASISTENCIA AL USUARIO")</f>
        <v>ASISTENCIA AL USUARIO</v>
      </c>
      <c r="P141" s="64" t="str">
        <f>IFERROR(__xludf.DUMMYFUNCTION("""COMPUTED_VALUE"""),"DOBLE REMOLQUE")</f>
        <v>DOBLE REMOLQUE</v>
      </c>
      <c r="Q141" s="64" t="str">
        <f>IFERROR(__xludf.DUMMYFUNCTION("""COMPUTED_VALUE"""),"SINAPRESE")</f>
        <v>SINAPRESE</v>
      </c>
      <c r="R141" s="64" t="str">
        <f>IFERROR(__xludf.DUMMYFUNCTION("""COMPUTED_VALUE"""),"APOYO ATLETISMO")</f>
        <v>APOYO ATLETISMO</v>
      </c>
      <c r="S141" s="64" t="str">
        <f>IFERROR(__xludf.DUMMYFUNCTION("""COMPUTED_VALUE"""),"APOYO A CICLISMO")</f>
        <v>APOYO A CICLISMO</v>
      </c>
      <c r="T141" s="64" t="str">
        <f>IFERROR(__xludf.DUMMYFUNCTION("""COMPUTED_VALUE"""),"DESCARGA DE BATERÍA")</f>
        <v>DESCARGA DE BATERÍA</v>
      </c>
      <c r="U141" s="64" t="str">
        <f>IFERROR(__xludf.DUMMYFUNCTION("""COMPUTED_VALUE"""),"PROBLEMAS DE SALUD")</f>
        <v>PROBLEMAS DE SALUD</v>
      </c>
      <c r="V141" s="64" t="str">
        <f>IFERROR(__xludf.DUMMYFUNCTION("""COMPUTED_VALUE"""),"OLVIDO LA LLAVE")</f>
        <v>OLVIDO LA LLAVE</v>
      </c>
      <c r="W141" s="64" t="str">
        <f>IFERROR(__xludf.DUMMYFUNCTION("""COMPUTED_VALUE"""),"CARGA SOBREDIMENSIONADA")</f>
        <v>CARGA SOBREDIMENSIONADA</v>
      </c>
      <c r="X141" s="64" t="str">
        <f>IFERROR(__xludf.DUMMYFUNCTION("""COMPUTED_VALUE"""),"VEHÍCULO ABANDONADO")</f>
        <v>VEHÍCULO ABANDONADO</v>
      </c>
      <c r="Y141" s="64" t="str">
        <f>IFERROR(__xludf.DUMMYFUNCTION("""COMPUTED_VALUE"""),"DESPRENDIMIENTO")</f>
        <v>DESPRENDIMIENTO</v>
      </c>
      <c r="Z141" s="64" t="str">
        <f>IFERROR(__xludf.DUMMYFUNCTION("""COMPUTED_VALUE"""),"CAÍDA DE POSTE")</f>
        <v>CAÍDA DE POSTE</v>
      </c>
      <c r="AA141" s="64" t="str">
        <f>IFERROR(__xludf.DUMMYFUNCTION("""COMPUTED_VALUE"""),"CAÍDA DE RAMA")</f>
        <v>CAÍDA DE RAMA</v>
      </c>
      <c r="AB141" s="64" t="str">
        <f>IFERROR(__xludf.DUMMYFUNCTION("""COMPUTED_VALUE"""),"OPERATIVO DGT")</f>
        <v>OPERATIVO DGT</v>
      </c>
      <c r="AC141" s="64" t="str">
        <f>IFERROR(__xludf.DUMMYFUNCTION("""COMPUTED_VALUE"""),"OPERATIVO PMT")</f>
        <v>OPERATIVO PMT</v>
      </c>
      <c r="AD141" s="64" t="str">
        <f>IFERROR(__xludf.DUMMYFUNCTION("""COMPUTED_VALUE"""),"APOYO A DIGEF")</f>
        <v>APOYO A DIGEF</v>
      </c>
      <c r="AE141" s="64" t="str">
        <f>IFERROR(__xludf.DUMMYFUNCTION("""COMPUTED_VALUE"""),"OPERATIVO PNC TRANSITO")</f>
        <v>OPERATIVO PNC TRANSITO</v>
      </c>
      <c r="AF141" s="64" t="str">
        <f>IFERROR(__xludf.DUMMYFUNCTION("""COMPUTED_VALUE"""),"SOBRECARGA ")</f>
        <v>SOBRECARGA </v>
      </c>
      <c r="AG141" s="64" t="str">
        <f>IFERROR(__xludf.DUMMYFUNCTION("""COMPUTED_VALUE"""),"OPERATIVO EN CONJUNTO")</f>
        <v>OPERATIVO EN CONJUNTO</v>
      </c>
      <c r="AH141" s="64" t="str">
        <f>IFERROR(__xludf.DUMMYFUNCTION("""COMPUTED_VALUE"""),"PUESTO DE ATENCION AL USUARIO")</f>
        <v>PUESTO DE ATENCION AL USUARIO</v>
      </c>
      <c r="AI141" s="64" t="str">
        <f>IFERROR(__xludf.DUMMYFUNCTION("""COMPUTED_VALUE"""),"INCENDIO EN RUTA")</f>
        <v>INCENDIO EN RUTA</v>
      </c>
      <c r="AJ141" s="64" t="str">
        <f>IFERROR(__xludf.DUMMYFUNCTION("""COMPUTED_VALUE"""),"APOYO ANTORCHA ")</f>
        <v>APOYO ANTORCHA </v>
      </c>
    </row>
    <row r="142">
      <c r="B142" s="64"/>
      <c r="C142" s="64" t="str">
        <f>IFERROR(__xludf.DUMMYFUNCTION(" TRANSPOSE( unique ( QUERY(DATOPRO,""select Col2 where Col1 = '""&amp;B142&amp;""'"")))"),"")</f>
        <v/>
      </c>
    </row>
    <row r="143">
      <c r="B143" s="64" t="s">
        <v>38</v>
      </c>
      <c r="C143" s="64" t="str">
        <f>IFERROR(__xludf.DUMMYFUNCTION(" TRANSPOSE( unique ( QUERY(DATOPRO,""select Col2 where Col1 = '""&amp;B143&amp;""'"")))"),"ATAQUE ARMADO")</f>
        <v>ATAQUE ARMADO</v>
      </c>
      <c r="D143" s="64" t="str">
        <f>IFERROR(__xludf.DUMMYFUNCTION("""COMPUTED_VALUE"""),"DESBALANCE DE CARGA")</f>
        <v>DESBALANCE DE CARGA</v>
      </c>
      <c r="E143" s="64" t="str">
        <f>IFERROR(__xludf.DUMMYFUNCTION("""COMPUTED_VALUE"""),"PERSONA FALLECIDA")</f>
        <v>PERSONA FALLECIDA</v>
      </c>
      <c r="F143" s="64" t="str">
        <f>IFERROR(__xludf.DUMMYFUNCTION("""COMPUTED_VALUE"""),"DESPRENDIMIENTO DE NEUMATICO")</f>
        <v>DESPRENDIMIENTO DE NEUMATICO</v>
      </c>
      <c r="G143" s="64" t="str">
        <f>IFERROR(__xludf.DUMMYFUNCTION("""COMPUTED_VALUE"""),"SALIDA DE PISTA")</f>
        <v>SALIDA DE PISTA</v>
      </c>
      <c r="H143" s="64" t="str">
        <f>IFERROR(__xludf.DUMMYFUNCTION("""COMPUTED_VALUE"""),"DESPRENDIMIENTO DE CONTENEDOR")</f>
        <v>DESPRENDIMIENTO DE CONTENEDOR</v>
      </c>
      <c r="I143" s="64" t="str">
        <f>IFERROR(__xludf.DUMMYFUNCTION("""COMPUTED_VALUE"""),"CAÍDA DE CARGA")</f>
        <v>CAÍDA DE CARGA</v>
      </c>
      <c r="J143" s="64" t="str">
        <f>IFERROR(__xludf.DUMMYFUNCTION("""COMPUTED_VALUE"""),"CHOQUE")</f>
        <v>CHOQUE</v>
      </c>
      <c r="K143" s="64" t="str">
        <f>IFERROR(__xludf.DUMMYFUNCTION("""COMPUTED_VALUE"""),"COLISIÓN")</f>
        <v>COLISIÓN</v>
      </c>
      <c r="L143" s="64" t="str">
        <f>IFERROR(__xludf.DUMMYFUNCTION("""COMPUTED_VALUE"""),"COLISIÓN MÚLTIPLE")</f>
        <v>COLISIÓN MÚLTIPLE</v>
      </c>
      <c r="M143" s="64" t="str">
        <f>IFERROR(__xludf.DUMMYFUNCTION("""COMPUTED_VALUE"""),"DERRAPE")</f>
        <v>DERRAPE</v>
      </c>
      <c r="N143" s="64" t="str">
        <f>IFERROR(__xludf.DUMMYFUNCTION("""COMPUTED_VALUE"""),"VEHÍCULO INCENDIADO")</f>
        <v>VEHÍCULO INCENDIADO</v>
      </c>
      <c r="O143" s="64" t="str">
        <f>IFERROR(__xludf.DUMMYFUNCTION("""COMPUTED_VALUE"""),"VUELCO")</f>
        <v>VUELCO</v>
      </c>
      <c r="P143" s="64" t="str">
        <f>IFERROR(__xludf.DUMMYFUNCTION("""COMPUTED_VALUE"""),"DESPRENDIMIENTO")</f>
        <v>DESPRENDIMIENTO</v>
      </c>
      <c r="Q143" s="64" t="str">
        <f>IFERROR(__xludf.DUMMYFUNCTION("""COMPUTED_VALUE"""),"CAÍDA DE ÁRBOL")</f>
        <v>CAÍDA DE ÁRBOL</v>
      </c>
      <c r="R143" s="64" t="str">
        <f>IFERROR(__xludf.DUMMYFUNCTION("""COMPUTED_VALUE"""),"DESPRENDIMIENTO DE EJE")</f>
        <v>DESPRENDIMIENTO DE EJE</v>
      </c>
      <c r="S143" s="64" t="str">
        <f>IFERROR(__xludf.DUMMYFUNCTION("""COMPUTED_VALUE"""),"PERSONA ATROPELLADA")</f>
        <v>PERSONA ATROPELLADA</v>
      </c>
    </row>
    <row r="144">
      <c r="B144" s="64" t="s">
        <v>38</v>
      </c>
      <c r="C144" s="64" t="str">
        <f>IFERROR(__xludf.DUMMYFUNCTION(" TRANSPOSE( unique ( QUERY(DATOPRO,""select Col2 where Col1 = '""&amp;B144&amp;""'"")))"),"ATAQUE ARMADO")</f>
        <v>ATAQUE ARMADO</v>
      </c>
      <c r="D144" s="64" t="str">
        <f>IFERROR(__xludf.DUMMYFUNCTION("""COMPUTED_VALUE"""),"DESBALANCE DE CARGA")</f>
        <v>DESBALANCE DE CARGA</v>
      </c>
      <c r="E144" s="64" t="str">
        <f>IFERROR(__xludf.DUMMYFUNCTION("""COMPUTED_VALUE"""),"PERSONA FALLECIDA")</f>
        <v>PERSONA FALLECIDA</v>
      </c>
      <c r="F144" s="64" t="str">
        <f>IFERROR(__xludf.DUMMYFUNCTION("""COMPUTED_VALUE"""),"DESPRENDIMIENTO DE NEUMATICO")</f>
        <v>DESPRENDIMIENTO DE NEUMATICO</v>
      </c>
      <c r="G144" s="64" t="str">
        <f>IFERROR(__xludf.DUMMYFUNCTION("""COMPUTED_VALUE"""),"SALIDA DE PISTA")</f>
        <v>SALIDA DE PISTA</v>
      </c>
      <c r="H144" s="64" t="str">
        <f>IFERROR(__xludf.DUMMYFUNCTION("""COMPUTED_VALUE"""),"DESPRENDIMIENTO DE CONTENEDOR")</f>
        <v>DESPRENDIMIENTO DE CONTENEDOR</v>
      </c>
      <c r="I144" s="64" t="str">
        <f>IFERROR(__xludf.DUMMYFUNCTION("""COMPUTED_VALUE"""),"CAÍDA DE CARGA")</f>
        <v>CAÍDA DE CARGA</v>
      </c>
      <c r="J144" s="64" t="str">
        <f>IFERROR(__xludf.DUMMYFUNCTION("""COMPUTED_VALUE"""),"CHOQUE")</f>
        <v>CHOQUE</v>
      </c>
      <c r="K144" s="64" t="str">
        <f>IFERROR(__xludf.DUMMYFUNCTION("""COMPUTED_VALUE"""),"COLISIÓN")</f>
        <v>COLISIÓN</v>
      </c>
      <c r="L144" s="64" t="str">
        <f>IFERROR(__xludf.DUMMYFUNCTION("""COMPUTED_VALUE"""),"COLISIÓN MÚLTIPLE")</f>
        <v>COLISIÓN MÚLTIPLE</v>
      </c>
      <c r="M144" s="64" t="str">
        <f>IFERROR(__xludf.DUMMYFUNCTION("""COMPUTED_VALUE"""),"DERRAPE")</f>
        <v>DERRAPE</v>
      </c>
      <c r="N144" s="64" t="str">
        <f>IFERROR(__xludf.DUMMYFUNCTION("""COMPUTED_VALUE"""),"VEHÍCULO INCENDIADO")</f>
        <v>VEHÍCULO INCENDIADO</v>
      </c>
      <c r="O144" s="64" t="str">
        <f>IFERROR(__xludf.DUMMYFUNCTION("""COMPUTED_VALUE"""),"VUELCO")</f>
        <v>VUELCO</v>
      </c>
      <c r="P144" s="64" t="str">
        <f>IFERROR(__xludf.DUMMYFUNCTION("""COMPUTED_VALUE"""),"DESPRENDIMIENTO")</f>
        <v>DESPRENDIMIENTO</v>
      </c>
      <c r="Q144" s="64" t="str">
        <f>IFERROR(__xludf.DUMMYFUNCTION("""COMPUTED_VALUE"""),"CAÍDA DE ÁRBOL")</f>
        <v>CAÍDA DE ÁRBOL</v>
      </c>
      <c r="R144" s="64" t="str">
        <f>IFERROR(__xludf.DUMMYFUNCTION("""COMPUTED_VALUE"""),"DESPRENDIMIENTO DE EJE")</f>
        <v>DESPRENDIMIENTO DE EJE</v>
      </c>
      <c r="S144" s="64" t="str">
        <f>IFERROR(__xludf.DUMMYFUNCTION("""COMPUTED_VALUE"""),"PERSONA ATROPELLADA")</f>
        <v>PERSONA ATROPELLADA</v>
      </c>
    </row>
    <row r="145">
      <c r="B145" s="64" t="s">
        <v>38</v>
      </c>
      <c r="C145" s="64" t="str">
        <f>IFERROR(__xludf.DUMMYFUNCTION(" TRANSPOSE( unique ( QUERY(DATOPRO,""select Col2 where Col1 = '""&amp;B145&amp;""'"")))"),"ATAQUE ARMADO")</f>
        <v>ATAQUE ARMADO</v>
      </c>
      <c r="D145" s="64" t="str">
        <f>IFERROR(__xludf.DUMMYFUNCTION("""COMPUTED_VALUE"""),"DESBALANCE DE CARGA")</f>
        <v>DESBALANCE DE CARGA</v>
      </c>
      <c r="E145" s="64" t="str">
        <f>IFERROR(__xludf.DUMMYFUNCTION("""COMPUTED_VALUE"""),"PERSONA FALLECIDA")</f>
        <v>PERSONA FALLECIDA</v>
      </c>
      <c r="F145" s="64" t="str">
        <f>IFERROR(__xludf.DUMMYFUNCTION("""COMPUTED_VALUE"""),"DESPRENDIMIENTO DE NEUMATICO")</f>
        <v>DESPRENDIMIENTO DE NEUMATICO</v>
      </c>
      <c r="G145" s="64" t="str">
        <f>IFERROR(__xludf.DUMMYFUNCTION("""COMPUTED_VALUE"""),"SALIDA DE PISTA")</f>
        <v>SALIDA DE PISTA</v>
      </c>
      <c r="H145" s="64" t="str">
        <f>IFERROR(__xludf.DUMMYFUNCTION("""COMPUTED_VALUE"""),"DESPRENDIMIENTO DE CONTENEDOR")</f>
        <v>DESPRENDIMIENTO DE CONTENEDOR</v>
      </c>
      <c r="I145" s="64" t="str">
        <f>IFERROR(__xludf.DUMMYFUNCTION("""COMPUTED_VALUE"""),"CAÍDA DE CARGA")</f>
        <v>CAÍDA DE CARGA</v>
      </c>
      <c r="J145" s="64" t="str">
        <f>IFERROR(__xludf.DUMMYFUNCTION("""COMPUTED_VALUE"""),"CHOQUE")</f>
        <v>CHOQUE</v>
      </c>
      <c r="K145" s="64" t="str">
        <f>IFERROR(__xludf.DUMMYFUNCTION("""COMPUTED_VALUE"""),"COLISIÓN")</f>
        <v>COLISIÓN</v>
      </c>
      <c r="L145" s="64" t="str">
        <f>IFERROR(__xludf.DUMMYFUNCTION("""COMPUTED_VALUE"""),"COLISIÓN MÚLTIPLE")</f>
        <v>COLISIÓN MÚLTIPLE</v>
      </c>
      <c r="M145" s="64" t="str">
        <f>IFERROR(__xludf.DUMMYFUNCTION("""COMPUTED_VALUE"""),"DERRAPE")</f>
        <v>DERRAPE</v>
      </c>
      <c r="N145" s="64" t="str">
        <f>IFERROR(__xludf.DUMMYFUNCTION("""COMPUTED_VALUE"""),"VEHÍCULO INCENDIADO")</f>
        <v>VEHÍCULO INCENDIADO</v>
      </c>
      <c r="O145" s="64" t="str">
        <f>IFERROR(__xludf.DUMMYFUNCTION("""COMPUTED_VALUE"""),"VUELCO")</f>
        <v>VUELCO</v>
      </c>
      <c r="P145" s="64" t="str">
        <f>IFERROR(__xludf.DUMMYFUNCTION("""COMPUTED_VALUE"""),"DESPRENDIMIENTO")</f>
        <v>DESPRENDIMIENTO</v>
      </c>
      <c r="Q145" s="64" t="str">
        <f>IFERROR(__xludf.DUMMYFUNCTION("""COMPUTED_VALUE"""),"CAÍDA DE ÁRBOL")</f>
        <v>CAÍDA DE ÁRBOL</v>
      </c>
      <c r="R145" s="64" t="str">
        <f>IFERROR(__xludf.DUMMYFUNCTION("""COMPUTED_VALUE"""),"DESPRENDIMIENTO DE EJE")</f>
        <v>DESPRENDIMIENTO DE EJE</v>
      </c>
      <c r="S145" s="64" t="str">
        <f>IFERROR(__xludf.DUMMYFUNCTION("""COMPUTED_VALUE"""),"PERSONA ATROPELLADA")</f>
        <v>PERSONA ATROPELLADA</v>
      </c>
    </row>
    <row r="146">
      <c r="B146" s="64" t="s">
        <v>54</v>
      </c>
      <c r="C146" s="64" t="str">
        <f>IFERROR(__xludf.DUMMYFUNCTION(" TRANSPOSE( unique ( QUERY(DATOPRO,""select Col2 where Col1 = '""&amp;B146&amp;""'"")))"),"PINCHAZO")</f>
        <v>PINCHAZO</v>
      </c>
      <c r="D146" s="64" t="str">
        <f>IFERROR(__xludf.DUMMYFUNCTION("""COMPUTED_VALUE"""),"TRABAJOS DE CARRETERA")</f>
        <v>TRABAJOS DE CARRETERA</v>
      </c>
      <c r="E146" s="64" t="str">
        <f>IFERROR(__xludf.DUMMYFUNCTION("""COMPUTED_VALUE"""),"CONSIGNACIÓN")</f>
        <v>CONSIGNACIÓN</v>
      </c>
      <c r="F146" s="64" t="str">
        <f>IFERROR(__xludf.DUMMYFUNCTION("""COMPUTED_VALUE"""),"DERRAME")</f>
        <v>DERRAME</v>
      </c>
      <c r="G146" s="64" t="str">
        <f>IFERROR(__xludf.DUMMYFUNCTION("""COMPUTED_VALUE"""),"CALENTAMIENTO")</f>
        <v>CALENTAMIENTO</v>
      </c>
      <c r="H146" s="64" t="str">
        <f>IFERROR(__xludf.DUMMYFUNCTION("""COMPUTED_VALUE"""),"ESCOLTANDO")</f>
        <v>ESCOLTANDO</v>
      </c>
      <c r="I146" s="64" t="str">
        <f>IFERROR(__xludf.DUMMYFUNCTION("""COMPUTED_VALUE"""),"FALTA DE COMBUSTIBLE")</f>
        <v>FALTA DE COMBUSTIBLE</v>
      </c>
      <c r="J146" s="64" t="str">
        <f>IFERROR(__xludf.DUMMYFUNCTION("""COMPUTED_VALUE"""),"DESPERFECTOS MECÁNICOS")</f>
        <v>DESPERFECTOS MECÁNICOS</v>
      </c>
      <c r="K146" s="64" t="str">
        <f>IFERROR(__xludf.DUMMYFUNCTION("""COMPUTED_VALUE"""),"LLAMADA DE ATENCIÓN")</f>
        <v>LLAMADA DE ATENCIÓN</v>
      </c>
      <c r="L146" s="64" t="str">
        <f>IFERROR(__xludf.DUMMYFUNCTION("""COMPUTED_VALUE"""),"OPERATIVOS")</f>
        <v>OPERATIVOS</v>
      </c>
      <c r="M146" s="64" t="str">
        <f>IFERROR(__xludf.DUMMYFUNCTION("""COMPUTED_VALUE"""),"SANCIÓN")</f>
        <v>SANCIÓN</v>
      </c>
      <c r="N146" s="64" t="str">
        <f>IFERROR(__xludf.DUMMYFUNCTION("""COMPUTED_VALUE"""),"SISTEMA ELECTRICO")</f>
        <v>SISTEMA ELECTRICO</v>
      </c>
      <c r="O146" s="64" t="str">
        <f>IFERROR(__xludf.DUMMYFUNCTION("""COMPUTED_VALUE"""),"ASISTENCIA AL USUARIO")</f>
        <v>ASISTENCIA AL USUARIO</v>
      </c>
      <c r="P146" s="64" t="str">
        <f>IFERROR(__xludf.DUMMYFUNCTION("""COMPUTED_VALUE"""),"DOBLE REMOLQUE")</f>
        <v>DOBLE REMOLQUE</v>
      </c>
      <c r="Q146" s="64" t="str">
        <f>IFERROR(__xludf.DUMMYFUNCTION("""COMPUTED_VALUE"""),"SINAPRESE")</f>
        <v>SINAPRESE</v>
      </c>
      <c r="R146" s="64" t="str">
        <f>IFERROR(__xludf.DUMMYFUNCTION("""COMPUTED_VALUE"""),"APOYO ATLETISMO")</f>
        <v>APOYO ATLETISMO</v>
      </c>
      <c r="S146" s="64" t="str">
        <f>IFERROR(__xludf.DUMMYFUNCTION("""COMPUTED_VALUE"""),"APOYO A CICLISMO")</f>
        <v>APOYO A CICLISMO</v>
      </c>
      <c r="T146" s="64" t="str">
        <f>IFERROR(__xludf.DUMMYFUNCTION("""COMPUTED_VALUE"""),"DESCARGA DE BATERÍA")</f>
        <v>DESCARGA DE BATERÍA</v>
      </c>
      <c r="U146" s="64" t="str">
        <f>IFERROR(__xludf.DUMMYFUNCTION("""COMPUTED_VALUE"""),"PROBLEMAS DE SALUD")</f>
        <v>PROBLEMAS DE SALUD</v>
      </c>
      <c r="V146" s="64" t="str">
        <f>IFERROR(__xludf.DUMMYFUNCTION("""COMPUTED_VALUE"""),"OLVIDO LA LLAVE")</f>
        <v>OLVIDO LA LLAVE</v>
      </c>
      <c r="W146" s="64" t="str">
        <f>IFERROR(__xludf.DUMMYFUNCTION("""COMPUTED_VALUE"""),"CARGA SOBREDIMENSIONADA")</f>
        <v>CARGA SOBREDIMENSIONADA</v>
      </c>
      <c r="X146" s="64" t="str">
        <f>IFERROR(__xludf.DUMMYFUNCTION("""COMPUTED_VALUE"""),"VEHÍCULO ABANDONADO")</f>
        <v>VEHÍCULO ABANDONADO</v>
      </c>
      <c r="Y146" s="64" t="str">
        <f>IFERROR(__xludf.DUMMYFUNCTION("""COMPUTED_VALUE"""),"DESPRENDIMIENTO")</f>
        <v>DESPRENDIMIENTO</v>
      </c>
      <c r="Z146" s="64" t="str">
        <f>IFERROR(__xludf.DUMMYFUNCTION("""COMPUTED_VALUE"""),"CAÍDA DE POSTE")</f>
        <v>CAÍDA DE POSTE</v>
      </c>
      <c r="AA146" s="64" t="str">
        <f>IFERROR(__xludf.DUMMYFUNCTION("""COMPUTED_VALUE"""),"CAÍDA DE RAMA")</f>
        <v>CAÍDA DE RAMA</v>
      </c>
      <c r="AB146" s="64" t="str">
        <f>IFERROR(__xludf.DUMMYFUNCTION("""COMPUTED_VALUE"""),"OPERATIVO DGT")</f>
        <v>OPERATIVO DGT</v>
      </c>
      <c r="AC146" s="64" t="str">
        <f>IFERROR(__xludf.DUMMYFUNCTION("""COMPUTED_VALUE"""),"OPERATIVO PMT")</f>
        <v>OPERATIVO PMT</v>
      </c>
      <c r="AD146" s="64" t="str">
        <f>IFERROR(__xludf.DUMMYFUNCTION("""COMPUTED_VALUE"""),"APOYO A DIGEF")</f>
        <v>APOYO A DIGEF</v>
      </c>
      <c r="AE146" s="64" t="str">
        <f>IFERROR(__xludf.DUMMYFUNCTION("""COMPUTED_VALUE"""),"OPERATIVO PNC TRANSITO")</f>
        <v>OPERATIVO PNC TRANSITO</v>
      </c>
      <c r="AF146" s="64" t="str">
        <f>IFERROR(__xludf.DUMMYFUNCTION("""COMPUTED_VALUE"""),"SOBRECARGA ")</f>
        <v>SOBRECARGA </v>
      </c>
      <c r="AG146" s="64" t="str">
        <f>IFERROR(__xludf.DUMMYFUNCTION("""COMPUTED_VALUE"""),"OPERATIVO EN CONJUNTO")</f>
        <v>OPERATIVO EN CONJUNTO</v>
      </c>
      <c r="AH146" s="64" t="str">
        <f>IFERROR(__xludf.DUMMYFUNCTION("""COMPUTED_VALUE"""),"PUESTO DE ATENCION AL USUARIO")</f>
        <v>PUESTO DE ATENCION AL USUARIO</v>
      </c>
      <c r="AI146" s="64" t="str">
        <f>IFERROR(__xludf.DUMMYFUNCTION("""COMPUTED_VALUE"""),"INCENDIO EN RUTA")</f>
        <v>INCENDIO EN RUTA</v>
      </c>
      <c r="AJ146" s="64" t="str">
        <f>IFERROR(__xludf.DUMMYFUNCTION("""COMPUTED_VALUE"""),"APOYO ANTORCHA ")</f>
        <v>APOYO ANTORCHA </v>
      </c>
    </row>
    <row r="147">
      <c r="B147" s="64" t="s">
        <v>54</v>
      </c>
      <c r="C147" s="64" t="str">
        <f>IFERROR(__xludf.DUMMYFUNCTION(" TRANSPOSE( unique ( QUERY(DATOPRO,""select Col2 where Col1 = '""&amp;B147&amp;""'"")))"),"PINCHAZO")</f>
        <v>PINCHAZO</v>
      </c>
      <c r="D147" s="64" t="str">
        <f>IFERROR(__xludf.DUMMYFUNCTION("""COMPUTED_VALUE"""),"TRABAJOS DE CARRETERA")</f>
        <v>TRABAJOS DE CARRETERA</v>
      </c>
      <c r="E147" s="64" t="str">
        <f>IFERROR(__xludf.DUMMYFUNCTION("""COMPUTED_VALUE"""),"CONSIGNACIÓN")</f>
        <v>CONSIGNACIÓN</v>
      </c>
      <c r="F147" s="64" t="str">
        <f>IFERROR(__xludf.DUMMYFUNCTION("""COMPUTED_VALUE"""),"DERRAME")</f>
        <v>DERRAME</v>
      </c>
      <c r="G147" s="64" t="str">
        <f>IFERROR(__xludf.DUMMYFUNCTION("""COMPUTED_VALUE"""),"CALENTAMIENTO")</f>
        <v>CALENTAMIENTO</v>
      </c>
      <c r="H147" s="64" t="str">
        <f>IFERROR(__xludf.DUMMYFUNCTION("""COMPUTED_VALUE"""),"ESCOLTANDO")</f>
        <v>ESCOLTANDO</v>
      </c>
      <c r="I147" s="64" t="str">
        <f>IFERROR(__xludf.DUMMYFUNCTION("""COMPUTED_VALUE"""),"FALTA DE COMBUSTIBLE")</f>
        <v>FALTA DE COMBUSTIBLE</v>
      </c>
      <c r="J147" s="64" t="str">
        <f>IFERROR(__xludf.DUMMYFUNCTION("""COMPUTED_VALUE"""),"DESPERFECTOS MECÁNICOS")</f>
        <v>DESPERFECTOS MECÁNICOS</v>
      </c>
      <c r="K147" s="64" t="str">
        <f>IFERROR(__xludf.DUMMYFUNCTION("""COMPUTED_VALUE"""),"LLAMADA DE ATENCIÓN")</f>
        <v>LLAMADA DE ATENCIÓN</v>
      </c>
      <c r="L147" s="64" t="str">
        <f>IFERROR(__xludf.DUMMYFUNCTION("""COMPUTED_VALUE"""),"OPERATIVOS")</f>
        <v>OPERATIVOS</v>
      </c>
      <c r="M147" s="64" t="str">
        <f>IFERROR(__xludf.DUMMYFUNCTION("""COMPUTED_VALUE"""),"SANCIÓN")</f>
        <v>SANCIÓN</v>
      </c>
      <c r="N147" s="64" t="str">
        <f>IFERROR(__xludf.DUMMYFUNCTION("""COMPUTED_VALUE"""),"SISTEMA ELECTRICO")</f>
        <v>SISTEMA ELECTRICO</v>
      </c>
      <c r="O147" s="64" t="str">
        <f>IFERROR(__xludf.DUMMYFUNCTION("""COMPUTED_VALUE"""),"ASISTENCIA AL USUARIO")</f>
        <v>ASISTENCIA AL USUARIO</v>
      </c>
      <c r="P147" s="64" t="str">
        <f>IFERROR(__xludf.DUMMYFUNCTION("""COMPUTED_VALUE"""),"DOBLE REMOLQUE")</f>
        <v>DOBLE REMOLQUE</v>
      </c>
      <c r="Q147" s="64" t="str">
        <f>IFERROR(__xludf.DUMMYFUNCTION("""COMPUTED_VALUE"""),"SINAPRESE")</f>
        <v>SINAPRESE</v>
      </c>
      <c r="R147" s="64" t="str">
        <f>IFERROR(__xludf.DUMMYFUNCTION("""COMPUTED_VALUE"""),"APOYO ATLETISMO")</f>
        <v>APOYO ATLETISMO</v>
      </c>
      <c r="S147" s="64" t="str">
        <f>IFERROR(__xludf.DUMMYFUNCTION("""COMPUTED_VALUE"""),"APOYO A CICLISMO")</f>
        <v>APOYO A CICLISMO</v>
      </c>
      <c r="T147" s="64" t="str">
        <f>IFERROR(__xludf.DUMMYFUNCTION("""COMPUTED_VALUE"""),"DESCARGA DE BATERÍA")</f>
        <v>DESCARGA DE BATERÍA</v>
      </c>
      <c r="U147" s="64" t="str">
        <f>IFERROR(__xludf.DUMMYFUNCTION("""COMPUTED_VALUE"""),"PROBLEMAS DE SALUD")</f>
        <v>PROBLEMAS DE SALUD</v>
      </c>
      <c r="V147" s="64" t="str">
        <f>IFERROR(__xludf.DUMMYFUNCTION("""COMPUTED_VALUE"""),"OLVIDO LA LLAVE")</f>
        <v>OLVIDO LA LLAVE</v>
      </c>
      <c r="W147" s="64" t="str">
        <f>IFERROR(__xludf.DUMMYFUNCTION("""COMPUTED_VALUE"""),"CARGA SOBREDIMENSIONADA")</f>
        <v>CARGA SOBREDIMENSIONADA</v>
      </c>
      <c r="X147" s="64" t="str">
        <f>IFERROR(__xludf.DUMMYFUNCTION("""COMPUTED_VALUE"""),"VEHÍCULO ABANDONADO")</f>
        <v>VEHÍCULO ABANDONADO</v>
      </c>
      <c r="Y147" s="64" t="str">
        <f>IFERROR(__xludf.DUMMYFUNCTION("""COMPUTED_VALUE"""),"DESPRENDIMIENTO")</f>
        <v>DESPRENDIMIENTO</v>
      </c>
      <c r="Z147" s="64" t="str">
        <f>IFERROR(__xludf.DUMMYFUNCTION("""COMPUTED_VALUE"""),"CAÍDA DE POSTE")</f>
        <v>CAÍDA DE POSTE</v>
      </c>
      <c r="AA147" s="64" t="str">
        <f>IFERROR(__xludf.DUMMYFUNCTION("""COMPUTED_VALUE"""),"CAÍDA DE RAMA")</f>
        <v>CAÍDA DE RAMA</v>
      </c>
      <c r="AB147" s="64" t="str">
        <f>IFERROR(__xludf.DUMMYFUNCTION("""COMPUTED_VALUE"""),"OPERATIVO DGT")</f>
        <v>OPERATIVO DGT</v>
      </c>
      <c r="AC147" s="64" t="str">
        <f>IFERROR(__xludf.DUMMYFUNCTION("""COMPUTED_VALUE"""),"OPERATIVO PMT")</f>
        <v>OPERATIVO PMT</v>
      </c>
      <c r="AD147" s="64" t="str">
        <f>IFERROR(__xludf.DUMMYFUNCTION("""COMPUTED_VALUE"""),"APOYO A DIGEF")</f>
        <v>APOYO A DIGEF</v>
      </c>
      <c r="AE147" s="64" t="str">
        <f>IFERROR(__xludf.DUMMYFUNCTION("""COMPUTED_VALUE"""),"OPERATIVO PNC TRANSITO")</f>
        <v>OPERATIVO PNC TRANSITO</v>
      </c>
      <c r="AF147" s="64" t="str">
        <f>IFERROR(__xludf.DUMMYFUNCTION("""COMPUTED_VALUE"""),"SOBRECARGA ")</f>
        <v>SOBRECARGA </v>
      </c>
      <c r="AG147" s="64" t="str">
        <f>IFERROR(__xludf.DUMMYFUNCTION("""COMPUTED_VALUE"""),"OPERATIVO EN CONJUNTO")</f>
        <v>OPERATIVO EN CONJUNTO</v>
      </c>
      <c r="AH147" s="64" t="str">
        <f>IFERROR(__xludf.DUMMYFUNCTION("""COMPUTED_VALUE"""),"PUESTO DE ATENCION AL USUARIO")</f>
        <v>PUESTO DE ATENCION AL USUARIO</v>
      </c>
      <c r="AI147" s="64" t="str">
        <f>IFERROR(__xludf.DUMMYFUNCTION("""COMPUTED_VALUE"""),"INCENDIO EN RUTA")</f>
        <v>INCENDIO EN RUTA</v>
      </c>
      <c r="AJ147" s="64" t="str">
        <f>IFERROR(__xludf.DUMMYFUNCTION("""COMPUTED_VALUE"""),"APOYO ANTORCHA ")</f>
        <v>APOYO ANTORCHA </v>
      </c>
    </row>
    <row r="148">
      <c r="B148" s="64"/>
      <c r="C148" s="64" t="str">
        <f>IFERROR(__xludf.DUMMYFUNCTION(" TRANSPOSE( unique ( QUERY(DATOPRO,""select Col2 where Col1 = '""&amp;B148&amp;""'"")))"),"")</f>
        <v/>
      </c>
    </row>
    <row r="149">
      <c r="B149" s="64" t="s">
        <v>38</v>
      </c>
      <c r="C149" s="64" t="str">
        <f>IFERROR(__xludf.DUMMYFUNCTION(" TRANSPOSE( unique ( QUERY(DATOPRO,""select Col2 where Col1 = '""&amp;B149&amp;""'"")))"),"ATAQUE ARMADO")</f>
        <v>ATAQUE ARMADO</v>
      </c>
      <c r="D149" s="64" t="str">
        <f>IFERROR(__xludf.DUMMYFUNCTION("""COMPUTED_VALUE"""),"DESBALANCE DE CARGA")</f>
        <v>DESBALANCE DE CARGA</v>
      </c>
      <c r="E149" s="64" t="str">
        <f>IFERROR(__xludf.DUMMYFUNCTION("""COMPUTED_VALUE"""),"PERSONA FALLECIDA")</f>
        <v>PERSONA FALLECIDA</v>
      </c>
      <c r="F149" s="64" t="str">
        <f>IFERROR(__xludf.DUMMYFUNCTION("""COMPUTED_VALUE"""),"DESPRENDIMIENTO DE NEUMATICO")</f>
        <v>DESPRENDIMIENTO DE NEUMATICO</v>
      </c>
      <c r="G149" s="64" t="str">
        <f>IFERROR(__xludf.DUMMYFUNCTION("""COMPUTED_VALUE"""),"SALIDA DE PISTA")</f>
        <v>SALIDA DE PISTA</v>
      </c>
      <c r="H149" s="64" t="str">
        <f>IFERROR(__xludf.DUMMYFUNCTION("""COMPUTED_VALUE"""),"DESPRENDIMIENTO DE CONTENEDOR")</f>
        <v>DESPRENDIMIENTO DE CONTENEDOR</v>
      </c>
      <c r="I149" s="64" t="str">
        <f>IFERROR(__xludf.DUMMYFUNCTION("""COMPUTED_VALUE"""),"CAÍDA DE CARGA")</f>
        <v>CAÍDA DE CARGA</v>
      </c>
      <c r="J149" s="64" t="str">
        <f>IFERROR(__xludf.DUMMYFUNCTION("""COMPUTED_VALUE"""),"CHOQUE")</f>
        <v>CHOQUE</v>
      </c>
      <c r="K149" s="64" t="str">
        <f>IFERROR(__xludf.DUMMYFUNCTION("""COMPUTED_VALUE"""),"COLISIÓN")</f>
        <v>COLISIÓN</v>
      </c>
      <c r="L149" s="64" t="str">
        <f>IFERROR(__xludf.DUMMYFUNCTION("""COMPUTED_VALUE"""),"COLISIÓN MÚLTIPLE")</f>
        <v>COLISIÓN MÚLTIPLE</v>
      </c>
      <c r="M149" s="64" t="str">
        <f>IFERROR(__xludf.DUMMYFUNCTION("""COMPUTED_VALUE"""),"DERRAPE")</f>
        <v>DERRAPE</v>
      </c>
      <c r="N149" s="64" t="str">
        <f>IFERROR(__xludf.DUMMYFUNCTION("""COMPUTED_VALUE"""),"VEHÍCULO INCENDIADO")</f>
        <v>VEHÍCULO INCENDIADO</v>
      </c>
      <c r="O149" s="64" t="str">
        <f>IFERROR(__xludf.DUMMYFUNCTION("""COMPUTED_VALUE"""),"VUELCO")</f>
        <v>VUELCO</v>
      </c>
      <c r="P149" s="64" t="str">
        <f>IFERROR(__xludf.DUMMYFUNCTION("""COMPUTED_VALUE"""),"DESPRENDIMIENTO")</f>
        <v>DESPRENDIMIENTO</v>
      </c>
      <c r="Q149" s="64" t="str">
        <f>IFERROR(__xludf.DUMMYFUNCTION("""COMPUTED_VALUE"""),"CAÍDA DE ÁRBOL")</f>
        <v>CAÍDA DE ÁRBOL</v>
      </c>
      <c r="R149" s="64" t="str">
        <f>IFERROR(__xludf.DUMMYFUNCTION("""COMPUTED_VALUE"""),"DESPRENDIMIENTO DE EJE")</f>
        <v>DESPRENDIMIENTO DE EJE</v>
      </c>
      <c r="S149" s="64" t="str">
        <f>IFERROR(__xludf.DUMMYFUNCTION("""COMPUTED_VALUE"""),"PERSONA ATROPELLADA")</f>
        <v>PERSONA ATROPELLADA</v>
      </c>
    </row>
    <row r="150">
      <c r="B150" s="64" t="s">
        <v>38</v>
      </c>
      <c r="C150" s="64" t="str">
        <f>IFERROR(__xludf.DUMMYFUNCTION(" TRANSPOSE( unique ( QUERY(DATOPRO,""select Col2 where Col1 = '""&amp;B150&amp;""'"")))"),"ATAQUE ARMADO")</f>
        <v>ATAQUE ARMADO</v>
      </c>
      <c r="D150" s="64" t="str">
        <f>IFERROR(__xludf.DUMMYFUNCTION("""COMPUTED_VALUE"""),"DESBALANCE DE CARGA")</f>
        <v>DESBALANCE DE CARGA</v>
      </c>
      <c r="E150" s="64" t="str">
        <f>IFERROR(__xludf.DUMMYFUNCTION("""COMPUTED_VALUE"""),"PERSONA FALLECIDA")</f>
        <v>PERSONA FALLECIDA</v>
      </c>
      <c r="F150" s="64" t="str">
        <f>IFERROR(__xludf.DUMMYFUNCTION("""COMPUTED_VALUE"""),"DESPRENDIMIENTO DE NEUMATICO")</f>
        <v>DESPRENDIMIENTO DE NEUMATICO</v>
      </c>
      <c r="G150" s="64" t="str">
        <f>IFERROR(__xludf.DUMMYFUNCTION("""COMPUTED_VALUE"""),"SALIDA DE PISTA")</f>
        <v>SALIDA DE PISTA</v>
      </c>
      <c r="H150" s="64" t="str">
        <f>IFERROR(__xludf.DUMMYFUNCTION("""COMPUTED_VALUE"""),"DESPRENDIMIENTO DE CONTENEDOR")</f>
        <v>DESPRENDIMIENTO DE CONTENEDOR</v>
      </c>
      <c r="I150" s="64" t="str">
        <f>IFERROR(__xludf.DUMMYFUNCTION("""COMPUTED_VALUE"""),"CAÍDA DE CARGA")</f>
        <v>CAÍDA DE CARGA</v>
      </c>
      <c r="J150" s="64" t="str">
        <f>IFERROR(__xludf.DUMMYFUNCTION("""COMPUTED_VALUE"""),"CHOQUE")</f>
        <v>CHOQUE</v>
      </c>
      <c r="K150" s="64" t="str">
        <f>IFERROR(__xludf.DUMMYFUNCTION("""COMPUTED_VALUE"""),"COLISIÓN")</f>
        <v>COLISIÓN</v>
      </c>
      <c r="L150" s="64" t="str">
        <f>IFERROR(__xludf.DUMMYFUNCTION("""COMPUTED_VALUE"""),"COLISIÓN MÚLTIPLE")</f>
        <v>COLISIÓN MÚLTIPLE</v>
      </c>
      <c r="M150" s="64" t="str">
        <f>IFERROR(__xludf.DUMMYFUNCTION("""COMPUTED_VALUE"""),"DERRAPE")</f>
        <v>DERRAPE</v>
      </c>
      <c r="N150" s="64" t="str">
        <f>IFERROR(__xludf.DUMMYFUNCTION("""COMPUTED_VALUE"""),"VEHÍCULO INCENDIADO")</f>
        <v>VEHÍCULO INCENDIADO</v>
      </c>
      <c r="O150" s="64" t="str">
        <f>IFERROR(__xludf.DUMMYFUNCTION("""COMPUTED_VALUE"""),"VUELCO")</f>
        <v>VUELCO</v>
      </c>
      <c r="P150" s="64" t="str">
        <f>IFERROR(__xludf.DUMMYFUNCTION("""COMPUTED_VALUE"""),"DESPRENDIMIENTO")</f>
        <v>DESPRENDIMIENTO</v>
      </c>
      <c r="Q150" s="64" t="str">
        <f>IFERROR(__xludf.DUMMYFUNCTION("""COMPUTED_VALUE"""),"CAÍDA DE ÁRBOL")</f>
        <v>CAÍDA DE ÁRBOL</v>
      </c>
      <c r="R150" s="64" t="str">
        <f>IFERROR(__xludf.DUMMYFUNCTION("""COMPUTED_VALUE"""),"DESPRENDIMIENTO DE EJE")</f>
        <v>DESPRENDIMIENTO DE EJE</v>
      </c>
      <c r="S150" s="64" t="str">
        <f>IFERROR(__xludf.DUMMYFUNCTION("""COMPUTED_VALUE"""),"PERSONA ATROPELLADA")</f>
        <v>PERSONA ATROPELLADA</v>
      </c>
    </row>
    <row r="151">
      <c r="B151" s="64"/>
      <c r="C151" s="64" t="str">
        <f>IFERROR(__xludf.DUMMYFUNCTION(" TRANSPOSE( unique ( QUERY(DATOPRO,""select Col2 where Col1 = '""&amp;B151&amp;""'"")))"),"")</f>
        <v/>
      </c>
    </row>
    <row r="152">
      <c r="B152" s="64" t="s">
        <v>38</v>
      </c>
      <c r="C152" s="64" t="str">
        <f>IFERROR(__xludf.DUMMYFUNCTION(" TRANSPOSE( unique ( QUERY(DATOPRO,""select Col2 where Col1 = '""&amp;B152&amp;""'"")))"),"ATAQUE ARMADO")</f>
        <v>ATAQUE ARMADO</v>
      </c>
      <c r="D152" s="64" t="str">
        <f>IFERROR(__xludf.DUMMYFUNCTION("""COMPUTED_VALUE"""),"DESBALANCE DE CARGA")</f>
        <v>DESBALANCE DE CARGA</v>
      </c>
      <c r="E152" s="64" t="str">
        <f>IFERROR(__xludf.DUMMYFUNCTION("""COMPUTED_VALUE"""),"PERSONA FALLECIDA")</f>
        <v>PERSONA FALLECIDA</v>
      </c>
      <c r="F152" s="64" t="str">
        <f>IFERROR(__xludf.DUMMYFUNCTION("""COMPUTED_VALUE"""),"DESPRENDIMIENTO DE NEUMATICO")</f>
        <v>DESPRENDIMIENTO DE NEUMATICO</v>
      </c>
      <c r="G152" s="64" t="str">
        <f>IFERROR(__xludf.DUMMYFUNCTION("""COMPUTED_VALUE"""),"SALIDA DE PISTA")</f>
        <v>SALIDA DE PISTA</v>
      </c>
      <c r="H152" s="64" t="str">
        <f>IFERROR(__xludf.DUMMYFUNCTION("""COMPUTED_VALUE"""),"DESPRENDIMIENTO DE CONTENEDOR")</f>
        <v>DESPRENDIMIENTO DE CONTENEDOR</v>
      </c>
      <c r="I152" s="64" t="str">
        <f>IFERROR(__xludf.DUMMYFUNCTION("""COMPUTED_VALUE"""),"CAÍDA DE CARGA")</f>
        <v>CAÍDA DE CARGA</v>
      </c>
      <c r="J152" s="64" t="str">
        <f>IFERROR(__xludf.DUMMYFUNCTION("""COMPUTED_VALUE"""),"CHOQUE")</f>
        <v>CHOQUE</v>
      </c>
      <c r="K152" s="64" t="str">
        <f>IFERROR(__xludf.DUMMYFUNCTION("""COMPUTED_VALUE"""),"COLISIÓN")</f>
        <v>COLISIÓN</v>
      </c>
      <c r="L152" s="64" t="str">
        <f>IFERROR(__xludf.DUMMYFUNCTION("""COMPUTED_VALUE"""),"COLISIÓN MÚLTIPLE")</f>
        <v>COLISIÓN MÚLTIPLE</v>
      </c>
      <c r="M152" s="64" t="str">
        <f>IFERROR(__xludf.DUMMYFUNCTION("""COMPUTED_VALUE"""),"DERRAPE")</f>
        <v>DERRAPE</v>
      </c>
      <c r="N152" s="64" t="str">
        <f>IFERROR(__xludf.DUMMYFUNCTION("""COMPUTED_VALUE"""),"VEHÍCULO INCENDIADO")</f>
        <v>VEHÍCULO INCENDIADO</v>
      </c>
      <c r="O152" s="64" t="str">
        <f>IFERROR(__xludf.DUMMYFUNCTION("""COMPUTED_VALUE"""),"VUELCO")</f>
        <v>VUELCO</v>
      </c>
      <c r="P152" s="64" t="str">
        <f>IFERROR(__xludf.DUMMYFUNCTION("""COMPUTED_VALUE"""),"DESPRENDIMIENTO")</f>
        <v>DESPRENDIMIENTO</v>
      </c>
      <c r="Q152" s="64" t="str">
        <f>IFERROR(__xludf.DUMMYFUNCTION("""COMPUTED_VALUE"""),"CAÍDA DE ÁRBOL")</f>
        <v>CAÍDA DE ÁRBOL</v>
      </c>
      <c r="R152" s="64" t="str">
        <f>IFERROR(__xludf.DUMMYFUNCTION("""COMPUTED_VALUE"""),"DESPRENDIMIENTO DE EJE")</f>
        <v>DESPRENDIMIENTO DE EJE</v>
      </c>
      <c r="S152" s="64" t="str">
        <f>IFERROR(__xludf.DUMMYFUNCTION("""COMPUTED_VALUE"""),"PERSONA ATROPELLADA")</f>
        <v>PERSONA ATROPELLADA</v>
      </c>
    </row>
    <row r="153">
      <c r="B153" s="64" t="s">
        <v>38</v>
      </c>
      <c r="C153" s="64" t="str">
        <f>IFERROR(__xludf.DUMMYFUNCTION(" TRANSPOSE( unique ( QUERY(DATOPRO,""select Col2 where Col1 = '""&amp;B153&amp;""'"")))"),"ATAQUE ARMADO")</f>
        <v>ATAQUE ARMADO</v>
      </c>
      <c r="D153" s="64" t="str">
        <f>IFERROR(__xludf.DUMMYFUNCTION("""COMPUTED_VALUE"""),"DESBALANCE DE CARGA")</f>
        <v>DESBALANCE DE CARGA</v>
      </c>
      <c r="E153" s="64" t="str">
        <f>IFERROR(__xludf.DUMMYFUNCTION("""COMPUTED_VALUE"""),"PERSONA FALLECIDA")</f>
        <v>PERSONA FALLECIDA</v>
      </c>
      <c r="F153" s="64" t="str">
        <f>IFERROR(__xludf.DUMMYFUNCTION("""COMPUTED_VALUE"""),"DESPRENDIMIENTO DE NEUMATICO")</f>
        <v>DESPRENDIMIENTO DE NEUMATICO</v>
      </c>
      <c r="G153" s="64" t="str">
        <f>IFERROR(__xludf.DUMMYFUNCTION("""COMPUTED_VALUE"""),"SALIDA DE PISTA")</f>
        <v>SALIDA DE PISTA</v>
      </c>
      <c r="H153" s="64" t="str">
        <f>IFERROR(__xludf.DUMMYFUNCTION("""COMPUTED_VALUE"""),"DESPRENDIMIENTO DE CONTENEDOR")</f>
        <v>DESPRENDIMIENTO DE CONTENEDOR</v>
      </c>
      <c r="I153" s="64" t="str">
        <f>IFERROR(__xludf.DUMMYFUNCTION("""COMPUTED_VALUE"""),"CAÍDA DE CARGA")</f>
        <v>CAÍDA DE CARGA</v>
      </c>
      <c r="J153" s="64" t="str">
        <f>IFERROR(__xludf.DUMMYFUNCTION("""COMPUTED_VALUE"""),"CHOQUE")</f>
        <v>CHOQUE</v>
      </c>
      <c r="K153" s="64" t="str">
        <f>IFERROR(__xludf.DUMMYFUNCTION("""COMPUTED_VALUE"""),"COLISIÓN")</f>
        <v>COLISIÓN</v>
      </c>
      <c r="L153" s="64" t="str">
        <f>IFERROR(__xludf.DUMMYFUNCTION("""COMPUTED_VALUE"""),"COLISIÓN MÚLTIPLE")</f>
        <v>COLISIÓN MÚLTIPLE</v>
      </c>
      <c r="M153" s="64" t="str">
        <f>IFERROR(__xludf.DUMMYFUNCTION("""COMPUTED_VALUE"""),"DERRAPE")</f>
        <v>DERRAPE</v>
      </c>
      <c r="N153" s="64" t="str">
        <f>IFERROR(__xludf.DUMMYFUNCTION("""COMPUTED_VALUE"""),"VEHÍCULO INCENDIADO")</f>
        <v>VEHÍCULO INCENDIADO</v>
      </c>
      <c r="O153" s="64" t="str">
        <f>IFERROR(__xludf.DUMMYFUNCTION("""COMPUTED_VALUE"""),"VUELCO")</f>
        <v>VUELCO</v>
      </c>
      <c r="P153" s="64" t="str">
        <f>IFERROR(__xludf.DUMMYFUNCTION("""COMPUTED_VALUE"""),"DESPRENDIMIENTO")</f>
        <v>DESPRENDIMIENTO</v>
      </c>
      <c r="Q153" s="64" t="str">
        <f>IFERROR(__xludf.DUMMYFUNCTION("""COMPUTED_VALUE"""),"CAÍDA DE ÁRBOL")</f>
        <v>CAÍDA DE ÁRBOL</v>
      </c>
      <c r="R153" s="64" t="str">
        <f>IFERROR(__xludf.DUMMYFUNCTION("""COMPUTED_VALUE"""),"DESPRENDIMIENTO DE EJE")</f>
        <v>DESPRENDIMIENTO DE EJE</v>
      </c>
      <c r="S153" s="64" t="str">
        <f>IFERROR(__xludf.DUMMYFUNCTION("""COMPUTED_VALUE"""),"PERSONA ATROPELLADA")</f>
        <v>PERSONA ATROPELLADA</v>
      </c>
    </row>
    <row r="154">
      <c r="B154" s="64" t="s">
        <v>38</v>
      </c>
      <c r="C154" s="64" t="str">
        <f>IFERROR(__xludf.DUMMYFUNCTION(" TRANSPOSE( unique ( QUERY(DATOPRO,""select Col2 where Col1 = '""&amp;B154&amp;""'"")))"),"ATAQUE ARMADO")</f>
        <v>ATAQUE ARMADO</v>
      </c>
      <c r="D154" s="64" t="str">
        <f>IFERROR(__xludf.DUMMYFUNCTION("""COMPUTED_VALUE"""),"DESBALANCE DE CARGA")</f>
        <v>DESBALANCE DE CARGA</v>
      </c>
      <c r="E154" s="64" t="str">
        <f>IFERROR(__xludf.DUMMYFUNCTION("""COMPUTED_VALUE"""),"PERSONA FALLECIDA")</f>
        <v>PERSONA FALLECIDA</v>
      </c>
      <c r="F154" s="64" t="str">
        <f>IFERROR(__xludf.DUMMYFUNCTION("""COMPUTED_VALUE"""),"DESPRENDIMIENTO DE NEUMATICO")</f>
        <v>DESPRENDIMIENTO DE NEUMATICO</v>
      </c>
      <c r="G154" s="64" t="str">
        <f>IFERROR(__xludf.DUMMYFUNCTION("""COMPUTED_VALUE"""),"SALIDA DE PISTA")</f>
        <v>SALIDA DE PISTA</v>
      </c>
      <c r="H154" s="64" t="str">
        <f>IFERROR(__xludf.DUMMYFUNCTION("""COMPUTED_VALUE"""),"DESPRENDIMIENTO DE CONTENEDOR")</f>
        <v>DESPRENDIMIENTO DE CONTENEDOR</v>
      </c>
      <c r="I154" s="64" t="str">
        <f>IFERROR(__xludf.DUMMYFUNCTION("""COMPUTED_VALUE"""),"CAÍDA DE CARGA")</f>
        <v>CAÍDA DE CARGA</v>
      </c>
      <c r="J154" s="64" t="str">
        <f>IFERROR(__xludf.DUMMYFUNCTION("""COMPUTED_VALUE"""),"CHOQUE")</f>
        <v>CHOQUE</v>
      </c>
      <c r="K154" s="64" t="str">
        <f>IFERROR(__xludf.DUMMYFUNCTION("""COMPUTED_VALUE"""),"COLISIÓN")</f>
        <v>COLISIÓN</v>
      </c>
      <c r="L154" s="64" t="str">
        <f>IFERROR(__xludf.DUMMYFUNCTION("""COMPUTED_VALUE"""),"COLISIÓN MÚLTIPLE")</f>
        <v>COLISIÓN MÚLTIPLE</v>
      </c>
      <c r="M154" s="64" t="str">
        <f>IFERROR(__xludf.DUMMYFUNCTION("""COMPUTED_VALUE"""),"DERRAPE")</f>
        <v>DERRAPE</v>
      </c>
      <c r="N154" s="64" t="str">
        <f>IFERROR(__xludf.DUMMYFUNCTION("""COMPUTED_VALUE"""),"VEHÍCULO INCENDIADO")</f>
        <v>VEHÍCULO INCENDIADO</v>
      </c>
      <c r="O154" s="64" t="str">
        <f>IFERROR(__xludf.DUMMYFUNCTION("""COMPUTED_VALUE"""),"VUELCO")</f>
        <v>VUELCO</v>
      </c>
      <c r="P154" s="64" t="str">
        <f>IFERROR(__xludf.DUMMYFUNCTION("""COMPUTED_VALUE"""),"DESPRENDIMIENTO")</f>
        <v>DESPRENDIMIENTO</v>
      </c>
      <c r="Q154" s="64" t="str">
        <f>IFERROR(__xludf.DUMMYFUNCTION("""COMPUTED_VALUE"""),"CAÍDA DE ÁRBOL")</f>
        <v>CAÍDA DE ÁRBOL</v>
      </c>
      <c r="R154" s="64" t="str">
        <f>IFERROR(__xludf.DUMMYFUNCTION("""COMPUTED_VALUE"""),"DESPRENDIMIENTO DE EJE")</f>
        <v>DESPRENDIMIENTO DE EJE</v>
      </c>
      <c r="S154" s="64" t="str">
        <f>IFERROR(__xludf.DUMMYFUNCTION("""COMPUTED_VALUE"""),"PERSONA ATROPELLADA")</f>
        <v>PERSONA ATROPELLADA</v>
      </c>
    </row>
    <row r="155">
      <c r="B155" s="64"/>
      <c r="C155" s="64" t="str">
        <f>IFERROR(__xludf.DUMMYFUNCTION(" TRANSPOSE( unique ( QUERY(DATOPRO,""select Col2 where Col1 = '""&amp;B155&amp;""'"")))"),"")</f>
        <v/>
      </c>
    </row>
    <row r="156">
      <c r="B156" s="64" t="s">
        <v>38</v>
      </c>
      <c r="C156" s="64" t="str">
        <f>IFERROR(__xludf.DUMMYFUNCTION(" TRANSPOSE( unique ( QUERY(DATOPRO,""select Col2 where Col1 = '""&amp;B156&amp;""'"")))"),"ATAQUE ARMADO")</f>
        <v>ATAQUE ARMADO</v>
      </c>
      <c r="D156" s="64" t="str">
        <f>IFERROR(__xludf.DUMMYFUNCTION("""COMPUTED_VALUE"""),"DESBALANCE DE CARGA")</f>
        <v>DESBALANCE DE CARGA</v>
      </c>
      <c r="E156" s="64" t="str">
        <f>IFERROR(__xludf.DUMMYFUNCTION("""COMPUTED_VALUE"""),"PERSONA FALLECIDA")</f>
        <v>PERSONA FALLECIDA</v>
      </c>
      <c r="F156" s="64" t="str">
        <f>IFERROR(__xludf.DUMMYFUNCTION("""COMPUTED_VALUE"""),"DESPRENDIMIENTO DE NEUMATICO")</f>
        <v>DESPRENDIMIENTO DE NEUMATICO</v>
      </c>
      <c r="G156" s="64" t="str">
        <f>IFERROR(__xludf.DUMMYFUNCTION("""COMPUTED_VALUE"""),"SALIDA DE PISTA")</f>
        <v>SALIDA DE PISTA</v>
      </c>
      <c r="H156" s="64" t="str">
        <f>IFERROR(__xludf.DUMMYFUNCTION("""COMPUTED_VALUE"""),"DESPRENDIMIENTO DE CONTENEDOR")</f>
        <v>DESPRENDIMIENTO DE CONTENEDOR</v>
      </c>
      <c r="I156" s="64" t="str">
        <f>IFERROR(__xludf.DUMMYFUNCTION("""COMPUTED_VALUE"""),"CAÍDA DE CARGA")</f>
        <v>CAÍDA DE CARGA</v>
      </c>
      <c r="J156" s="64" t="str">
        <f>IFERROR(__xludf.DUMMYFUNCTION("""COMPUTED_VALUE"""),"CHOQUE")</f>
        <v>CHOQUE</v>
      </c>
      <c r="K156" s="64" t="str">
        <f>IFERROR(__xludf.DUMMYFUNCTION("""COMPUTED_VALUE"""),"COLISIÓN")</f>
        <v>COLISIÓN</v>
      </c>
      <c r="L156" s="64" t="str">
        <f>IFERROR(__xludf.DUMMYFUNCTION("""COMPUTED_VALUE"""),"COLISIÓN MÚLTIPLE")</f>
        <v>COLISIÓN MÚLTIPLE</v>
      </c>
      <c r="M156" s="64" t="str">
        <f>IFERROR(__xludf.DUMMYFUNCTION("""COMPUTED_VALUE"""),"DERRAPE")</f>
        <v>DERRAPE</v>
      </c>
      <c r="N156" s="64" t="str">
        <f>IFERROR(__xludf.DUMMYFUNCTION("""COMPUTED_VALUE"""),"VEHÍCULO INCENDIADO")</f>
        <v>VEHÍCULO INCENDIADO</v>
      </c>
      <c r="O156" s="64" t="str">
        <f>IFERROR(__xludf.DUMMYFUNCTION("""COMPUTED_VALUE"""),"VUELCO")</f>
        <v>VUELCO</v>
      </c>
      <c r="P156" s="64" t="str">
        <f>IFERROR(__xludf.DUMMYFUNCTION("""COMPUTED_VALUE"""),"DESPRENDIMIENTO")</f>
        <v>DESPRENDIMIENTO</v>
      </c>
      <c r="Q156" s="64" t="str">
        <f>IFERROR(__xludf.DUMMYFUNCTION("""COMPUTED_VALUE"""),"CAÍDA DE ÁRBOL")</f>
        <v>CAÍDA DE ÁRBOL</v>
      </c>
      <c r="R156" s="64" t="str">
        <f>IFERROR(__xludf.DUMMYFUNCTION("""COMPUTED_VALUE"""),"DESPRENDIMIENTO DE EJE")</f>
        <v>DESPRENDIMIENTO DE EJE</v>
      </c>
      <c r="S156" s="64" t="str">
        <f>IFERROR(__xludf.DUMMYFUNCTION("""COMPUTED_VALUE"""),"PERSONA ATROPELLADA")</f>
        <v>PERSONA ATROPELLADA</v>
      </c>
    </row>
    <row r="157">
      <c r="B157" s="64"/>
      <c r="C157" s="64" t="str">
        <f>IFERROR(__xludf.DUMMYFUNCTION(" TRANSPOSE( unique ( QUERY(DATOPRO,""select Col2 where Col1 = '""&amp;B157&amp;""'"")))"),"")</f>
        <v/>
      </c>
    </row>
    <row r="158">
      <c r="B158" s="64" t="s">
        <v>38</v>
      </c>
      <c r="C158" s="64" t="str">
        <f>IFERROR(__xludf.DUMMYFUNCTION(" TRANSPOSE( unique ( QUERY(DATOPRO,""select Col2 where Col1 = '""&amp;B158&amp;""'"")))"),"ATAQUE ARMADO")</f>
        <v>ATAQUE ARMADO</v>
      </c>
      <c r="D158" s="64" t="str">
        <f>IFERROR(__xludf.DUMMYFUNCTION("""COMPUTED_VALUE"""),"DESBALANCE DE CARGA")</f>
        <v>DESBALANCE DE CARGA</v>
      </c>
      <c r="E158" s="64" t="str">
        <f>IFERROR(__xludf.DUMMYFUNCTION("""COMPUTED_VALUE"""),"PERSONA FALLECIDA")</f>
        <v>PERSONA FALLECIDA</v>
      </c>
      <c r="F158" s="64" t="str">
        <f>IFERROR(__xludf.DUMMYFUNCTION("""COMPUTED_VALUE"""),"DESPRENDIMIENTO DE NEUMATICO")</f>
        <v>DESPRENDIMIENTO DE NEUMATICO</v>
      </c>
      <c r="G158" s="64" t="str">
        <f>IFERROR(__xludf.DUMMYFUNCTION("""COMPUTED_VALUE"""),"SALIDA DE PISTA")</f>
        <v>SALIDA DE PISTA</v>
      </c>
      <c r="H158" s="64" t="str">
        <f>IFERROR(__xludf.DUMMYFUNCTION("""COMPUTED_VALUE"""),"DESPRENDIMIENTO DE CONTENEDOR")</f>
        <v>DESPRENDIMIENTO DE CONTENEDOR</v>
      </c>
      <c r="I158" s="64" t="str">
        <f>IFERROR(__xludf.DUMMYFUNCTION("""COMPUTED_VALUE"""),"CAÍDA DE CARGA")</f>
        <v>CAÍDA DE CARGA</v>
      </c>
      <c r="J158" s="64" t="str">
        <f>IFERROR(__xludf.DUMMYFUNCTION("""COMPUTED_VALUE"""),"CHOQUE")</f>
        <v>CHOQUE</v>
      </c>
      <c r="K158" s="64" t="str">
        <f>IFERROR(__xludf.DUMMYFUNCTION("""COMPUTED_VALUE"""),"COLISIÓN")</f>
        <v>COLISIÓN</v>
      </c>
      <c r="L158" s="64" t="str">
        <f>IFERROR(__xludf.DUMMYFUNCTION("""COMPUTED_VALUE"""),"COLISIÓN MÚLTIPLE")</f>
        <v>COLISIÓN MÚLTIPLE</v>
      </c>
      <c r="M158" s="64" t="str">
        <f>IFERROR(__xludf.DUMMYFUNCTION("""COMPUTED_VALUE"""),"DERRAPE")</f>
        <v>DERRAPE</v>
      </c>
      <c r="N158" s="64" t="str">
        <f>IFERROR(__xludf.DUMMYFUNCTION("""COMPUTED_VALUE"""),"VEHÍCULO INCENDIADO")</f>
        <v>VEHÍCULO INCENDIADO</v>
      </c>
      <c r="O158" s="64" t="str">
        <f>IFERROR(__xludf.DUMMYFUNCTION("""COMPUTED_VALUE"""),"VUELCO")</f>
        <v>VUELCO</v>
      </c>
      <c r="P158" s="64" t="str">
        <f>IFERROR(__xludf.DUMMYFUNCTION("""COMPUTED_VALUE"""),"DESPRENDIMIENTO")</f>
        <v>DESPRENDIMIENTO</v>
      </c>
      <c r="Q158" s="64" t="str">
        <f>IFERROR(__xludf.DUMMYFUNCTION("""COMPUTED_VALUE"""),"CAÍDA DE ÁRBOL")</f>
        <v>CAÍDA DE ÁRBOL</v>
      </c>
      <c r="R158" s="64" t="str">
        <f>IFERROR(__xludf.DUMMYFUNCTION("""COMPUTED_VALUE"""),"DESPRENDIMIENTO DE EJE")</f>
        <v>DESPRENDIMIENTO DE EJE</v>
      </c>
      <c r="S158" s="64" t="str">
        <f>IFERROR(__xludf.DUMMYFUNCTION("""COMPUTED_VALUE"""),"PERSONA ATROPELLADA")</f>
        <v>PERSONA ATROPELLADA</v>
      </c>
    </row>
    <row r="159">
      <c r="B159" s="64" t="s">
        <v>54</v>
      </c>
      <c r="C159" s="64" t="str">
        <f>IFERROR(__xludf.DUMMYFUNCTION(" TRANSPOSE( unique ( QUERY(DATOPRO,""select Col2 where Col1 = '""&amp;B159&amp;""'"")))"),"PINCHAZO")</f>
        <v>PINCHAZO</v>
      </c>
      <c r="D159" s="64" t="str">
        <f>IFERROR(__xludf.DUMMYFUNCTION("""COMPUTED_VALUE"""),"TRABAJOS DE CARRETERA")</f>
        <v>TRABAJOS DE CARRETERA</v>
      </c>
      <c r="E159" s="64" t="str">
        <f>IFERROR(__xludf.DUMMYFUNCTION("""COMPUTED_VALUE"""),"CONSIGNACIÓN")</f>
        <v>CONSIGNACIÓN</v>
      </c>
      <c r="F159" s="64" t="str">
        <f>IFERROR(__xludf.DUMMYFUNCTION("""COMPUTED_VALUE"""),"DERRAME")</f>
        <v>DERRAME</v>
      </c>
      <c r="G159" s="64" t="str">
        <f>IFERROR(__xludf.DUMMYFUNCTION("""COMPUTED_VALUE"""),"CALENTAMIENTO")</f>
        <v>CALENTAMIENTO</v>
      </c>
      <c r="H159" s="64" t="str">
        <f>IFERROR(__xludf.DUMMYFUNCTION("""COMPUTED_VALUE"""),"ESCOLTANDO")</f>
        <v>ESCOLTANDO</v>
      </c>
      <c r="I159" s="64" t="str">
        <f>IFERROR(__xludf.DUMMYFUNCTION("""COMPUTED_VALUE"""),"FALTA DE COMBUSTIBLE")</f>
        <v>FALTA DE COMBUSTIBLE</v>
      </c>
      <c r="J159" s="64" t="str">
        <f>IFERROR(__xludf.DUMMYFUNCTION("""COMPUTED_VALUE"""),"DESPERFECTOS MECÁNICOS")</f>
        <v>DESPERFECTOS MECÁNICOS</v>
      </c>
      <c r="K159" s="64" t="str">
        <f>IFERROR(__xludf.DUMMYFUNCTION("""COMPUTED_VALUE"""),"LLAMADA DE ATENCIÓN")</f>
        <v>LLAMADA DE ATENCIÓN</v>
      </c>
      <c r="L159" s="64" t="str">
        <f>IFERROR(__xludf.DUMMYFUNCTION("""COMPUTED_VALUE"""),"OPERATIVOS")</f>
        <v>OPERATIVOS</v>
      </c>
      <c r="M159" s="64" t="str">
        <f>IFERROR(__xludf.DUMMYFUNCTION("""COMPUTED_VALUE"""),"SANCIÓN")</f>
        <v>SANCIÓN</v>
      </c>
      <c r="N159" s="64" t="str">
        <f>IFERROR(__xludf.DUMMYFUNCTION("""COMPUTED_VALUE"""),"SISTEMA ELECTRICO")</f>
        <v>SISTEMA ELECTRICO</v>
      </c>
      <c r="O159" s="64" t="str">
        <f>IFERROR(__xludf.DUMMYFUNCTION("""COMPUTED_VALUE"""),"ASISTENCIA AL USUARIO")</f>
        <v>ASISTENCIA AL USUARIO</v>
      </c>
      <c r="P159" s="64" t="str">
        <f>IFERROR(__xludf.DUMMYFUNCTION("""COMPUTED_VALUE"""),"DOBLE REMOLQUE")</f>
        <v>DOBLE REMOLQUE</v>
      </c>
      <c r="Q159" s="64" t="str">
        <f>IFERROR(__xludf.DUMMYFUNCTION("""COMPUTED_VALUE"""),"SINAPRESE")</f>
        <v>SINAPRESE</v>
      </c>
      <c r="R159" s="64" t="str">
        <f>IFERROR(__xludf.DUMMYFUNCTION("""COMPUTED_VALUE"""),"APOYO ATLETISMO")</f>
        <v>APOYO ATLETISMO</v>
      </c>
      <c r="S159" s="64" t="str">
        <f>IFERROR(__xludf.DUMMYFUNCTION("""COMPUTED_VALUE"""),"APOYO A CICLISMO")</f>
        <v>APOYO A CICLISMO</v>
      </c>
      <c r="T159" s="64" t="str">
        <f>IFERROR(__xludf.DUMMYFUNCTION("""COMPUTED_VALUE"""),"DESCARGA DE BATERÍA")</f>
        <v>DESCARGA DE BATERÍA</v>
      </c>
      <c r="U159" s="64" t="str">
        <f>IFERROR(__xludf.DUMMYFUNCTION("""COMPUTED_VALUE"""),"PROBLEMAS DE SALUD")</f>
        <v>PROBLEMAS DE SALUD</v>
      </c>
      <c r="V159" s="64" t="str">
        <f>IFERROR(__xludf.DUMMYFUNCTION("""COMPUTED_VALUE"""),"OLVIDO LA LLAVE")</f>
        <v>OLVIDO LA LLAVE</v>
      </c>
      <c r="W159" s="64" t="str">
        <f>IFERROR(__xludf.DUMMYFUNCTION("""COMPUTED_VALUE"""),"CARGA SOBREDIMENSIONADA")</f>
        <v>CARGA SOBREDIMENSIONADA</v>
      </c>
      <c r="X159" s="64" t="str">
        <f>IFERROR(__xludf.DUMMYFUNCTION("""COMPUTED_VALUE"""),"VEHÍCULO ABANDONADO")</f>
        <v>VEHÍCULO ABANDONADO</v>
      </c>
      <c r="Y159" s="64" t="str">
        <f>IFERROR(__xludf.DUMMYFUNCTION("""COMPUTED_VALUE"""),"DESPRENDIMIENTO")</f>
        <v>DESPRENDIMIENTO</v>
      </c>
      <c r="Z159" s="64" t="str">
        <f>IFERROR(__xludf.DUMMYFUNCTION("""COMPUTED_VALUE"""),"CAÍDA DE POSTE")</f>
        <v>CAÍDA DE POSTE</v>
      </c>
      <c r="AA159" s="64" t="str">
        <f>IFERROR(__xludf.DUMMYFUNCTION("""COMPUTED_VALUE"""),"CAÍDA DE RAMA")</f>
        <v>CAÍDA DE RAMA</v>
      </c>
      <c r="AB159" s="64" t="str">
        <f>IFERROR(__xludf.DUMMYFUNCTION("""COMPUTED_VALUE"""),"OPERATIVO DGT")</f>
        <v>OPERATIVO DGT</v>
      </c>
      <c r="AC159" s="64" t="str">
        <f>IFERROR(__xludf.DUMMYFUNCTION("""COMPUTED_VALUE"""),"OPERATIVO PMT")</f>
        <v>OPERATIVO PMT</v>
      </c>
      <c r="AD159" s="64" t="str">
        <f>IFERROR(__xludf.DUMMYFUNCTION("""COMPUTED_VALUE"""),"APOYO A DIGEF")</f>
        <v>APOYO A DIGEF</v>
      </c>
      <c r="AE159" s="64" t="str">
        <f>IFERROR(__xludf.DUMMYFUNCTION("""COMPUTED_VALUE"""),"OPERATIVO PNC TRANSITO")</f>
        <v>OPERATIVO PNC TRANSITO</v>
      </c>
      <c r="AF159" s="64" t="str">
        <f>IFERROR(__xludf.DUMMYFUNCTION("""COMPUTED_VALUE"""),"SOBRECARGA ")</f>
        <v>SOBRECARGA </v>
      </c>
      <c r="AG159" s="64" t="str">
        <f>IFERROR(__xludf.DUMMYFUNCTION("""COMPUTED_VALUE"""),"OPERATIVO EN CONJUNTO")</f>
        <v>OPERATIVO EN CONJUNTO</v>
      </c>
      <c r="AH159" s="64" t="str">
        <f>IFERROR(__xludf.DUMMYFUNCTION("""COMPUTED_VALUE"""),"PUESTO DE ATENCION AL USUARIO")</f>
        <v>PUESTO DE ATENCION AL USUARIO</v>
      </c>
      <c r="AI159" s="64" t="str">
        <f>IFERROR(__xludf.DUMMYFUNCTION("""COMPUTED_VALUE"""),"INCENDIO EN RUTA")</f>
        <v>INCENDIO EN RUTA</v>
      </c>
      <c r="AJ159" s="64" t="str">
        <f>IFERROR(__xludf.DUMMYFUNCTION("""COMPUTED_VALUE"""),"APOYO ANTORCHA ")</f>
        <v>APOYO ANTORCHA </v>
      </c>
    </row>
    <row r="160">
      <c r="B160" s="64" t="s">
        <v>54</v>
      </c>
      <c r="C160" s="64" t="str">
        <f>IFERROR(__xludf.DUMMYFUNCTION(" TRANSPOSE( unique ( QUERY(DATOPRO,""select Col2 where Col1 = '""&amp;B160&amp;""'"")))"),"PINCHAZO")</f>
        <v>PINCHAZO</v>
      </c>
      <c r="D160" s="64" t="str">
        <f>IFERROR(__xludf.DUMMYFUNCTION("""COMPUTED_VALUE"""),"TRABAJOS DE CARRETERA")</f>
        <v>TRABAJOS DE CARRETERA</v>
      </c>
      <c r="E160" s="64" t="str">
        <f>IFERROR(__xludf.DUMMYFUNCTION("""COMPUTED_VALUE"""),"CONSIGNACIÓN")</f>
        <v>CONSIGNACIÓN</v>
      </c>
      <c r="F160" s="64" t="str">
        <f>IFERROR(__xludf.DUMMYFUNCTION("""COMPUTED_VALUE"""),"DERRAME")</f>
        <v>DERRAME</v>
      </c>
      <c r="G160" s="64" t="str">
        <f>IFERROR(__xludf.DUMMYFUNCTION("""COMPUTED_VALUE"""),"CALENTAMIENTO")</f>
        <v>CALENTAMIENTO</v>
      </c>
      <c r="H160" s="64" t="str">
        <f>IFERROR(__xludf.DUMMYFUNCTION("""COMPUTED_VALUE"""),"ESCOLTANDO")</f>
        <v>ESCOLTANDO</v>
      </c>
      <c r="I160" s="64" t="str">
        <f>IFERROR(__xludf.DUMMYFUNCTION("""COMPUTED_VALUE"""),"FALTA DE COMBUSTIBLE")</f>
        <v>FALTA DE COMBUSTIBLE</v>
      </c>
      <c r="J160" s="64" t="str">
        <f>IFERROR(__xludf.DUMMYFUNCTION("""COMPUTED_VALUE"""),"DESPERFECTOS MECÁNICOS")</f>
        <v>DESPERFECTOS MECÁNICOS</v>
      </c>
      <c r="K160" s="64" t="str">
        <f>IFERROR(__xludf.DUMMYFUNCTION("""COMPUTED_VALUE"""),"LLAMADA DE ATENCIÓN")</f>
        <v>LLAMADA DE ATENCIÓN</v>
      </c>
      <c r="L160" s="64" t="str">
        <f>IFERROR(__xludf.DUMMYFUNCTION("""COMPUTED_VALUE"""),"OPERATIVOS")</f>
        <v>OPERATIVOS</v>
      </c>
      <c r="M160" s="64" t="str">
        <f>IFERROR(__xludf.DUMMYFUNCTION("""COMPUTED_VALUE"""),"SANCIÓN")</f>
        <v>SANCIÓN</v>
      </c>
      <c r="N160" s="64" t="str">
        <f>IFERROR(__xludf.DUMMYFUNCTION("""COMPUTED_VALUE"""),"SISTEMA ELECTRICO")</f>
        <v>SISTEMA ELECTRICO</v>
      </c>
      <c r="O160" s="64" t="str">
        <f>IFERROR(__xludf.DUMMYFUNCTION("""COMPUTED_VALUE"""),"ASISTENCIA AL USUARIO")</f>
        <v>ASISTENCIA AL USUARIO</v>
      </c>
      <c r="P160" s="64" t="str">
        <f>IFERROR(__xludf.DUMMYFUNCTION("""COMPUTED_VALUE"""),"DOBLE REMOLQUE")</f>
        <v>DOBLE REMOLQUE</v>
      </c>
      <c r="Q160" s="64" t="str">
        <f>IFERROR(__xludf.DUMMYFUNCTION("""COMPUTED_VALUE"""),"SINAPRESE")</f>
        <v>SINAPRESE</v>
      </c>
      <c r="R160" s="64" t="str">
        <f>IFERROR(__xludf.DUMMYFUNCTION("""COMPUTED_VALUE"""),"APOYO ATLETISMO")</f>
        <v>APOYO ATLETISMO</v>
      </c>
      <c r="S160" s="64" t="str">
        <f>IFERROR(__xludf.DUMMYFUNCTION("""COMPUTED_VALUE"""),"APOYO A CICLISMO")</f>
        <v>APOYO A CICLISMO</v>
      </c>
      <c r="T160" s="64" t="str">
        <f>IFERROR(__xludf.DUMMYFUNCTION("""COMPUTED_VALUE"""),"DESCARGA DE BATERÍA")</f>
        <v>DESCARGA DE BATERÍA</v>
      </c>
      <c r="U160" s="64" t="str">
        <f>IFERROR(__xludf.DUMMYFUNCTION("""COMPUTED_VALUE"""),"PROBLEMAS DE SALUD")</f>
        <v>PROBLEMAS DE SALUD</v>
      </c>
      <c r="V160" s="64" t="str">
        <f>IFERROR(__xludf.DUMMYFUNCTION("""COMPUTED_VALUE"""),"OLVIDO LA LLAVE")</f>
        <v>OLVIDO LA LLAVE</v>
      </c>
      <c r="W160" s="64" t="str">
        <f>IFERROR(__xludf.DUMMYFUNCTION("""COMPUTED_VALUE"""),"CARGA SOBREDIMENSIONADA")</f>
        <v>CARGA SOBREDIMENSIONADA</v>
      </c>
      <c r="X160" s="64" t="str">
        <f>IFERROR(__xludf.DUMMYFUNCTION("""COMPUTED_VALUE"""),"VEHÍCULO ABANDONADO")</f>
        <v>VEHÍCULO ABANDONADO</v>
      </c>
      <c r="Y160" s="64" t="str">
        <f>IFERROR(__xludf.DUMMYFUNCTION("""COMPUTED_VALUE"""),"DESPRENDIMIENTO")</f>
        <v>DESPRENDIMIENTO</v>
      </c>
      <c r="Z160" s="64" t="str">
        <f>IFERROR(__xludf.DUMMYFUNCTION("""COMPUTED_VALUE"""),"CAÍDA DE POSTE")</f>
        <v>CAÍDA DE POSTE</v>
      </c>
      <c r="AA160" s="64" t="str">
        <f>IFERROR(__xludf.DUMMYFUNCTION("""COMPUTED_VALUE"""),"CAÍDA DE RAMA")</f>
        <v>CAÍDA DE RAMA</v>
      </c>
      <c r="AB160" s="64" t="str">
        <f>IFERROR(__xludf.DUMMYFUNCTION("""COMPUTED_VALUE"""),"OPERATIVO DGT")</f>
        <v>OPERATIVO DGT</v>
      </c>
      <c r="AC160" s="64" t="str">
        <f>IFERROR(__xludf.DUMMYFUNCTION("""COMPUTED_VALUE"""),"OPERATIVO PMT")</f>
        <v>OPERATIVO PMT</v>
      </c>
      <c r="AD160" s="64" t="str">
        <f>IFERROR(__xludf.DUMMYFUNCTION("""COMPUTED_VALUE"""),"APOYO A DIGEF")</f>
        <v>APOYO A DIGEF</v>
      </c>
      <c r="AE160" s="64" t="str">
        <f>IFERROR(__xludf.DUMMYFUNCTION("""COMPUTED_VALUE"""),"OPERATIVO PNC TRANSITO")</f>
        <v>OPERATIVO PNC TRANSITO</v>
      </c>
      <c r="AF160" s="64" t="str">
        <f>IFERROR(__xludf.DUMMYFUNCTION("""COMPUTED_VALUE"""),"SOBRECARGA ")</f>
        <v>SOBRECARGA </v>
      </c>
      <c r="AG160" s="64" t="str">
        <f>IFERROR(__xludf.DUMMYFUNCTION("""COMPUTED_VALUE"""),"OPERATIVO EN CONJUNTO")</f>
        <v>OPERATIVO EN CONJUNTO</v>
      </c>
      <c r="AH160" s="64" t="str">
        <f>IFERROR(__xludf.DUMMYFUNCTION("""COMPUTED_VALUE"""),"PUESTO DE ATENCION AL USUARIO")</f>
        <v>PUESTO DE ATENCION AL USUARIO</v>
      </c>
      <c r="AI160" s="64" t="str">
        <f>IFERROR(__xludf.DUMMYFUNCTION("""COMPUTED_VALUE"""),"INCENDIO EN RUTA")</f>
        <v>INCENDIO EN RUTA</v>
      </c>
      <c r="AJ160" s="64" t="str">
        <f>IFERROR(__xludf.DUMMYFUNCTION("""COMPUTED_VALUE"""),"APOYO ANTORCHA ")</f>
        <v>APOYO ANTORCHA </v>
      </c>
    </row>
    <row r="161">
      <c r="B161" s="64" t="s">
        <v>54</v>
      </c>
      <c r="C161" s="64" t="str">
        <f>IFERROR(__xludf.DUMMYFUNCTION(" TRANSPOSE( unique ( QUERY(DATOPRO,""select Col2 where Col1 = '""&amp;B161&amp;""'"")))"),"PINCHAZO")</f>
        <v>PINCHAZO</v>
      </c>
      <c r="D161" s="64" t="str">
        <f>IFERROR(__xludf.DUMMYFUNCTION("""COMPUTED_VALUE"""),"TRABAJOS DE CARRETERA")</f>
        <v>TRABAJOS DE CARRETERA</v>
      </c>
      <c r="E161" s="64" t="str">
        <f>IFERROR(__xludf.DUMMYFUNCTION("""COMPUTED_VALUE"""),"CONSIGNACIÓN")</f>
        <v>CONSIGNACIÓN</v>
      </c>
      <c r="F161" s="64" t="str">
        <f>IFERROR(__xludf.DUMMYFUNCTION("""COMPUTED_VALUE"""),"DERRAME")</f>
        <v>DERRAME</v>
      </c>
      <c r="G161" s="64" t="str">
        <f>IFERROR(__xludf.DUMMYFUNCTION("""COMPUTED_VALUE"""),"CALENTAMIENTO")</f>
        <v>CALENTAMIENTO</v>
      </c>
      <c r="H161" s="64" t="str">
        <f>IFERROR(__xludf.DUMMYFUNCTION("""COMPUTED_VALUE"""),"ESCOLTANDO")</f>
        <v>ESCOLTANDO</v>
      </c>
      <c r="I161" s="64" t="str">
        <f>IFERROR(__xludf.DUMMYFUNCTION("""COMPUTED_VALUE"""),"FALTA DE COMBUSTIBLE")</f>
        <v>FALTA DE COMBUSTIBLE</v>
      </c>
      <c r="J161" s="64" t="str">
        <f>IFERROR(__xludf.DUMMYFUNCTION("""COMPUTED_VALUE"""),"DESPERFECTOS MECÁNICOS")</f>
        <v>DESPERFECTOS MECÁNICOS</v>
      </c>
      <c r="K161" s="64" t="str">
        <f>IFERROR(__xludf.DUMMYFUNCTION("""COMPUTED_VALUE"""),"LLAMADA DE ATENCIÓN")</f>
        <v>LLAMADA DE ATENCIÓN</v>
      </c>
      <c r="L161" s="64" t="str">
        <f>IFERROR(__xludf.DUMMYFUNCTION("""COMPUTED_VALUE"""),"OPERATIVOS")</f>
        <v>OPERATIVOS</v>
      </c>
      <c r="M161" s="64" t="str">
        <f>IFERROR(__xludf.DUMMYFUNCTION("""COMPUTED_VALUE"""),"SANCIÓN")</f>
        <v>SANCIÓN</v>
      </c>
      <c r="N161" s="64" t="str">
        <f>IFERROR(__xludf.DUMMYFUNCTION("""COMPUTED_VALUE"""),"SISTEMA ELECTRICO")</f>
        <v>SISTEMA ELECTRICO</v>
      </c>
      <c r="O161" s="64" t="str">
        <f>IFERROR(__xludf.DUMMYFUNCTION("""COMPUTED_VALUE"""),"ASISTENCIA AL USUARIO")</f>
        <v>ASISTENCIA AL USUARIO</v>
      </c>
      <c r="P161" s="64" t="str">
        <f>IFERROR(__xludf.DUMMYFUNCTION("""COMPUTED_VALUE"""),"DOBLE REMOLQUE")</f>
        <v>DOBLE REMOLQUE</v>
      </c>
      <c r="Q161" s="64" t="str">
        <f>IFERROR(__xludf.DUMMYFUNCTION("""COMPUTED_VALUE"""),"SINAPRESE")</f>
        <v>SINAPRESE</v>
      </c>
      <c r="R161" s="64" t="str">
        <f>IFERROR(__xludf.DUMMYFUNCTION("""COMPUTED_VALUE"""),"APOYO ATLETISMO")</f>
        <v>APOYO ATLETISMO</v>
      </c>
      <c r="S161" s="64" t="str">
        <f>IFERROR(__xludf.DUMMYFUNCTION("""COMPUTED_VALUE"""),"APOYO A CICLISMO")</f>
        <v>APOYO A CICLISMO</v>
      </c>
      <c r="T161" s="64" t="str">
        <f>IFERROR(__xludf.DUMMYFUNCTION("""COMPUTED_VALUE"""),"DESCARGA DE BATERÍA")</f>
        <v>DESCARGA DE BATERÍA</v>
      </c>
      <c r="U161" s="64" t="str">
        <f>IFERROR(__xludf.DUMMYFUNCTION("""COMPUTED_VALUE"""),"PROBLEMAS DE SALUD")</f>
        <v>PROBLEMAS DE SALUD</v>
      </c>
      <c r="V161" s="64" t="str">
        <f>IFERROR(__xludf.DUMMYFUNCTION("""COMPUTED_VALUE"""),"OLVIDO LA LLAVE")</f>
        <v>OLVIDO LA LLAVE</v>
      </c>
      <c r="W161" s="64" t="str">
        <f>IFERROR(__xludf.DUMMYFUNCTION("""COMPUTED_VALUE"""),"CARGA SOBREDIMENSIONADA")</f>
        <v>CARGA SOBREDIMENSIONADA</v>
      </c>
      <c r="X161" s="64" t="str">
        <f>IFERROR(__xludf.DUMMYFUNCTION("""COMPUTED_VALUE"""),"VEHÍCULO ABANDONADO")</f>
        <v>VEHÍCULO ABANDONADO</v>
      </c>
      <c r="Y161" s="64" t="str">
        <f>IFERROR(__xludf.DUMMYFUNCTION("""COMPUTED_VALUE"""),"DESPRENDIMIENTO")</f>
        <v>DESPRENDIMIENTO</v>
      </c>
      <c r="Z161" s="64" t="str">
        <f>IFERROR(__xludf.DUMMYFUNCTION("""COMPUTED_VALUE"""),"CAÍDA DE POSTE")</f>
        <v>CAÍDA DE POSTE</v>
      </c>
      <c r="AA161" s="64" t="str">
        <f>IFERROR(__xludf.DUMMYFUNCTION("""COMPUTED_VALUE"""),"CAÍDA DE RAMA")</f>
        <v>CAÍDA DE RAMA</v>
      </c>
      <c r="AB161" s="64" t="str">
        <f>IFERROR(__xludf.DUMMYFUNCTION("""COMPUTED_VALUE"""),"OPERATIVO DGT")</f>
        <v>OPERATIVO DGT</v>
      </c>
      <c r="AC161" s="64" t="str">
        <f>IFERROR(__xludf.DUMMYFUNCTION("""COMPUTED_VALUE"""),"OPERATIVO PMT")</f>
        <v>OPERATIVO PMT</v>
      </c>
      <c r="AD161" s="64" t="str">
        <f>IFERROR(__xludf.DUMMYFUNCTION("""COMPUTED_VALUE"""),"APOYO A DIGEF")</f>
        <v>APOYO A DIGEF</v>
      </c>
      <c r="AE161" s="64" t="str">
        <f>IFERROR(__xludf.DUMMYFUNCTION("""COMPUTED_VALUE"""),"OPERATIVO PNC TRANSITO")</f>
        <v>OPERATIVO PNC TRANSITO</v>
      </c>
      <c r="AF161" s="64" t="str">
        <f>IFERROR(__xludf.DUMMYFUNCTION("""COMPUTED_VALUE"""),"SOBRECARGA ")</f>
        <v>SOBRECARGA </v>
      </c>
      <c r="AG161" s="64" t="str">
        <f>IFERROR(__xludf.DUMMYFUNCTION("""COMPUTED_VALUE"""),"OPERATIVO EN CONJUNTO")</f>
        <v>OPERATIVO EN CONJUNTO</v>
      </c>
      <c r="AH161" s="64" t="str">
        <f>IFERROR(__xludf.DUMMYFUNCTION("""COMPUTED_VALUE"""),"PUESTO DE ATENCION AL USUARIO")</f>
        <v>PUESTO DE ATENCION AL USUARIO</v>
      </c>
      <c r="AI161" s="64" t="str">
        <f>IFERROR(__xludf.DUMMYFUNCTION("""COMPUTED_VALUE"""),"INCENDIO EN RUTA")</f>
        <v>INCENDIO EN RUTA</v>
      </c>
      <c r="AJ161" s="64" t="str">
        <f>IFERROR(__xludf.DUMMYFUNCTION("""COMPUTED_VALUE"""),"APOYO ANTORCHA ")</f>
        <v>APOYO ANTORCHA </v>
      </c>
    </row>
    <row r="162">
      <c r="B162" s="64" t="s">
        <v>54</v>
      </c>
      <c r="C162" s="64" t="str">
        <f>IFERROR(__xludf.DUMMYFUNCTION(" TRANSPOSE( unique ( QUERY(DATOPRO,""select Col2 where Col1 = '""&amp;B162&amp;""'"")))"),"PINCHAZO")</f>
        <v>PINCHAZO</v>
      </c>
      <c r="D162" s="64" t="str">
        <f>IFERROR(__xludf.DUMMYFUNCTION("""COMPUTED_VALUE"""),"TRABAJOS DE CARRETERA")</f>
        <v>TRABAJOS DE CARRETERA</v>
      </c>
      <c r="E162" s="64" t="str">
        <f>IFERROR(__xludf.DUMMYFUNCTION("""COMPUTED_VALUE"""),"CONSIGNACIÓN")</f>
        <v>CONSIGNACIÓN</v>
      </c>
      <c r="F162" s="64" t="str">
        <f>IFERROR(__xludf.DUMMYFUNCTION("""COMPUTED_VALUE"""),"DERRAME")</f>
        <v>DERRAME</v>
      </c>
      <c r="G162" s="64" t="str">
        <f>IFERROR(__xludf.DUMMYFUNCTION("""COMPUTED_VALUE"""),"CALENTAMIENTO")</f>
        <v>CALENTAMIENTO</v>
      </c>
      <c r="H162" s="64" t="str">
        <f>IFERROR(__xludf.DUMMYFUNCTION("""COMPUTED_VALUE"""),"ESCOLTANDO")</f>
        <v>ESCOLTANDO</v>
      </c>
      <c r="I162" s="64" t="str">
        <f>IFERROR(__xludf.DUMMYFUNCTION("""COMPUTED_VALUE"""),"FALTA DE COMBUSTIBLE")</f>
        <v>FALTA DE COMBUSTIBLE</v>
      </c>
      <c r="J162" s="64" t="str">
        <f>IFERROR(__xludf.DUMMYFUNCTION("""COMPUTED_VALUE"""),"DESPERFECTOS MECÁNICOS")</f>
        <v>DESPERFECTOS MECÁNICOS</v>
      </c>
      <c r="K162" s="64" t="str">
        <f>IFERROR(__xludf.DUMMYFUNCTION("""COMPUTED_VALUE"""),"LLAMADA DE ATENCIÓN")</f>
        <v>LLAMADA DE ATENCIÓN</v>
      </c>
      <c r="L162" s="64" t="str">
        <f>IFERROR(__xludf.DUMMYFUNCTION("""COMPUTED_VALUE"""),"OPERATIVOS")</f>
        <v>OPERATIVOS</v>
      </c>
      <c r="M162" s="64" t="str">
        <f>IFERROR(__xludf.DUMMYFUNCTION("""COMPUTED_VALUE"""),"SANCIÓN")</f>
        <v>SANCIÓN</v>
      </c>
      <c r="N162" s="64" t="str">
        <f>IFERROR(__xludf.DUMMYFUNCTION("""COMPUTED_VALUE"""),"SISTEMA ELECTRICO")</f>
        <v>SISTEMA ELECTRICO</v>
      </c>
      <c r="O162" s="64" t="str">
        <f>IFERROR(__xludf.DUMMYFUNCTION("""COMPUTED_VALUE"""),"ASISTENCIA AL USUARIO")</f>
        <v>ASISTENCIA AL USUARIO</v>
      </c>
      <c r="P162" s="64" t="str">
        <f>IFERROR(__xludf.DUMMYFUNCTION("""COMPUTED_VALUE"""),"DOBLE REMOLQUE")</f>
        <v>DOBLE REMOLQUE</v>
      </c>
      <c r="Q162" s="64" t="str">
        <f>IFERROR(__xludf.DUMMYFUNCTION("""COMPUTED_VALUE"""),"SINAPRESE")</f>
        <v>SINAPRESE</v>
      </c>
      <c r="R162" s="64" t="str">
        <f>IFERROR(__xludf.DUMMYFUNCTION("""COMPUTED_VALUE"""),"APOYO ATLETISMO")</f>
        <v>APOYO ATLETISMO</v>
      </c>
      <c r="S162" s="64" t="str">
        <f>IFERROR(__xludf.DUMMYFUNCTION("""COMPUTED_VALUE"""),"APOYO A CICLISMO")</f>
        <v>APOYO A CICLISMO</v>
      </c>
      <c r="T162" s="64" t="str">
        <f>IFERROR(__xludf.DUMMYFUNCTION("""COMPUTED_VALUE"""),"DESCARGA DE BATERÍA")</f>
        <v>DESCARGA DE BATERÍA</v>
      </c>
      <c r="U162" s="64" t="str">
        <f>IFERROR(__xludf.DUMMYFUNCTION("""COMPUTED_VALUE"""),"PROBLEMAS DE SALUD")</f>
        <v>PROBLEMAS DE SALUD</v>
      </c>
      <c r="V162" s="64" t="str">
        <f>IFERROR(__xludf.DUMMYFUNCTION("""COMPUTED_VALUE"""),"OLVIDO LA LLAVE")</f>
        <v>OLVIDO LA LLAVE</v>
      </c>
      <c r="W162" s="64" t="str">
        <f>IFERROR(__xludf.DUMMYFUNCTION("""COMPUTED_VALUE"""),"CARGA SOBREDIMENSIONADA")</f>
        <v>CARGA SOBREDIMENSIONADA</v>
      </c>
      <c r="X162" s="64" t="str">
        <f>IFERROR(__xludf.DUMMYFUNCTION("""COMPUTED_VALUE"""),"VEHÍCULO ABANDONADO")</f>
        <v>VEHÍCULO ABANDONADO</v>
      </c>
      <c r="Y162" s="64" t="str">
        <f>IFERROR(__xludf.DUMMYFUNCTION("""COMPUTED_VALUE"""),"DESPRENDIMIENTO")</f>
        <v>DESPRENDIMIENTO</v>
      </c>
      <c r="Z162" s="64" t="str">
        <f>IFERROR(__xludf.DUMMYFUNCTION("""COMPUTED_VALUE"""),"CAÍDA DE POSTE")</f>
        <v>CAÍDA DE POSTE</v>
      </c>
      <c r="AA162" s="64" t="str">
        <f>IFERROR(__xludf.DUMMYFUNCTION("""COMPUTED_VALUE"""),"CAÍDA DE RAMA")</f>
        <v>CAÍDA DE RAMA</v>
      </c>
      <c r="AB162" s="64" t="str">
        <f>IFERROR(__xludf.DUMMYFUNCTION("""COMPUTED_VALUE"""),"OPERATIVO DGT")</f>
        <v>OPERATIVO DGT</v>
      </c>
      <c r="AC162" s="64" t="str">
        <f>IFERROR(__xludf.DUMMYFUNCTION("""COMPUTED_VALUE"""),"OPERATIVO PMT")</f>
        <v>OPERATIVO PMT</v>
      </c>
      <c r="AD162" s="64" t="str">
        <f>IFERROR(__xludf.DUMMYFUNCTION("""COMPUTED_VALUE"""),"APOYO A DIGEF")</f>
        <v>APOYO A DIGEF</v>
      </c>
      <c r="AE162" s="64" t="str">
        <f>IFERROR(__xludf.DUMMYFUNCTION("""COMPUTED_VALUE"""),"OPERATIVO PNC TRANSITO")</f>
        <v>OPERATIVO PNC TRANSITO</v>
      </c>
      <c r="AF162" s="64" t="str">
        <f>IFERROR(__xludf.DUMMYFUNCTION("""COMPUTED_VALUE"""),"SOBRECARGA ")</f>
        <v>SOBRECARGA </v>
      </c>
      <c r="AG162" s="64" t="str">
        <f>IFERROR(__xludf.DUMMYFUNCTION("""COMPUTED_VALUE"""),"OPERATIVO EN CONJUNTO")</f>
        <v>OPERATIVO EN CONJUNTO</v>
      </c>
      <c r="AH162" s="64" t="str">
        <f>IFERROR(__xludf.DUMMYFUNCTION("""COMPUTED_VALUE"""),"PUESTO DE ATENCION AL USUARIO")</f>
        <v>PUESTO DE ATENCION AL USUARIO</v>
      </c>
      <c r="AI162" s="64" t="str">
        <f>IFERROR(__xludf.DUMMYFUNCTION("""COMPUTED_VALUE"""),"INCENDIO EN RUTA")</f>
        <v>INCENDIO EN RUTA</v>
      </c>
      <c r="AJ162" s="64" t="str">
        <f>IFERROR(__xludf.DUMMYFUNCTION("""COMPUTED_VALUE"""),"APOYO ANTORCHA ")</f>
        <v>APOYO ANTORCHA </v>
      </c>
    </row>
    <row r="163">
      <c r="B163" s="64" t="s">
        <v>54</v>
      </c>
      <c r="C163" s="64" t="str">
        <f>IFERROR(__xludf.DUMMYFUNCTION(" TRANSPOSE( unique ( QUERY(DATOPRO,""select Col2 where Col1 = '""&amp;B163&amp;""'"")))"),"PINCHAZO")</f>
        <v>PINCHAZO</v>
      </c>
      <c r="D163" s="64" t="str">
        <f>IFERROR(__xludf.DUMMYFUNCTION("""COMPUTED_VALUE"""),"TRABAJOS DE CARRETERA")</f>
        <v>TRABAJOS DE CARRETERA</v>
      </c>
      <c r="E163" s="64" t="str">
        <f>IFERROR(__xludf.DUMMYFUNCTION("""COMPUTED_VALUE"""),"CONSIGNACIÓN")</f>
        <v>CONSIGNACIÓN</v>
      </c>
      <c r="F163" s="64" t="str">
        <f>IFERROR(__xludf.DUMMYFUNCTION("""COMPUTED_VALUE"""),"DERRAME")</f>
        <v>DERRAME</v>
      </c>
      <c r="G163" s="64" t="str">
        <f>IFERROR(__xludf.DUMMYFUNCTION("""COMPUTED_VALUE"""),"CALENTAMIENTO")</f>
        <v>CALENTAMIENTO</v>
      </c>
      <c r="H163" s="64" t="str">
        <f>IFERROR(__xludf.DUMMYFUNCTION("""COMPUTED_VALUE"""),"ESCOLTANDO")</f>
        <v>ESCOLTANDO</v>
      </c>
      <c r="I163" s="64" t="str">
        <f>IFERROR(__xludf.DUMMYFUNCTION("""COMPUTED_VALUE"""),"FALTA DE COMBUSTIBLE")</f>
        <v>FALTA DE COMBUSTIBLE</v>
      </c>
      <c r="J163" s="64" t="str">
        <f>IFERROR(__xludf.DUMMYFUNCTION("""COMPUTED_VALUE"""),"DESPERFECTOS MECÁNICOS")</f>
        <v>DESPERFECTOS MECÁNICOS</v>
      </c>
      <c r="K163" s="64" t="str">
        <f>IFERROR(__xludf.DUMMYFUNCTION("""COMPUTED_VALUE"""),"LLAMADA DE ATENCIÓN")</f>
        <v>LLAMADA DE ATENCIÓN</v>
      </c>
      <c r="L163" s="64" t="str">
        <f>IFERROR(__xludf.DUMMYFUNCTION("""COMPUTED_VALUE"""),"OPERATIVOS")</f>
        <v>OPERATIVOS</v>
      </c>
      <c r="M163" s="64" t="str">
        <f>IFERROR(__xludf.DUMMYFUNCTION("""COMPUTED_VALUE"""),"SANCIÓN")</f>
        <v>SANCIÓN</v>
      </c>
      <c r="N163" s="64" t="str">
        <f>IFERROR(__xludf.DUMMYFUNCTION("""COMPUTED_VALUE"""),"SISTEMA ELECTRICO")</f>
        <v>SISTEMA ELECTRICO</v>
      </c>
      <c r="O163" s="64" t="str">
        <f>IFERROR(__xludf.DUMMYFUNCTION("""COMPUTED_VALUE"""),"ASISTENCIA AL USUARIO")</f>
        <v>ASISTENCIA AL USUARIO</v>
      </c>
      <c r="P163" s="64" t="str">
        <f>IFERROR(__xludf.DUMMYFUNCTION("""COMPUTED_VALUE"""),"DOBLE REMOLQUE")</f>
        <v>DOBLE REMOLQUE</v>
      </c>
      <c r="Q163" s="64" t="str">
        <f>IFERROR(__xludf.DUMMYFUNCTION("""COMPUTED_VALUE"""),"SINAPRESE")</f>
        <v>SINAPRESE</v>
      </c>
      <c r="R163" s="64" t="str">
        <f>IFERROR(__xludf.DUMMYFUNCTION("""COMPUTED_VALUE"""),"APOYO ATLETISMO")</f>
        <v>APOYO ATLETISMO</v>
      </c>
      <c r="S163" s="64" t="str">
        <f>IFERROR(__xludf.DUMMYFUNCTION("""COMPUTED_VALUE"""),"APOYO A CICLISMO")</f>
        <v>APOYO A CICLISMO</v>
      </c>
      <c r="T163" s="64" t="str">
        <f>IFERROR(__xludf.DUMMYFUNCTION("""COMPUTED_VALUE"""),"DESCARGA DE BATERÍA")</f>
        <v>DESCARGA DE BATERÍA</v>
      </c>
      <c r="U163" s="64" t="str">
        <f>IFERROR(__xludf.DUMMYFUNCTION("""COMPUTED_VALUE"""),"PROBLEMAS DE SALUD")</f>
        <v>PROBLEMAS DE SALUD</v>
      </c>
      <c r="V163" s="64" t="str">
        <f>IFERROR(__xludf.DUMMYFUNCTION("""COMPUTED_VALUE"""),"OLVIDO LA LLAVE")</f>
        <v>OLVIDO LA LLAVE</v>
      </c>
      <c r="W163" s="64" t="str">
        <f>IFERROR(__xludf.DUMMYFUNCTION("""COMPUTED_VALUE"""),"CARGA SOBREDIMENSIONADA")</f>
        <v>CARGA SOBREDIMENSIONADA</v>
      </c>
      <c r="X163" s="64" t="str">
        <f>IFERROR(__xludf.DUMMYFUNCTION("""COMPUTED_VALUE"""),"VEHÍCULO ABANDONADO")</f>
        <v>VEHÍCULO ABANDONADO</v>
      </c>
      <c r="Y163" s="64" t="str">
        <f>IFERROR(__xludf.DUMMYFUNCTION("""COMPUTED_VALUE"""),"DESPRENDIMIENTO")</f>
        <v>DESPRENDIMIENTO</v>
      </c>
      <c r="Z163" s="64" t="str">
        <f>IFERROR(__xludf.DUMMYFUNCTION("""COMPUTED_VALUE"""),"CAÍDA DE POSTE")</f>
        <v>CAÍDA DE POSTE</v>
      </c>
      <c r="AA163" s="64" t="str">
        <f>IFERROR(__xludf.DUMMYFUNCTION("""COMPUTED_VALUE"""),"CAÍDA DE RAMA")</f>
        <v>CAÍDA DE RAMA</v>
      </c>
      <c r="AB163" s="64" t="str">
        <f>IFERROR(__xludf.DUMMYFUNCTION("""COMPUTED_VALUE"""),"OPERATIVO DGT")</f>
        <v>OPERATIVO DGT</v>
      </c>
      <c r="AC163" s="64" t="str">
        <f>IFERROR(__xludf.DUMMYFUNCTION("""COMPUTED_VALUE"""),"OPERATIVO PMT")</f>
        <v>OPERATIVO PMT</v>
      </c>
      <c r="AD163" s="64" t="str">
        <f>IFERROR(__xludf.DUMMYFUNCTION("""COMPUTED_VALUE"""),"APOYO A DIGEF")</f>
        <v>APOYO A DIGEF</v>
      </c>
      <c r="AE163" s="64" t="str">
        <f>IFERROR(__xludf.DUMMYFUNCTION("""COMPUTED_VALUE"""),"OPERATIVO PNC TRANSITO")</f>
        <v>OPERATIVO PNC TRANSITO</v>
      </c>
      <c r="AF163" s="64" t="str">
        <f>IFERROR(__xludf.DUMMYFUNCTION("""COMPUTED_VALUE"""),"SOBRECARGA ")</f>
        <v>SOBRECARGA </v>
      </c>
      <c r="AG163" s="64" t="str">
        <f>IFERROR(__xludf.DUMMYFUNCTION("""COMPUTED_VALUE"""),"OPERATIVO EN CONJUNTO")</f>
        <v>OPERATIVO EN CONJUNTO</v>
      </c>
      <c r="AH163" s="64" t="str">
        <f>IFERROR(__xludf.DUMMYFUNCTION("""COMPUTED_VALUE"""),"PUESTO DE ATENCION AL USUARIO")</f>
        <v>PUESTO DE ATENCION AL USUARIO</v>
      </c>
      <c r="AI163" s="64" t="str">
        <f>IFERROR(__xludf.DUMMYFUNCTION("""COMPUTED_VALUE"""),"INCENDIO EN RUTA")</f>
        <v>INCENDIO EN RUTA</v>
      </c>
      <c r="AJ163" s="64" t="str">
        <f>IFERROR(__xludf.DUMMYFUNCTION("""COMPUTED_VALUE"""),"APOYO ANTORCHA ")</f>
        <v>APOYO ANTORCHA </v>
      </c>
    </row>
    <row r="164">
      <c r="B164" s="64" t="s">
        <v>54</v>
      </c>
      <c r="C164" s="64" t="str">
        <f>IFERROR(__xludf.DUMMYFUNCTION(" TRANSPOSE( unique ( QUERY(DATOPRO,""select Col2 where Col1 = '""&amp;B164&amp;""'"")))"),"PINCHAZO")</f>
        <v>PINCHAZO</v>
      </c>
      <c r="D164" s="64" t="str">
        <f>IFERROR(__xludf.DUMMYFUNCTION("""COMPUTED_VALUE"""),"TRABAJOS DE CARRETERA")</f>
        <v>TRABAJOS DE CARRETERA</v>
      </c>
      <c r="E164" s="64" t="str">
        <f>IFERROR(__xludf.DUMMYFUNCTION("""COMPUTED_VALUE"""),"CONSIGNACIÓN")</f>
        <v>CONSIGNACIÓN</v>
      </c>
      <c r="F164" s="64" t="str">
        <f>IFERROR(__xludf.DUMMYFUNCTION("""COMPUTED_VALUE"""),"DERRAME")</f>
        <v>DERRAME</v>
      </c>
      <c r="G164" s="64" t="str">
        <f>IFERROR(__xludf.DUMMYFUNCTION("""COMPUTED_VALUE"""),"CALENTAMIENTO")</f>
        <v>CALENTAMIENTO</v>
      </c>
      <c r="H164" s="64" t="str">
        <f>IFERROR(__xludf.DUMMYFUNCTION("""COMPUTED_VALUE"""),"ESCOLTANDO")</f>
        <v>ESCOLTANDO</v>
      </c>
      <c r="I164" s="64" t="str">
        <f>IFERROR(__xludf.DUMMYFUNCTION("""COMPUTED_VALUE"""),"FALTA DE COMBUSTIBLE")</f>
        <v>FALTA DE COMBUSTIBLE</v>
      </c>
      <c r="J164" s="64" t="str">
        <f>IFERROR(__xludf.DUMMYFUNCTION("""COMPUTED_VALUE"""),"DESPERFECTOS MECÁNICOS")</f>
        <v>DESPERFECTOS MECÁNICOS</v>
      </c>
      <c r="K164" s="64" t="str">
        <f>IFERROR(__xludf.DUMMYFUNCTION("""COMPUTED_VALUE"""),"LLAMADA DE ATENCIÓN")</f>
        <v>LLAMADA DE ATENCIÓN</v>
      </c>
      <c r="L164" s="64" t="str">
        <f>IFERROR(__xludf.DUMMYFUNCTION("""COMPUTED_VALUE"""),"OPERATIVOS")</f>
        <v>OPERATIVOS</v>
      </c>
      <c r="M164" s="64" t="str">
        <f>IFERROR(__xludf.DUMMYFUNCTION("""COMPUTED_VALUE"""),"SANCIÓN")</f>
        <v>SANCIÓN</v>
      </c>
      <c r="N164" s="64" t="str">
        <f>IFERROR(__xludf.DUMMYFUNCTION("""COMPUTED_VALUE"""),"SISTEMA ELECTRICO")</f>
        <v>SISTEMA ELECTRICO</v>
      </c>
      <c r="O164" s="64" t="str">
        <f>IFERROR(__xludf.DUMMYFUNCTION("""COMPUTED_VALUE"""),"ASISTENCIA AL USUARIO")</f>
        <v>ASISTENCIA AL USUARIO</v>
      </c>
      <c r="P164" s="64" t="str">
        <f>IFERROR(__xludf.DUMMYFUNCTION("""COMPUTED_VALUE"""),"DOBLE REMOLQUE")</f>
        <v>DOBLE REMOLQUE</v>
      </c>
      <c r="Q164" s="64" t="str">
        <f>IFERROR(__xludf.DUMMYFUNCTION("""COMPUTED_VALUE"""),"SINAPRESE")</f>
        <v>SINAPRESE</v>
      </c>
      <c r="R164" s="64" t="str">
        <f>IFERROR(__xludf.DUMMYFUNCTION("""COMPUTED_VALUE"""),"APOYO ATLETISMO")</f>
        <v>APOYO ATLETISMO</v>
      </c>
      <c r="S164" s="64" t="str">
        <f>IFERROR(__xludf.DUMMYFUNCTION("""COMPUTED_VALUE"""),"APOYO A CICLISMO")</f>
        <v>APOYO A CICLISMO</v>
      </c>
      <c r="T164" s="64" t="str">
        <f>IFERROR(__xludf.DUMMYFUNCTION("""COMPUTED_VALUE"""),"DESCARGA DE BATERÍA")</f>
        <v>DESCARGA DE BATERÍA</v>
      </c>
      <c r="U164" s="64" t="str">
        <f>IFERROR(__xludf.DUMMYFUNCTION("""COMPUTED_VALUE"""),"PROBLEMAS DE SALUD")</f>
        <v>PROBLEMAS DE SALUD</v>
      </c>
      <c r="V164" s="64" t="str">
        <f>IFERROR(__xludf.DUMMYFUNCTION("""COMPUTED_VALUE"""),"OLVIDO LA LLAVE")</f>
        <v>OLVIDO LA LLAVE</v>
      </c>
      <c r="W164" s="64" t="str">
        <f>IFERROR(__xludf.DUMMYFUNCTION("""COMPUTED_VALUE"""),"CARGA SOBREDIMENSIONADA")</f>
        <v>CARGA SOBREDIMENSIONADA</v>
      </c>
      <c r="X164" s="64" t="str">
        <f>IFERROR(__xludf.DUMMYFUNCTION("""COMPUTED_VALUE"""),"VEHÍCULO ABANDONADO")</f>
        <v>VEHÍCULO ABANDONADO</v>
      </c>
      <c r="Y164" s="64" t="str">
        <f>IFERROR(__xludf.DUMMYFUNCTION("""COMPUTED_VALUE"""),"DESPRENDIMIENTO")</f>
        <v>DESPRENDIMIENTO</v>
      </c>
      <c r="Z164" s="64" t="str">
        <f>IFERROR(__xludf.DUMMYFUNCTION("""COMPUTED_VALUE"""),"CAÍDA DE POSTE")</f>
        <v>CAÍDA DE POSTE</v>
      </c>
      <c r="AA164" s="64" t="str">
        <f>IFERROR(__xludf.DUMMYFUNCTION("""COMPUTED_VALUE"""),"CAÍDA DE RAMA")</f>
        <v>CAÍDA DE RAMA</v>
      </c>
      <c r="AB164" s="64" t="str">
        <f>IFERROR(__xludf.DUMMYFUNCTION("""COMPUTED_VALUE"""),"OPERATIVO DGT")</f>
        <v>OPERATIVO DGT</v>
      </c>
      <c r="AC164" s="64" t="str">
        <f>IFERROR(__xludf.DUMMYFUNCTION("""COMPUTED_VALUE"""),"OPERATIVO PMT")</f>
        <v>OPERATIVO PMT</v>
      </c>
      <c r="AD164" s="64" t="str">
        <f>IFERROR(__xludf.DUMMYFUNCTION("""COMPUTED_VALUE"""),"APOYO A DIGEF")</f>
        <v>APOYO A DIGEF</v>
      </c>
      <c r="AE164" s="64" t="str">
        <f>IFERROR(__xludf.DUMMYFUNCTION("""COMPUTED_VALUE"""),"OPERATIVO PNC TRANSITO")</f>
        <v>OPERATIVO PNC TRANSITO</v>
      </c>
      <c r="AF164" s="64" t="str">
        <f>IFERROR(__xludf.DUMMYFUNCTION("""COMPUTED_VALUE"""),"SOBRECARGA ")</f>
        <v>SOBRECARGA </v>
      </c>
      <c r="AG164" s="64" t="str">
        <f>IFERROR(__xludf.DUMMYFUNCTION("""COMPUTED_VALUE"""),"OPERATIVO EN CONJUNTO")</f>
        <v>OPERATIVO EN CONJUNTO</v>
      </c>
      <c r="AH164" s="64" t="str">
        <f>IFERROR(__xludf.DUMMYFUNCTION("""COMPUTED_VALUE"""),"PUESTO DE ATENCION AL USUARIO")</f>
        <v>PUESTO DE ATENCION AL USUARIO</v>
      </c>
      <c r="AI164" s="64" t="str">
        <f>IFERROR(__xludf.DUMMYFUNCTION("""COMPUTED_VALUE"""),"INCENDIO EN RUTA")</f>
        <v>INCENDIO EN RUTA</v>
      </c>
      <c r="AJ164" s="64" t="str">
        <f>IFERROR(__xludf.DUMMYFUNCTION("""COMPUTED_VALUE"""),"APOYO ANTORCHA ")</f>
        <v>APOYO ANTORCHA </v>
      </c>
    </row>
    <row r="165">
      <c r="B165" s="64" t="s">
        <v>54</v>
      </c>
      <c r="C165" s="64" t="str">
        <f>IFERROR(__xludf.DUMMYFUNCTION(" TRANSPOSE( unique ( QUERY(DATOPRO,""select Col2 where Col1 = '""&amp;B165&amp;""'"")))"),"PINCHAZO")</f>
        <v>PINCHAZO</v>
      </c>
      <c r="D165" s="64" t="str">
        <f>IFERROR(__xludf.DUMMYFUNCTION("""COMPUTED_VALUE"""),"TRABAJOS DE CARRETERA")</f>
        <v>TRABAJOS DE CARRETERA</v>
      </c>
      <c r="E165" s="64" t="str">
        <f>IFERROR(__xludf.DUMMYFUNCTION("""COMPUTED_VALUE"""),"CONSIGNACIÓN")</f>
        <v>CONSIGNACIÓN</v>
      </c>
      <c r="F165" s="64" t="str">
        <f>IFERROR(__xludf.DUMMYFUNCTION("""COMPUTED_VALUE"""),"DERRAME")</f>
        <v>DERRAME</v>
      </c>
      <c r="G165" s="64" t="str">
        <f>IFERROR(__xludf.DUMMYFUNCTION("""COMPUTED_VALUE"""),"CALENTAMIENTO")</f>
        <v>CALENTAMIENTO</v>
      </c>
      <c r="H165" s="64" t="str">
        <f>IFERROR(__xludf.DUMMYFUNCTION("""COMPUTED_VALUE"""),"ESCOLTANDO")</f>
        <v>ESCOLTANDO</v>
      </c>
      <c r="I165" s="64" t="str">
        <f>IFERROR(__xludf.DUMMYFUNCTION("""COMPUTED_VALUE"""),"FALTA DE COMBUSTIBLE")</f>
        <v>FALTA DE COMBUSTIBLE</v>
      </c>
      <c r="J165" s="64" t="str">
        <f>IFERROR(__xludf.DUMMYFUNCTION("""COMPUTED_VALUE"""),"DESPERFECTOS MECÁNICOS")</f>
        <v>DESPERFECTOS MECÁNICOS</v>
      </c>
      <c r="K165" s="64" t="str">
        <f>IFERROR(__xludf.DUMMYFUNCTION("""COMPUTED_VALUE"""),"LLAMADA DE ATENCIÓN")</f>
        <v>LLAMADA DE ATENCIÓN</v>
      </c>
      <c r="L165" s="64" t="str">
        <f>IFERROR(__xludf.DUMMYFUNCTION("""COMPUTED_VALUE"""),"OPERATIVOS")</f>
        <v>OPERATIVOS</v>
      </c>
      <c r="M165" s="64" t="str">
        <f>IFERROR(__xludf.DUMMYFUNCTION("""COMPUTED_VALUE"""),"SANCIÓN")</f>
        <v>SANCIÓN</v>
      </c>
      <c r="N165" s="64" t="str">
        <f>IFERROR(__xludf.DUMMYFUNCTION("""COMPUTED_VALUE"""),"SISTEMA ELECTRICO")</f>
        <v>SISTEMA ELECTRICO</v>
      </c>
      <c r="O165" s="64" t="str">
        <f>IFERROR(__xludf.DUMMYFUNCTION("""COMPUTED_VALUE"""),"ASISTENCIA AL USUARIO")</f>
        <v>ASISTENCIA AL USUARIO</v>
      </c>
      <c r="P165" s="64" t="str">
        <f>IFERROR(__xludf.DUMMYFUNCTION("""COMPUTED_VALUE"""),"DOBLE REMOLQUE")</f>
        <v>DOBLE REMOLQUE</v>
      </c>
      <c r="Q165" s="64" t="str">
        <f>IFERROR(__xludf.DUMMYFUNCTION("""COMPUTED_VALUE"""),"SINAPRESE")</f>
        <v>SINAPRESE</v>
      </c>
      <c r="R165" s="64" t="str">
        <f>IFERROR(__xludf.DUMMYFUNCTION("""COMPUTED_VALUE"""),"APOYO ATLETISMO")</f>
        <v>APOYO ATLETISMO</v>
      </c>
      <c r="S165" s="64" t="str">
        <f>IFERROR(__xludf.DUMMYFUNCTION("""COMPUTED_VALUE"""),"APOYO A CICLISMO")</f>
        <v>APOYO A CICLISMO</v>
      </c>
      <c r="T165" s="64" t="str">
        <f>IFERROR(__xludf.DUMMYFUNCTION("""COMPUTED_VALUE"""),"DESCARGA DE BATERÍA")</f>
        <v>DESCARGA DE BATERÍA</v>
      </c>
      <c r="U165" s="64" t="str">
        <f>IFERROR(__xludf.DUMMYFUNCTION("""COMPUTED_VALUE"""),"PROBLEMAS DE SALUD")</f>
        <v>PROBLEMAS DE SALUD</v>
      </c>
      <c r="V165" s="64" t="str">
        <f>IFERROR(__xludf.DUMMYFUNCTION("""COMPUTED_VALUE"""),"OLVIDO LA LLAVE")</f>
        <v>OLVIDO LA LLAVE</v>
      </c>
      <c r="W165" s="64" t="str">
        <f>IFERROR(__xludf.DUMMYFUNCTION("""COMPUTED_VALUE"""),"CARGA SOBREDIMENSIONADA")</f>
        <v>CARGA SOBREDIMENSIONADA</v>
      </c>
      <c r="X165" s="64" t="str">
        <f>IFERROR(__xludf.DUMMYFUNCTION("""COMPUTED_VALUE"""),"VEHÍCULO ABANDONADO")</f>
        <v>VEHÍCULO ABANDONADO</v>
      </c>
      <c r="Y165" s="64" t="str">
        <f>IFERROR(__xludf.DUMMYFUNCTION("""COMPUTED_VALUE"""),"DESPRENDIMIENTO")</f>
        <v>DESPRENDIMIENTO</v>
      </c>
      <c r="Z165" s="64" t="str">
        <f>IFERROR(__xludf.DUMMYFUNCTION("""COMPUTED_VALUE"""),"CAÍDA DE POSTE")</f>
        <v>CAÍDA DE POSTE</v>
      </c>
      <c r="AA165" s="64" t="str">
        <f>IFERROR(__xludf.DUMMYFUNCTION("""COMPUTED_VALUE"""),"CAÍDA DE RAMA")</f>
        <v>CAÍDA DE RAMA</v>
      </c>
      <c r="AB165" s="64" t="str">
        <f>IFERROR(__xludf.DUMMYFUNCTION("""COMPUTED_VALUE"""),"OPERATIVO DGT")</f>
        <v>OPERATIVO DGT</v>
      </c>
      <c r="AC165" s="64" t="str">
        <f>IFERROR(__xludf.DUMMYFUNCTION("""COMPUTED_VALUE"""),"OPERATIVO PMT")</f>
        <v>OPERATIVO PMT</v>
      </c>
      <c r="AD165" s="64" t="str">
        <f>IFERROR(__xludf.DUMMYFUNCTION("""COMPUTED_VALUE"""),"APOYO A DIGEF")</f>
        <v>APOYO A DIGEF</v>
      </c>
      <c r="AE165" s="64" t="str">
        <f>IFERROR(__xludf.DUMMYFUNCTION("""COMPUTED_VALUE"""),"OPERATIVO PNC TRANSITO")</f>
        <v>OPERATIVO PNC TRANSITO</v>
      </c>
      <c r="AF165" s="64" t="str">
        <f>IFERROR(__xludf.DUMMYFUNCTION("""COMPUTED_VALUE"""),"SOBRECARGA ")</f>
        <v>SOBRECARGA </v>
      </c>
      <c r="AG165" s="64" t="str">
        <f>IFERROR(__xludf.DUMMYFUNCTION("""COMPUTED_VALUE"""),"OPERATIVO EN CONJUNTO")</f>
        <v>OPERATIVO EN CONJUNTO</v>
      </c>
      <c r="AH165" s="64" t="str">
        <f>IFERROR(__xludf.DUMMYFUNCTION("""COMPUTED_VALUE"""),"PUESTO DE ATENCION AL USUARIO")</f>
        <v>PUESTO DE ATENCION AL USUARIO</v>
      </c>
      <c r="AI165" s="64" t="str">
        <f>IFERROR(__xludf.DUMMYFUNCTION("""COMPUTED_VALUE"""),"INCENDIO EN RUTA")</f>
        <v>INCENDIO EN RUTA</v>
      </c>
      <c r="AJ165" s="64" t="str">
        <f>IFERROR(__xludf.DUMMYFUNCTION("""COMPUTED_VALUE"""),"APOYO ANTORCHA ")</f>
        <v>APOYO ANTORCHA </v>
      </c>
    </row>
    <row r="166">
      <c r="B166" s="64" t="s">
        <v>54</v>
      </c>
      <c r="C166" s="64" t="str">
        <f>IFERROR(__xludf.DUMMYFUNCTION(" TRANSPOSE( unique ( QUERY(DATOPRO,""select Col2 where Col1 = '""&amp;B166&amp;""'"")))"),"PINCHAZO")</f>
        <v>PINCHAZO</v>
      </c>
      <c r="D166" s="64" t="str">
        <f>IFERROR(__xludf.DUMMYFUNCTION("""COMPUTED_VALUE"""),"TRABAJOS DE CARRETERA")</f>
        <v>TRABAJOS DE CARRETERA</v>
      </c>
      <c r="E166" s="64" t="str">
        <f>IFERROR(__xludf.DUMMYFUNCTION("""COMPUTED_VALUE"""),"CONSIGNACIÓN")</f>
        <v>CONSIGNACIÓN</v>
      </c>
      <c r="F166" s="64" t="str">
        <f>IFERROR(__xludf.DUMMYFUNCTION("""COMPUTED_VALUE"""),"DERRAME")</f>
        <v>DERRAME</v>
      </c>
      <c r="G166" s="64" t="str">
        <f>IFERROR(__xludf.DUMMYFUNCTION("""COMPUTED_VALUE"""),"CALENTAMIENTO")</f>
        <v>CALENTAMIENTO</v>
      </c>
      <c r="H166" s="64" t="str">
        <f>IFERROR(__xludf.DUMMYFUNCTION("""COMPUTED_VALUE"""),"ESCOLTANDO")</f>
        <v>ESCOLTANDO</v>
      </c>
      <c r="I166" s="64" t="str">
        <f>IFERROR(__xludf.DUMMYFUNCTION("""COMPUTED_VALUE"""),"FALTA DE COMBUSTIBLE")</f>
        <v>FALTA DE COMBUSTIBLE</v>
      </c>
      <c r="J166" s="64" t="str">
        <f>IFERROR(__xludf.DUMMYFUNCTION("""COMPUTED_VALUE"""),"DESPERFECTOS MECÁNICOS")</f>
        <v>DESPERFECTOS MECÁNICOS</v>
      </c>
      <c r="K166" s="64" t="str">
        <f>IFERROR(__xludf.DUMMYFUNCTION("""COMPUTED_VALUE"""),"LLAMADA DE ATENCIÓN")</f>
        <v>LLAMADA DE ATENCIÓN</v>
      </c>
      <c r="L166" s="64" t="str">
        <f>IFERROR(__xludf.DUMMYFUNCTION("""COMPUTED_VALUE"""),"OPERATIVOS")</f>
        <v>OPERATIVOS</v>
      </c>
      <c r="M166" s="64" t="str">
        <f>IFERROR(__xludf.DUMMYFUNCTION("""COMPUTED_VALUE"""),"SANCIÓN")</f>
        <v>SANCIÓN</v>
      </c>
      <c r="N166" s="64" t="str">
        <f>IFERROR(__xludf.DUMMYFUNCTION("""COMPUTED_VALUE"""),"SISTEMA ELECTRICO")</f>
        <v>SISTEMA ELECTRICO</v>
      </c>
      <c r="O166" s="64" t="str">
        <f>IFERROR(__xludf.DUMMYFUNCTION("""COMPUTED_VALUE"""),"ASISTENCIA AL USUARIO")</f>
        <v>ASISTENCIA AL USUARIO</v>
      </c>
      <c r="P166" s="64" t="str">
        <f>IFERROR(__xludf.DUMMYFUNCTION("""COMPUTED_VALUE"""),"DOBLE REMOLQUE")</f>
        <v>DOBLE REMOLQUE</v>
      </c>
      <c r="Q166" s="64" t="str">
        <f>IFERROR(__xludf.DUMMYFUNCTION("""COMPUTED_VALUE"""),"SINAPRESE")</f>
        <v>SINAPRESE</v>
      </c>
      <c r="R166" s="64" t="str">
        <f>IFERROR(__xludf.DUMMYFUNCTION("""COMPUTED_VALUE"""),"APOYO ATLETISMO")</f>
        <v>APOYO ATLETISMO</v>
      </c>
      <c r="S166" s="64" t="str">
        <f>IFERROR(__xludf.DUMMYFUNCTION("""COMPUTED_VALUE"""),"APOYO A CICLISMO")</f>
        <v>APOYO A CICLISMO</v>
      </c>
      <c r="T166" s="64" t="str">
        <f>IFERROR(__xludf.DUMMYFUNCTION("""COMPUTED_VALUE"""),"DESCARGA DE BATERÍA")</f>
        <v>DESCARGA DE BATERÍA</v>
      </c>
      <c r="U166" s="64" t="str">
        <f>IFERROR(__xludf.DUMMYFUNCTION("""COMPUTED_VALUE"""),"PROBLEMAS DE SALUD")</f>
        <v>PROBLEMAS DE SALUD</v>
      </c>
      <c r="V166" s="64" t="str">
        <f>IFERROR(__xludf.DUMMYFUNCTION("""COMPUTED_VALUE"""),"OLVIDO LA LLAVE")</f>
        <v>OLVIDO LA LLAVE</v>
      </c>
      <c r="W166" s="64" t="str">
        <f>IFERROR(__xludf.DUMMYFUNCTION("""COMPUTED_VALUE"""),"CARGA SOBREDIMENSIONADA")</f>
        <v>CARGA SOBREDIMENSIONADA</v>
      </c>
      <c r="X166" s="64" t="str">
        <f>IFERROR(__xludf.DUMMYFUNCTION("""COMPUTED_VALUE"""),"VEHÍCULO ABANDONADO")</f>
        <v>VEHÍCULO ABANDONADO</v>
      </c>
      <c r="Y166" s="64" t="str">
        <f>IFERROR(__xludf.DUMMYFUNCTION("""COMPUTED_VALUE"""),"DESPRENDIMIENTO")</f>
        <v>DESPRENDIMIENTO</v>
      </c>
      <c r="Z166" s="64" t="str">
        <f>IFERROR(__xludf.DUMMYFUNCTION("""COMPUTED_VALUE"""),"CAÍDA DE POSTE")</f>
        <v>CAÍDA DE POSTE</v>
      </c>
      <c r="AA166" s="64" t="str">
        <f>IFERROR(__xludf.DUMMYFUNCTION("""COMPUTED_VALUE"""),"CAÍDA DE RAMA")</f>
        <v>CAÍDA DE RAMA</v>
      </c>
      <c r="AB166" s="64" t="str">
        <f>IFERROR(__xludf.DUMMYFUNCTION("""COMPUTED_VALUE"""),"OPERATIVO DGT")</f>
        <v>OPERATIVO DGT</v>
      </c>
      <c r="AC166" s="64" t="str">
        <f>IFERROR(__xludf.DUMMYFUNCTION("""COMPUTED_VALUE"""),"OPERATIVO PMT")</f>
        <v>OPERATIVO PMT</v>
      </c>
      <c r="AD166" s="64" t="str">
        <f>IFERROR(__xludf.DUMMYFUNCTION("""COMPUTED_VALUE"""),"APOYO A DIGEF")</f>
        <v>APOYO A DIGEF</v>
      </c>
      <c r="AE166" s="64" t="str">
        <f>IFERROR(__xludf.DUMMYFUNCTION("""COMPUTED_VALUE"""),"OPERATIVO PNC TRANSITO")</f>
        <v>OPERATIVO PNC TRANSITO</v>
      </c>
      <c r="AF166" s="64" t="str">
        <f>IFERROR(__xludf.DUMMYFUNCTION("""COMPUTED_VALUE"""),"SOBRECARGA ")</f>
        <v>SOBRECARGA </v>
      </c>
      <c r="AG166" s="64" t="str">
        <f>IFERROR(__xludf.DUMMYFUNCTION("""COMPUTED_VALUE"""),"OPERATIVO EN CONJUNTO")</f>
        <v>OPERATIVO EN CONJUNTO</v>
      </c>
      <c r="AH166" s="64" t="str">
        <f>IFERROR(__xludf.DUMMYFUNCTION("""COMPUTED_VALUE"""),"PUESTO DE ATENCION AL USUARIO")</f>
        <v>PUESTO DE ATENCION AL USUARIO</v>
      </c>
      <c r="AI166" s="64" t="str">
        <f>IFERROR(__xludf.DUMMYFUNCTION("""COMPUTED_VALUE"""),"INCENDIO EN RUTA")</f>
        <v>INCENDIO EN RUTA</v>
      </c>
      <c r="AJ166" s="64" t="str">
        <f>IFERROR(__xludf.DUMMYFUNCTION("""COMPUTED_VALUE"""),"APOYO ANTORCHA ")</f>
        <v>APOYO ANTORCHA </v>
      </c>
    </row>
    <row r="167">
      <c r="B167" s="64" t="s">
        <v>54</v>
      </c>
      <c r="C167" s="64" t="str">
        <f>IFERROR(__xludf.DUMMYFUNCTION(" TRANSPOSE( unique ( QUERY(DATOPRO,""select Col2 where Col1 = '""&amp;B167&amp;""'"")))"),"PINCHAZO")</f>
        <v>PINCHAZO</v>
      </c>
      <c r="D167" s="64" t="str">
        <f>IFERROR(__xludf.DUMMYFUNCTION("""COMPUTED_VALUE"""),"TRABAJOS DE CARRETERA")</f>
        <v>TRABAJOS DE CARRETERA</v>
      </c>
      <c r="E167" s="64" t="str">
        <f>IFERROR(__xludf.DUMMYFUNCTION("""COMPUTED_VALUE"""),"CONSIGNACIÓN")</f>
        <v>CONSIGNACIÓN</v>
      </c>
      <c r="F167" s="64" t="str">
        <f>IFERROR(__xludf.DUMMYFUNCTION("""COMPUTED_VALUE"""),"DERRAME")</f>
        <v>DERRAME</v>
      </c>
      <c r="G167" s="64" t="str">
        <f>IFERROR(__xludf.DUMMYFUNCTION("""COMPUTED_VALUE"""),"CALENTAMIENTO")</f>
        <v>CALENTAMIENTO</v>
      </c>
      <c r="H167" s="64" t="str">
        <f>IFERROR(__xludf.DUMMYFUNCTION("""COMPUTED_VALUE"""),"ESCOLTANDO")</f>
        <v>ESCOLTANDO</v>
      </c>
      <c r="I167" s="64" t="str">
        <f>IFERROR(__xludf.DUMMYFUNCTION("""COMPUTED_VALUE"""),"FALTA DE COMBUSTIBLE")</f>
        <v>FALTA DE COMBUSTIBLE</v>
      </c>
      <c r="J167" s="64" t="str">
        <f>IFERROR(__xludf.DUMMYFUNCTION("""COMPUTED_VALUE"""),"DESPERFECTOS MECÁNICOS")</f>
        <v>DESPERFECTOS MECÁNICOS</v>
      </c>
      <c r="K167" s="64" t="str">
        <f>IFERROR(__xludf.DUMMYFUNCTION("""COMPUTED_VALUE"""),"LLAMADA DE ATENCIÓN")</f>
        <v>LLAMADA DE ATENCIÓN</v>
      </c>
      <c r="L167" s="64" t="str">
        <f>IFERROR(__xludf.DUMMYFUNCTION("""COMPUTED_VALUE"""),"OPERATIVOS")</f>
        <v>OPERATIVOS</v>
      </c>
      <c r="M167" s="64" t="str">
        <f>IFERROR(__xludf.DUMMYFUNCTION("""COMPUTED_VALUE"""),"SANCIÓN")</f>
        <v>SANCIÓN</v>
      </c>
      <c r="N167" s="64" t="str">
        <f>IFERROR(__xludf.DUMMYFUNCTION("""COMPUTED_VALUE"""),"SISTEMA ELECTRICO")</f>
        <v>SISTEMA ELECTRICO</v>
      </c>
      <c r="O167" s="64" t="str">
        <f>IFERROR(__xludf.DUMMYFUNCTION("""COMPUTED_VALUE"""),"ASISTENCIA AL USUARIO")</f>
        <v>ASISTENCIA AL USUARIO</v>
      </c>
      <c r="P167" s="64" t="str">
        <f>IFERROR(__xludf.DUMMYFUNCTION("""COMPUTED_VALUE"""),"DOBLE REMOLQUE")</f>
        <v>DOBLE REMOLQUE</v>
      </c>
      <c r="Q167" s="64" t="str">
        <f>IFERROR(__xludf.DUMMYFUNCTION("""COMPUTED_VALUE"""),"SINAPRESE")</f>
        <v>SINAPRESE</v>
      </c>
      <c r="R167" s="64" t="str">
        <f>IFERROR(__xludf.DUMMYFUNCTION("""COMPUTED_VALUE"""),"APOYO ATLETISMO")</f>
        <v>APOYO ATLETISMO</v>
      </c>
      <c r="S167" s="64" t="str">
        <f>IFERROR(__xludf.DUMMYFUNCTION("""COMPUTED_VALUE"""),"APOYO A CICLISMO")</f>
        <v>APOYO A CICLISMO</v>
      </c>
      <c r="T167" s="64" t="str">
        <f>IFERROR(__xludf.DUMMYFUNCTION("""COMPUTED_VALUE"""),"DESCARGA DE BATERÍA")</f>
        <v>DESCARGA DE BATERÍA</v>
      </c>
      <c r="U167" s="64" t="str">
        <f>IFERROR(__xludf.DUMMYFUNCTION("""COMPUTED_VALUE"""),"PROBLEMAS DE SALUD")</f>
        <v>PROBLEMAS DE SALUD</v>
      </c>
      <c r="V167" s="64" t="str">
        <f>IFERROR(__xludf.DUMMYFUNCTION("""COMPUTED_VALUE"""),"OLVIDO LA LLAVE")</f>
        <v>OLVIDO LA LLAVE</v>
      </c>
      <c r="W167" s="64" t="str">
        <f>IFERROR(__xludf.DUMMYFUNCTION("""COMPUTED_VALUE"""),"CARGA SOBREDIMENSIONADA")</f>
        <v>CARGA SOBREDIMENSIONADA</v>
      </c>
      <c r="X167" s="64" t="str">
        <f>IFERROR(__xludf.DUMMYFUNCTION("""COMPUTED_VALUE"""),"VEHÍCULO ABANDONADO")</f>
        <v>VEHÍCULO ABANDONADO</v>
      </c>
      <c r="Y167" s="64" t="str">
        <f>IFERROR(__xludf.DUMMYFUNCTION("""COMPUTED_VALUE"""),"DESPRENDIMIENTO")</f>
        <v>DESPRENDIMIENTO</v>
      </c>
      <c r="Z167" s="64" t="str">
        <f>IFERROR(__xludf.DUMMYFUNCTION("""COMPUTED_VALUE"""),"CAÍDA DE POSTE")</f>
        <v>CAÍDA DE POSTE</v>
      </c>
      <c r="AA167" s="64" t="str">
        <f>IFERROR(__xludf.DUMMYFUNCTION("""COMPUTED_VALUE"""),"CAÍDA DE RAMA")</f>
        <v>CAÍDA DE RAMA</v>
      </c>
      <c r="AB167" s="64" t="str">
        <f>IFERROR(__xludf.DUMMYFUNCTION("""COMPUTED_VALUE"""),"OPERATIVO DGT")</f>
        <v>OPERATIVO DGT</v>
      </c>
      <c r="AC167" s="64" t="str">
        <f>IFERROR(__xludf.DUMMYFUNCTION("""COMPUTED_VALUE"""),"OPERATIVO PMT")</f>
        <v>OPERATIVO PMT</v>
      </c>
      <c r="AD167" s="64" t="str">
        <f>IFERROR(__xludf.DUMMYFUNCTION("""COMPUTED_VALUE"""),"APOYO A DIGEF")</f>
        <v>APOYO A DIGEF</v>
      </c>
      <c r="AE167" s="64" t="str">
        <f>IFERROR(__xludf.DUMMYFUNCTION("""COMPUTED_VALUE"""),"OPERATIVO PNC TRANSITO")</f>
        <v>OPERATIVO PNC TRANSITO</v>
      </c>
      <c r="AF167" s="64" t="str">
        <f>IFERROR(__xludf.DUMMYFUNCTION("""COMPUTED_VALUE"""),"SOBRECARGA ")</f>
        <v>SOBRECARGA </v>
      </c>
      <c r="AG167" s="64" t="str">
        <f>IFERROR(__xludf.DUMMYFUNCTION("""COMPUTED_VALUE"""),"OPERATIVO EN CONJUNTO")</f>
        <v>OPERATIVO EN CONJUNTO</v>
      </c>
      <c r="AH167" s="64" t="str">
        <f>IFERROR(__xludf.DUMMYFUNCTION("""COMPUTED_VALUE"""),"PUESTO DE ATENCION AL USUARIO")</f>
        <v>PUESTO DE ATENCION AL USUARIO</v>
      </c>
      <c r="AI167" s="64" t="str">
        <f>IFERROR(__xludf.DUMMYFUNCTION("""COMPUTED_VALUE"""),"INCENDIO EN RUTA")</f>
        <v>INCENDIO EN RUTA</v>
      </c>
      <c r="AJ167" s="64" t="str">
        <f>IFERROR(__xludf.DUMMYFUNCTION("""COMPUTED_VALUE"""),"APOYO ANTORCHA ")</f>
        <v>APOYO ANTORCHA </v>
      </c>
    </row>
    <row r="168">
      <c r="B168" s="64" t="s">
        <v>54</v>
      </c>
      <c r="C168" s="64" t="str">
        <f>IFERROR(__xludf.DUMMYFUNCTION(" TRANSPOSE( unique ( QUERY(DATOPRO,""select Col2 where Col1 = '""&amp;B168&amp;""'"")))"),"PINCHAZO")</f>
        <v>PINCHAZO</v>
      </c>
      <c r="D168" s="64" t="str">
        <f>IFERROR(__xludf.DUMMYFUNCTION("""COMPUTED_VALUE"""),"TRABAJOS DE CARRETERA")</f>
        <v>TRABAJOS DE CARRETERA</v>
      </c>
      <c r="E168" s="64" t="str">
        <f>IFERROR(__xludf.DUMMYFUNCTION("""COMPUTED_VALUE"""),"CONSIGNACIÓN")</f>
        <v>CONSIGNACIÓN</v>
      </c>
      <c r="F168" s="64" t="str">
        <f>IFERROR(__xludf.DUMMYFUNCTION("""COMPUTED_VALUE"""),"DERRAME")</f>
        <v>DERRAME</v>
      </c>
      <c r="G168" s="64" t="str">
        <f>IFERROR(__xludf.DUMMYFUNCTION("""COMPUTED_VALUE"""),"CALENTAMIENTO")</f>
        <v>CALENTAMIENTO</v>
      </c>
      <c r="H168" s="64" t="str">
        <f>IFERROR(__xludf.DUMMYFUNCTION("""COMPUTED_VALUE"""),"ESCOLTANDO")</f>
        <v>ESCOLTANDO</v>
      </c>
      <c r="I168" s="64" t="str">
        <f>IFERROR(__xludf.DUMMYFUNCTION("""COMPUTED_VALUE"""),"FALTA DE COMBUSTIBLE")</f>
        <v>FALTA DE COMBUSTIBLE</v>
      </c>
      <c r="J168" s="64" t="str">
        <f>IFERROR(__xludf.DUMMYFUNCTION("""COMPUTED_VALUE"""),"DESPERFECTOS MECÁNICOS")</f>
        <v>DESPERFECTOS MECÁNICOS</v>
      </c>
      <c r="K168" s="64" t="str">
        <f>IFERROR(__xludf.DUMMYFUNCTION("""COMPUTED_VALUE"""),"LLAMADA DE ATENCIÓN")</f>
        <v>LLAMADA DE ATENCIÓN</v>
      </c>
      <c r="L168" s="64" t="str">
        <f>IFERROR(__xludf.DUMMYFUNCTION("""COMPUTED_VALUE"""),"OPERATIVOS")</f>
        <v>OPERATIVOS</v>
      </c>
      <c r="M168" s="64" t="str">
        <f>IFERROR(__xludf.DUMMYFUNCTION("""COMPUTED_VALUE"""),"SANCIÓN")</f>
        <v>SANCIÓN</v>
      </c>
      <c r="N168" s="64" t="str">
        <f>IFERROR(__xludf.DUMMYFUNCTION("""COMPUTED_VALUE"""),"SISTEMA ELECTRICO")</f>
        <v>SISTEMA ELECTRICO</v>
      </c>
      <c r="O168" s="64" t="str">
        <f>IFERROR(__xludf.DUMMYFUNCTION("""COMPUTED_VALUE"""),"ASISTENCIA AL USUARIO")</f>
        <v>ASISTENCIA AL USUARIO</v>
      </c>
      <c r="P168" s="64" t="str">
        <f>IFERROR(__xludf.DUMMYFUNCTION("""COMPUTED_VALUE"""),"DOBLE REMOLQUE")</f>
        <v>DOBLE REMOLQUE</v>
      </c>
      <c r="Q168" s="64" t="str">
        <f>IFERROR(__xludf.DUMMYFUNCTION("""COMPUTED_VALUE"""),"SINAPRESE")</f>
        <v>SINAPRESE</v>
      </c>
      <c r="R168" s="64" t="str">
        <f>IFERROR(__xludf.DUMMYFUNCTION("""COMPUTED_VALUE"""),"APOYO ATLETISMO")</f>
        <v>APOYO ATLETISMO</v>
      </c>
      <c r="S168" s="64" t="str">
        <f>IFERROR(__xludf.DUMMYFUNCTION("""COMPUTED_VALUE"""),"APOYO A CICLISMO")</f>
        <v>APOYO A CICLISMO</v>
      </c>
      <c r="T168" s="64" t="str">
        <f>IFERROR(__xludf.DUMMYFUNCTION("""COMPUTED_VALUE"""),"DESCARGA DE BATERÍA")</f>
        <v>DESCARGA DE BATERÍA</v>
      </c>
      <c r="U168" s="64" t="str">
        <f>IFERROR(__xludf.DUMMYFUNCTION("""COMPUTED_VALUE"""),"PROBLEMAS DE SALUD")</f>
        <v>PROBLEMAS DE SALUD</v>
      </c>
      <c r="V168" s="64" t="str">
        <f>IFERROR(__xludf.DUMMYFUNCTION("""COMPUTED_VALUE"""),"OLVIDO LA LLAVE")</f>
        <v>OLVIDO LA LLAVE</v>
      </c>
      <c r="W168" s="64" t="str">
        <f>IFERROR(__xludf.DUMMYFUNCTION("""COMPUTED_VALUE"""),"CARGA SOBREDIMENSIONADA")</f>
        <v>CARGA SOBREDIMENSIONADA</v>
      </c>
      <c r="X168" s="64" t="str">
        <f>IFERROR(__xludf.DUMMYFUNCTION("""COMPUTED_VALUE"""),"VEHÍCULO ABANDONADO")</f>
        <v>VEHÍCULO ABANDONADO</v>
      </c>
      <c r="Y168" s="64" t="str">
        <f>IFERROR(__xludf.DUMMYFUNCTION("""COMPUTED_VALUE"""),"DESPRENDIMIENTO")</f>
        <v>DESPRENDIMIENTO</v>
      </c>
      <c r="Z168" s="64" t="str">
        <f>IFERROR(__xludf.DUMMYFUNCTION("""COMPUTED_VALUE"""),"CAÍDA DE POSTE")</f>
        <v>CAÍDA DE POSTE</v>
      </c>
      <c r="AA168" s="64" t="str">
        <f>IFERROR(__xludf.DUMMYFUNCTION("""COMPUTED_VALUE"""),"CAÍDA DE RAMA")</f>
        <v>CAÍDA DE RAMA</v>
      </c>
      <c r="AB168" s="64" t="str">
        <f>IFERROR(__xludf.DUMMYFUNCTION("""COMPUTED_VALUE"""),"OPERATIVO DGT")</f>
        <v>OPERATIVO DGT</v>
      </c>
      <c r="AC168" s="64" t="str">
        <f>IFERROR(__xludf.DUMMYFUNCTION("""COMPUTED_VALUE"""),"OPERATIVO PMT")</f>
        <v>OPERATIVO PMT</v>
      </c>
      <c r="AD168" s="64" t="str">
        <f>IFERROR(__xludf.DUMMYFUNCTION("""COMPUTED_VALUE"""),"APOYO A DIGEF")</f>
        <v>APOYO A DIGEF</v>
      </c>
      <c r="AE168" s="64" t="str">
        <f>IFERROR(__xludf.DUMMYFUNCTION("""COMPUTED_VALUE"""),"OPERATIVO PNC TRANSITO")</f>
        <v>OPERATIVO PNC TRANSITO</v>
      </c>
      <c r="AF168" s="64" t="str">
        <f>IFERROR(__xludf.DUMMYFUNCTION("""COMPUTED_VALUE"""),"SOBRECARGA ")</f>
        <v>SOBRECARGA </v>
      </c>
      <c r="AG168" s="64" t="str">
        <f>IFERROR(__xludf.DUMMYFUNCTION("""COMPUTED_VALUE"""),"OPERATIVO EN CONJUNTO")</f>
        <v>OPERATIVO EN CONJUNTO</v>
      </c>
      <c r="AH168" s="64" t="str">
        <f>IFERROR(__xludf.DUMMYFUNCTION("""COMPUTED_VALUE"""),"PUESTO DE ATENCION AL USUARIO")</f>
        <v>PUESTO DE ATENCION AL USUARIO</v>
      </c>
      <c r="AI168" s="64" t="str">
        <f>IFERROR(__xludf.DUMMYFUNCTION("""COMPUTED_VALUE"""),"INCENDIO EN RUTA")</f>
        <v>INCENDIO EN RUTA</v>
      </c>
      <c r="AJ168" s="64" t="str">
        <f>IFERROR(__xludf.DUMMYFUNCTION("""COMPUTED_VALUE"""),"APOYO ANTORCHA ")</f>
        <v>APOYO ANTORCHA </v>
      </c>
    </row>
    <row r="169">
      <c r="B169" s="64"/>
      <c r="C169" s="64" t="str">
        <f>IFERROR(__xludf.DUMMYFUNCTION(" TRANSPOSE( unique ( QUERY(DATOPRO,""select Col2 where Col1 = '""&amp;B169&amp;""'"")))"),"")</f>
        <v/>
      </c>
    </row>
    <row r="170">
      <c r="B170" s="64" t="s">
        <v>38</v>
      </c>
      <c r="C170" s="64" t="str">
        <f>IFERROR(__xludf.DUMMYFUNCTION(" TRANSPOSE( unique ( QUERY(DATOPRO,""select Col2 where Col1 = '""&amp;B170&amp;""'"")))"),"ATAQUE ARMADO")</f>
        <v>ATAQUE ARMADO</v>
      </c>
      <c r="D170" s="64" t="str">
        <f>IFERROR(__xludf.DUMMYFUNCTION("""COMPUTED_VALUE"""),"DESBALANCE DE CARGA")</f>
        <v>DESBALANCE DE CARGA</v>
      </c>
      <c r="E170" s="64" t="str">
        <f>IFERROR(__xludf.DUMMYFUNCTION("""COMPUTED_VALUE"""),"PERSONA FALLECIDA")</f>
        <v>PERSONA FALLECIDA</v>
      </c>
      <c r="F170" s="64" t="str">
        <f>IFERROR(__xludf.DUMMYFUNCTION("""COMPUTED_VALUE"""),"DESPRENDIMIENTO DE NEUMATICO")</f>
        <v>DESPRENDIMIENTO DE NEUMATICO</v>
      </c>
      <c r="G170" s="64" t="str">
        <f>IFERROR(__xludf.DUMMYFUNCTION("""COMPUTED_VALUE"""),"SALIDA DE PISTA")</f>
        <v>SALIDA DE PISTA</v>
      </c>
      <c r="H170" s="64" t="str">
        <f>IFERROR(__xludf.DUMMYFUNCTION("""COMPUTED_VALUE"""),"DESPRENDIMIENTO DE CONTENEDOR")</f>
        <v>DESPRENDIMIENTO DE CONTENEDOR</v>
      </c>
      <c r="I170" s="64" t="str">
        <f>IFERROR(__xludf.DUMMYFUNCTION("""COMPUTED_VALUE"""),"CAÍDA DE CARGA")</f>
        <v>CAÍDA DE CARGA</v>
      </c>
      <c r="J170" s="64" t="str">
        <f>IFERROR(__xludf.DUMMYFUNCTION("""COMPUTED_VALUE"""),"CHOQUE")</f>
        <v>CHOQUE</v>
      </c>
      <c r="K170" s="64" t="str">
        <f>IFERROR(__xludf.DUMMYFUNCTION("""COMPUTED_VALUE"""),"COLISIÓN")</f>
        <v>COLISIÓN</v>
      </c>
      <c r="L170" s="64" t="str">
        <f>IFERROR(__xludf.DUMMYFUNCTION("""COMPUTED_VALUE"""),"COLISIÓN MÚLTIPLE")</f>
        <v>COLISIÓN MÚLTIPLE</v>
      </c>
      <c r="M170" s="64" t="str">
        <f>IFERROR(__xludf.DUMMYFUNCTION("""COMPUTED_VALUE"""),"DERRAPE")</f>
        <v>DERRAPE</v>
      </c>
      <c r="N170" s="64" t="str">
        <f>IFERROR(__xludf.DUMMYFUNCTION("""COMPUTED_VALUE"""),"VEHÍCULO INCENDIADO")</f>
        <v>VEHÍCULO INCENDIADO</v>
      </c>
      <c r="O170" s="64" t="str">
        <f>IFERROR(__xludf.DUMMYFUNCTION("""COMPUTED_VALUE"""),"VUELCO")</f>
        <v>VUELCO</v>
      </c>
      <c r="P170" s="64" t="str">
        <f>IFERROR(__xludf.DUMMYFUNCTION("""COMPUTED_VALUE"""),"DESPRENDIMIENTO")</f>
        <v>DESPRENDIMIENTO</v>
      </c>
      <c r="Q170" s="64" t="str">
        <f>IFERROR(__xludf.DUMMYFUNCTION("""COMPUTED_VALUE"""),"CAÍDA DE ÁRBOL")</f>
        <v>CAÍDA DE ÁRBOL</v>
      </c>
      <c r="R170" s="64" t="str">
        <f>IFERROR(__xludf.DUMMYFUNCTION("""COMPUTED_VALUE"""),"DESPRENDIMIENTO DE EJE")</f>
        <v>DESPRENDIMIENTO DE EJE</v>
      </c>
      <c r="S170" s="64" t="str">
        <f>IFERROR(__xludf.DUMMYFUNCTION("""COMPUTED_VALUE"""),"PERSONA ATROPELLADA")</f>
        <v>PERSONA ATROPELLADA</v>
      </c>
    </row>
    <row r="171">
      <c r="B171" s="64"/>
      <c r="C171" s="64" t="str">
        <f>IFERROR(__xludf.DUMMYFUNCTION(" TRANSPOSE( unique ( QUERY(DATOPRO,""select Col2 where Col1 = '""&amp;B171&amp;""'"")))"),"")</f>
        <v/>
      </c>
    </row>
    <row r="172">
      <c r="B172" s="64" t="s">
        <v>38</v>
      </c>
      <c r="C172" s="64" t="str">
        <f>IFERROR(__xludf.DUMMYFUNCTION(" TRANSPOSE( unique ( QUERY(DATOPRO,""select Col2 where Col1 = '""&amp;B172&amp;""'"")))"),"ATAQUE ARMADO")</f>
        <v>ATAQUE ARMADO</v>
      </c>
      <c r="D172" s="64" t="str">
        <f>IFERROR(__xludf.DUMMYFUNCTION("""COMPUTED_VALUE"""),"DESBALANCE DE CARGA")</f>
        <v>DESBALANCE DE CARGA</v>
      </c>
      <c r="E172" s="64" t="str">
        <f>IFERROR(__xludf.DUMMYFUNCTION("""COMPUTED_VALUE"""),"PERSONA FALLECIDA")</f>
        <v>PERSONA FALLECIDA</v>
      </c>
      <c r="F172" s="64" t="str">
        <f>IFERROR(__xludf.DUMMYFUNCTION("""COMPUTED_VALUE"""),"DESPRENDIMIENTO DE NEUMATICO")</f>
        <v>DESPRENDIMIENTO DE NEUMATICO</v>
      </c>
      <c r="G172" s="64" t="str">
        <f>IFERROR(__xludf.DUMMYFUNCTION("""COMPUTED_VALUE"""),"SALIDA DE PISTA")</f>
        <v>SALIDA DE PISTA</v>
      </c>
      <c r="H172" s="64" t="str">
        <f>IFERROR(__xludf.DUMMYFUNCTION("""COMPUTED_VALUE"""),"DESPRENDIMIENTO DE CONTENEDOR")</f>
        <v>DESPRENDIMIENTO DE CONTENEDOR</v>
      </c>
      <c r="I172" s="64" t="str">
        <f>IFERROR(__xludf.DUMMYFUNCTION("""COMPUTED_VALUE"""),"CAÍDA DE CARGA")</f>
        <v>CAÍDA DE CARGA</v>
      </c>
      <c r="J172" s="64" t="str">
        <f>IFERROR(__xludf.DUMMYFUNCTION("""COMPUTED_VALUE"""),"CHOQUE")</f>
        <v>CHOQUE</v>
      </c>
      <c r="K172" s="64" t="str">
        <f>IFERROR(__xludf.DUMMYFUNCTION("""COMPUTED_VALUE"""),"COLISIÓN")</f>
        <v>COLISIÓN</v>
      </c>
      <c r="L172" s="64" t="str">
        <f>IFERROR(__xludf.DUMMYFUNCTION("""COMPUTED_VALUE"""),"COLISIÓN MÚLTIPLE")</f>
        <v>COLISIÓN MÚLTIPLE</v>
      </c>
      <c r="M172" s="64" t="str">
        <f>IFERROR(__xludf.DUMMYFUNCTION("""COMPUTED_VALUE"""),"DERRAPE")</f>
        <v>DERRAPE</v>
      </c>
      <c r="N172" s="64" t="str">
        <f>IFERROR(__xludf.DUMMYFUNCTION("""COMPUTED_VALUE"""),"VEHÍCULO INCENDIADO")</f>
        <v>VEHÍCULO INCENDIADO</v>
      </c>
      <c r="O172" s="64" t="str">
        <f>IFERROR(__xludf.DUMMYFUNCTION("""COMPUTED_VALUE"""),"VUELCO")</f>
        <v>VUELCO</v>
      </c>
      <c r="P172" s="64" t="str">
        <f>IFERROR(__xludf.DUMMYFUNCTION("""COMPUTED_VALUE"""),"DESPRENDIMIENTO")</f>
        <v>DESPRENDIMIENTO</v>
      </c>
      <c r="Q172" s="64" t="str">
        <f>IFERROR(__xludf.DUMMYFUNCTION("""COMPUTED_VALUE"""),"CAÍDA DE ÁRBOL")</f>
        <v>CAÍDA DE ÁRBOL</v>
      </c>
      <c r="R172" s="64" t="str">
        <f>IFERROR(__xludf.DUMMYFUNCTION("""COMPUTED_VALUE"""),"DESPRENDIMIENTO DE EJE")</f>
        <v>DESPRENDIMIENTO DE EJE</v>
      </c>
      <c r="S172" s="64" t="str">
        <f>IFERROR(__xludf.DUMMYFUNCTION("""COMPUTED_VALUE"""),"PERSONA ATROPELLADA")</f>
        <v>PERSONA ATROPELLADA</v>
      </c>
    </row>
    <row r="173">
      <c r="B173" s="64" t="s">
        <v>323</v>
      </c>
      <c r="C173" s="64" t="str">
        <f>IFERROR(__xludf.DUMMYFUNCTION(" TRANSPOSE( unique ( QUERY(DATOPRO,""select Col2 where Col1 = '""&amp;B173&amp;""'"")))"),"ACUMULACIÓN DE AGUA")</f>
        <v>ACUMULACIÓN DE AGUA</v>
      </c>
      <c r="D173" s="64" t="str">
        <f>IFERROR(__xludf.DUMMYFUNCTION("""COMPUTED_VALUE"""),"DERRUMBE")</f>
        <v>DERRUMBE</v>
      </c>
      <c r="E173" s="64" t="str">
        <f>IFERROR(__xludf.DUMMYFUNCTION("""COMPUTED_VALUE"""),"REGULACION DE TRANSITO ")</f>
        <v>REGULACION DE TRANSITO </v>
      </c>
      <c r="F173" s="64" t="str">
        <f>IFERROR(__xludf.DUMMYFUNCTION("""COMPUTED_VALUE"""),"DESBORDAMIENTO DE RÍO")</f>
        <v>DESBORDAMIENTO DE RÍO</v>
      </c>
      <c r="G173" s="64" t="str">
        <f>IFERROR(__xludf.DUMMYFUNCTION("""COMPUTED_VALUE"""),"DESPRENDIMIENTO DE ROCAS")</f>
        <v>DESPRENDIMIENTO DE ROCAS</v>
      </c>
      <c r="H173" s="64" t="str">
        <f>IFERROR(__xludf.DUMMYFUNCTION("""COMPUTED_VALUE"""),"SOCAVAMIENTO")</f>
        <v>SOCAVAMIENTO</v>
      </c>
      <c r="I173" s="64" t="str">
        <f>IFERROR(__xludf.DUMMYFUNCTION("""COMPUTED_VALUE"""),"CAÍDA DE VALLA PUBLICITARÍA")</f>
        <v>CAÍDA DE VALLA PUBLICITARÍA</v>
      </c>
      <c r="J173" s="64" t="str">
        <f>IFERROR(__xludf.DUMMYFUNCTION("""COMPUTED_VALUE"""),"CARRETERA DAÑADA")</f>
        <v>CARRETERA DAÑADA</v>
      </c>
      <c r="K173" s="64" t="str">
        <f>IFERROR(__xludf.DUMMYFUNCTION("""COMPUTED_VALUE"""),"HUNDIMIENTO")</f>
        <v>HUNDIMIENTO</v>
      </c>
      <c r="L173" s="64" t="str">
        <f>IFERROR(__xludf.DUMMYFUNCTION("""COMPUTED_VALUE"""),"CAÍDA DE PUENTE")</f>
        <v>CAÍDA DE PUENTE</v>
      </c>
      <c r="M173" s="64" t="str">
        <f>IFERROR(__xludf.DUMMYFUNCTION("""COMPUTED_VALUE"""),"INCENDIO FORESTAL")</f>
        <v>INCENDIO FORESTAL</v>
      </c>
      <c r="N173" s="64" t="str">
        <f>IFERROR(__xludf.DUMMYFUNCTION("""COMPUTED_VALUE"""),"DESLAVE")</f>
        <v>DESLAVE</v>
      </c>
      <c r="O173" s="64" t="str">
        <f>IFERROR(__xludf.DUMMYFUNCTION("""COMPUTED_VALUE"""),"CAÍDA DE ÁRBOL")</f>
        <v>CAÍDA DE ÁRBOL</v>
      </c>
      <c r="P173" s="64" t="str">
        <f>IFERROR(__xludf.DUMMYFUNCTION("""COMPUTED_VALUE"""),"LIMPIEZA DE CUNETAS ")</f>
        <v>LIMPIEZA DE CUNETAS </v>
      </c>
      <c r="Q173" s="64" t="str">
        <f>IFERROR(__xludf.DUMMYFUNCTION("""COMPUTED_VALUE"""),"SEMOVIENTE ")</f>
        <v>SEMOVIENTE </v>
      </c>
    </row>
    <row r="174">
      <c r="B174" s="64"/>
      <c r="C174" s="64" t="str">
        <f>IFERROR(__xludf.DUMMYFUNCTION(" TRANSPOSE( unique ( QUERY(DATOPRO,""select Col2 where Col1 = '""&amp;B174&amp;""'"")))"),"")</f>
        <v/>
      </c>
    </row>
    <row r="175">
      <c r="B175" s="64" t="s">
        <v>38</v>
      </c>
      <c r="C175" s="64" t="str">
        <f>IFERROR(__xludf.DUMMYFUNCTION(" TRANSPOSE( unique ( QUERY(DATOPRO,""select Col2 where Col1 = '""&amp;B175&amp;""'"")))"),"ATAQUE ARMADO")</f>
        <v>ATAQUE ARMADO</v>
      </c>
      <c r="D175" s="64" t="str">
        <f>IFERROR(__xludf.DUMMYFUNCTION("""COMPUTED_VALUE"""),"DESBALANCE DE CARGA")</f>
        <v>DESBALANCE DE CARGA</v>
      </c>
      <c r="E175" s="64" t="str">
        <f>IFERROR(__xludf.DUMMYFUNCTION("""COMPUTED_VALUE"""),"PERSONA FALLECIDA")</f>
        <v>PERSONA FALLECIDA</v>
      </c>
      <c r="F175" s="64" t="str">
        <f>IFERROR(__xludf.DUMMYFUNCTION("""COMPUTED_VALUE"""),"DESPRENDIMIENTO DE NEUMATICO")</f>
        <v>DESPRENDIMIENTO DE NEUMATICO</v>
      </c>
      <c r="G175" s="64" t="str">
        <f>IFERROR(__xludf.DUMMYFUNCTION("""COMPUTED_VALUE"""),"SALIDA DE PISTA")</f>
        <v>SALIDA DE PISTA</v>
      </c>
      <c r="H175" s="64" t="str">
        <f>IFERROR(__xludf.DUMMYFUNCTION("""COMPUTED_VALUE"""),"DESPRENDIMIENTO DE CONTENEDOR")</f>
        <v>DESPRENDIMIENTO DE CONTENEDOR</v>
      </c>
      <c r="I175" s="64" t="str">
        <f>IFERROR(__xludf.DUMMYFUNCTION("""COMPUTED_VALUE"""),"CAÍDA DE CARGA")</f>
        <v>CAÍDA DE CARGA</v>
      </c>
      <c r="J175" s="64" t="str">
        <f>IFERROR(__xludf.DUMMYFUNCTION("""COMPUTED_VALUE"""),"CHOQUE")</f>
        <v>CHOQUE</v>
      </c>
      <c r="K175" s="64" t="str">
        <f>IFERROR(__xludf.DUMMYFUNCTION("""COMPUTED_VALUE"""),"COLISIÓN")</f>
        <v>COLISIÓN</v>
      </c>
      <c r="L175" s="64" t="str">
        <f>IFERROR(__xludf.DUMMYFUNCTION("""COMPUTED_VALUE"""),"COLISIÓN MÚLTIPLE")</f>
        <v>COLISIÓN MÚLTIPLE</v>
      </c>
      <c r="M175" s="64" t="str">
        <f>IFERROR(__xludf.DUMMYFUNCTION("""COMPUTED_VALUE"""),"DERRAPE")</f>
        <v>DERRAPE</v>
      </c>
      <c r="N175" s="64" t="str">
        <f>IFERROR(__xludf.DUMMYFUNCTION("""COMPUTED_VALUE"""),"VEHÍCULO INCENDIADO")</f>
        <v>VEHÍCULO INCENDIADO</v>
      </c>
      <c r="O175" s="64" t="str">
        <f>IFERROR(__xludf.DUMMYFUNCTION("""COMPUTED_VALUE"""),"VUELCO")</f>
        <v>VUELCO</v>
      </c>
      <c r="P175" s="64" t="str">
        <f>IFERROR(__xludf.DUMMYFUNCTION("""COMPUTED_VALUE"""),"DESPRENDIMIENTO")</f>
        <v>DESPRENDIMIENTO</v>
      </c>
      <c r="Q175" s="64" t="str">
        <f>IFERROR(__xludf.DUMMYFUNCTION("""COMPUTED_VALUE"""),"CAÍDA DE ÁRBOL")</f>
        <v>CAÍDA DE ÁRBOL</v>
      </c>
      <c r="R175" s="64" t="str">
        <f>IFERROR(__xludf.DUMMYFUNCTION("""COMPUTED_VALUE"""),"DESPRENDIMIENTO DE EJE")</f>
        <v>DESPRENDIMIENTO DE EJE</v>
      </c>
      <c r="S175" s="64" t="str">
        <f>IFERROR(__xludf.DUMMYFUNCTION("""COMPUTED_VALUE"""),"PERSONA ATROPELLADA")</f>
        <v>PERSONA ATROPELLADA</v>
      </c>
    </row>
    <row r="176">
      <c r="B176" s="64"/>
      <c r="C176" s="64" t="str">
        <f>IFERROR(__xludf.DUMMYFUNCTION(" TRANSPOSE( unique ( QUERY(DATOPRO,""select Col2 where Col1 = '""&amp;B176&amp;""'"")))"),"")</f>
        <v/>
      </c>
    </row>
    <row r="177">
      <c r="B177" s="64" t="s">
        <v>38</v>
      </c>
      <c r="C177" s="64" t="str">
        <f>IFERROR(__xludf.DUMMYFUNCTION(" TRANSPOSE( unique ( QUERY(DATOPRO,""select Col2 where Col1 = '""&amp;B177&amp;""'"")))"),"ATAQUE ARMADO")</f>
        <v>ATAQUE ARMADO</v>
      </c>
      <c r="D177" s="64" t="str">
        <f>IFERROR(__xludf.DUMMYFUNCTION("""COMPUTED_VALUE"""),"DESBALANCE DE CARGA")</f>
        <v>DESBALANCE DE CARGA</v>
      </c>
      <c r="E177" s="64" t="str">
        <f>IFERROR(__xludf.DUMMYFUNCTION("""COMPUTED_VALUE"""),"PERSONA FALLECIDA")</f>
        <v>PERSONA FALLECIDA</v>
      </c>
      <c r="F177" s="64" t="str">
        <f>IFERROR(__xludf.DUMMYFUNCTION("""COMPUTED_VALUE"""),"DESPRENDIMIENTO DE NEUMATICO")</f>
        <v>DESPRENDIMIENTO DE NEUMATICO</v>
      </c>
      <c r="G177" s="64" t="str">
        <f>IFERROR(__xludf.DUMMYFUNCTION("""COMPUTED_VALUE"""),"SALIDA DE PISTA")</f>
        <v>SALIDA DE PISTA</v>
      </c>
      <c r="H177" s="64" t="str">
        <f>IFERROR(__xludf.DUMMYFUNCTION("""COMPUTED_VALUE"""),"DESPRENDIMIENTO DE CONTENEDOR")</f>
        <v>DESPRENDIMIENTO DE CONTENEDOR</v>
      </c>
      <c r="I177" s="64" t="str">
        <f>IFERROR(__xludf.DUMMYFUNCTION("""COMPUTED_VALUE"""),"CAÍDA DE CARGA")</f>
        <v>CAÍDA DE CARGA</v>
      </c>
      <c r="J177" s="64" t="str">
        <f>IFERROR(__xludf.DUMMYFUNCTION("""COMPUTED_VALUE"""),"CHOQUE")</f>
        <v>CHOQUE</v>
      </c>
      <c r="K177" s="64" t="str">
        <f>IFERROR(__xludf.DUMMYFUNCTION("""COMPUTED_VALUE"""),"COLISIÓN")</f>
        <v>COLISIÓN</v>
      </c>
      <c r="L177" s="64" t="str">
        <f>IFERROR(__xludf.DUMMYFUNCTION("""COMPUTED_VALUE"""),"COLISIÓN MÚLTIPLE")</f>
        <v>COLISIÓN MÚLTIPLE</v>
      </c>
      <c r="M177" s="64" t="str">
        <f>IFERROR(__xludf.DUMMYFUNCTION("""COMPUTED_VALUE"""),"DERRAPE")</f>
        <v>DERRAPE</v>
      </c>
      <c r="N177" s="64" t="str">
        <f>IFERROR(__xludf.DUMMYFUNCTION("""COMPUTED_VALUE"""),"VEHÍCULO INCENDIADO")</f>
        <v>VEHÍCULO INCENDIADO</v>
      </c>
      <c r="O177" s="64" t="str">
        <f>IFERROR(__xludf.DUMMYFUNCTION("""COMPUTED_VALUE"""),"VUELCO")</f>
        <v>VUELCO</v>
      </c>
      <c r="P177" s="64" t="str">
        <f>IFERROR(__xludf.DUMMYFUNCTION("""COMPUTED_VALUE"""),"DESPRENDIMIENTO")</f>
        <v>DESPRENDIMIENTO</v>
      </c>
      <c r="Q177" s="64" t="str">
        <f>IFERROR(__xludf.DUMMYFUNCTION("""COMPUTED_VALUE"""),"CAÍDA DE ÁRBOL")</f>
        <v>CAÍDA DE ÁRBOL</v>
      </c>
      <c r="R177" s="64" t="str">
        <f>IFERROR(__xludf.DUMMYFUNCTION("""COMPUTED_VALUE"""),"DESPRENDIMIENTO DE EJE")</f>
        <v>DESPRENDIMIENTO DE EJE</v>
      </c>
      <c r="S177" s="64" t="str">
        <f>IFERROR(__xludf.DUMMYFUNCTION("""COMPUTED_VALUE"""),"PERSONA ATROPELLADA")</f>
        <v>PERSONA ATROPELLADA</v>
      </c>
    </row>
    <row r="178">
      <c r="B178" s="64" t="s">
        <v>54</v>
      </c>
      <c r="C178" s="64" t="str">
        <f>IFERROR(__xludf.DUMMYFUNCTION(" TRANSPOSE( unique ( QUERY(DATOPRO,""select Col2 where Col1 = '""&amp;B178&amp;""'"")))"),"PINCHAZO")</f>
        <v>PINCHAZO</v>
      </c>
      <c r="D178" s="64" t="str">
        <f>IFERROR(__xludf.DUMMYFUNCTION("""COMPUTED_VALUE"""),"TRABAJOS DE CARRETERA")</f>
        <v>TRABAJOS DE CARRETERA</v>
      </c>
      <c r="E178" s="64" t="str">
        <f>IFERROR(__xludf.DUMMYFUNCTION("""COMPUTED_VALUE"""),"CONSIGNACIÓN")</f>
        <v>CONSIGNACIÓN</v>
      </c>
      <c r="F178" s="64" t="str">
        <f>IFERROR(__xludf.DUMMYFUNCTION("""COMPUTED_VALUE"""),"DERRAME")</f>
        <v>DERRAME</v>
      </c>
      <c r="G178" s="64" t="str">
        <f>IFERROR(__xludf.DUMMYFUNCTION("""COMPUTED_VALUE"""),"CALENTAMIENTO")</f>
        <v>CALENTAMIENTO</v>
      </c>
      <c r="H178" s="64" t="str">
        <f>IFERROR(__xludf.DUMMYFUNCTION("""COMPUTED_VALUE"""),"ESCOLTANDO")</f>
        <v>ESCOLTANDO</v>
      </c>
      <c r="I178" s="64" t="str">
        <f>IFERROR(__xludf.DUMMYFUNCTION("""COMPUTED_VALUE"""),"FALTA DE COMBUSTIBLE")</f>
        <v>FALTA DE COMBUSTIBLE</v>
      </c>
      <c r="J178" s="64" t="str">
        <f>IFERROR(__xludf.DUMMYFUNCTION("""COMPUTED_VALUE"""),"DESPERFECTOS MECÁNICOS")</f>
        <v>DESPERFECTOS MECÁNICOS</v>
      </c>
      <c r="K178" s="64" t="str">
        <f>IFERROR(__xludf.DUMMYFUNCTION("""COMPUTED_VALUE"""),"LLAMADA DE ATENCIÓN")</f>
        <v>LLAMADA DE ATENCIÓN</v>
      </c>
      <c r="L178" s="64" t="str">
        <f>IFERROR(__xludf.DUMMYFUNCTION("""COMPUTED_VALUE"""),"OPERATIVOS")</f>
        <v>OPERATIVOS</v>
      </c>
      <c r="M178" s="64" t="str">
        <f>IFERROR(__xludf.DUMMYFUNCTION("""COMPUTED_VALUE"""),"SANCIÓN")</f>
        <v>SANCIÓN</v>
      </c>
      <c r="N178" s="64" t="str">
        <f>IFERROR(__xludf.DUMMYFUNCTION("""COMPUTED_VALUE"""),"SISTEMA ELECTRICO")</f>
        <v>SISTEMA ELECTRICO</v>
      </c>
      <c r="O178" s="64" t="str">
        <f>IFERROR(__xludf.DUMMYFUNCTION("""COMPUTED_VALUE"""),"ASISTENCIA AL USUARIO")</f>
        <v>ASISTENCIA AL USUARIO</v>
      </c>
      <c r="P178" s="64" t="str">
        <f>IFERROR(__xludf.DUMMYFUNCTION("""COMPUTED_VALUE"""),"DOBLE REMOLQUE")</f>
        <v>DOBLE REMOLQUE</v>
      </c>
      <c r="Q178" s="64" t="str">
        <f>IFERROR(__xludf.DUMMYFUNCTION("""COMPUTED_VALUE"""),"SINAPRESE")</f>
        <v>SINAPRESE</v>
      </c>
      <c r="R178" s="64" t="str">
        <f>IFERROR(__xludf.DUMMYFUNCTION("""COMPUTED_VALUE"""),"APOYO ATLETISMO")</f>
        <v>APOYO ATLETISMO</v>
      </c>
      <c r="S178" s="64" t="str">
        <f>IFERROR(__xludf.DUMMYFUNCTION("""COMPUTED_VALUE"""),"APOYO A CICLISMO")</f>
        <v>APOYO A CICLISMO</v>
      </c>
      <c r="T178" s="64" t="str">
        <f>IFERROR(__xludf.DUMMYFUNCTION("""COMPUTED_VALUE"""),"DESCARGA DE BATERÍA")</f>
        <v>DESCARGA DE BATERÍA</v>
      </c>
      <c r="U178" s="64" t="str">
        <f>IFERROR(__xludf.DUMMYFUNCTION("""COMPUTED_VALUE"""),"PROBLEMAS DE SALUD")</f>
        <v>PROBLEMAS DE SALUD</v>
      </c>
      <c r="V178" s="64" t="str">
        <f>IFERROR(__xludf.DUMMYFUNCTION("""COMPUTED_VALUE"""),"OLVIDO LA LLAVE")</f>
        <v>OLVIDO LA LLAVE</v>
      </c>
      <c r="W178" s="64" t="str">
        <f>IFERROR(__xludf.DUMMYFUNCTION("""COMPUTED_VALUE"""),"CARGA SOBREDIMENSIONADA")</f>
        <v>CARGA SOBREDIMENSIONADA</v>
      </c>
      <c r="X178" s="64" t="str">
        <f>IFERROR(__xludf.DUMMYFUNCTION("""COMPUTED_VALUE"""),"VEHÍCULO ABANDONADO")</f>
        <v>VEHÍCULO ABANDONADO</v>
      </c>
      <c r="Y178" s="64" t="str">
        <f>IFERROR(__xludf.DUMMYFUNCTION("""COMPUTED_VALUE"""),"DESPRENDIMIENTO")</f>
        <v>DESPRENDIMIENTO</v>
      </c>
      <c r="Z178" s="64" t="str">
        <f>IFERROR(__xludf.DUMMYFUNCTION("""COMPUTED_VALUE"""),"CAÍDA DE POSTE")</f>
        <v>CAÍDA DE POSTE</v>
      </c>
      <c r="AA178" s="64" t="str">
        <f>IFERROR(__xludf.DUMMYFUNCTION("""COMPUTED_VALUE"""),"CAÍDA DE RAMA")</f>
        <v>CAÍDA DE RAMA</v>
      </c>
      <c r="AB178" s="64" t="str">
        <f>IFERROR(__xludf.DUMMYFUNCTION("""COMPUTED_VALUE"""),"OPERATIVO DGT")</f>
        <v>OPERATIVO DGT</v>
      </c>
      <c r="AC178" s="64" t="str">
        <f>IFERROR(__xludf.DUMMYFUNCTION("""COMPUTED_VALUE"""),"OPERATIVO PMT")</f>
        <v>OPERATIVO PMT</v>
      </c>
      <c r="AD178" s="64" t="str">
        <f>IFERROR(__xludf.DUMMYFUNCTION("""COMPUTED_VALUE"""),"APOYO A DIGEF")</f>
        <v>APOYO A DIGEF</v>
      </c>
      <c r="AE178" s="64" t="str">
        <f>IFERROR(__xludf.DUMMYFUNCTION("""COMPUTED_VALUE"""),"OPERATIVO PNC TRANSITO")</f>
        <v>OPERATIVO PNC TRANSITO</v>
      </c>
      <c r="AF178" s="64" t="str">
        <f>IFERROR(__xludf.DUMMYFUNCTION("""COMPUTED_VALUE"""),"SOBRECARGA ")</f>
        <v>SOBRECARGA </v>
      </c>
      <c r="AG178" s="64" t="str">
        <f>IFERROR(__xludf.DUMMYFUNCTION("""COMPUTED_VALUE"""),"OPERATIVO EN CONJUNTO")</f>
        <v>OPERATIVO EN CONJUNTO</v>
      </c>
      <c r="AH178" s="64" t="str">
        <f>IFERROR(__xludf.DUMMYFUNCTION("""COMPUTED_VALUE"""),"PUESTO DE ATENCION AL USUARIO")</f>
        <v>PUESTO DE ATENCION AL USUARIO</v>
      </c>
      <c r="AI178" s="64" t="str">
        <f>IFERROR(__xludf.DUMMYFUNCTION("""COMPUTED_VALUE"""),"INCENDIO EN RUTA")</f>
        <v>INCENDIO EN RUTA</v>
      </c>
      <c r="AJ178" s="64" t="str">
        <f>IFERROR(__xludf.DUMMYFUNCTION("""COMPUTED_VALUE"""),"APOYO ANTORCHA ")</f>
        <v>APOYO ANTORCHA </v>
      </c>
    </row>
    <row r="179">
      <c r="B179" s="64" t="s">
        <v>54</v>
      </c>
      <c r="C179" s="64" t="str">
        <f>IFERROR(__xludf.DUMMYFUNCTION(" TRANSPOSE( unique ( QUERY(DATOPRO,""select Col2 where Col1 = '""&amp;B179&amp;""'"")))"),"PINCHAZO")</f>
        <v>PINCHAZO</v>
      </c>
      <c r="D179" s="64" t="str">
        <f>IFERROR(__xludf.DUMMYFUNCTION("""COMPUTED_VALUE"""),"TRABAJOS DE CARRETERA")</f>
        <v>TRABAJOS DE CARRETERA</v>
      </c>
      <c r="E179" s="64" t="str">
        <f>IFERROR(__xludf.DUMMYFUNCTION("""COMPUTED_VALUE"""),"CONSIGNACIÓN")</f>
        <v>CONSIGNACIÓN</v>
      </c>
      <c r="F179" s="64" t="str">
        <f>IFERROR(__xludf.DUMMYFUNCTION("""COMPUTED_VALUE"""),"DERRAME")</f>
        <v>DERRAME</v>
      </c>
      <c r="G179" s="64" t="str">
        <f>IFERROR(__xludf.DUMMYFUNCTION("""COMPUTED_VALUE"""),"CALENTAMIENTO")</f>
        <v>CALENTAMIENTO</v>
      </c>
      <c r="H179" s="64" t="str">
        <f>IFERROR(__xludf.DUMMYFUNCTION("""COMPUTED_VALUE"""),"ESCOLTANDO")</f>
        <v>ESCOLTANDO</v>
      </c>
      <c r="I179" s="64" t="str">
        <f>IFERROR(__xludf.DUMMYFUNCTION("""COMPUTED_VALUE"""),"FALTA DE COMBUSTIBLE")</f>
        <v>FALTA DE COMBUSTIBLE</v>
      </c>
      <c r="J179" s="64" t="str">
        <f>IFERROR(__xludf.DUMMYFUNCTION("""COMPUTED_VALUE"""),"DESPERFECTOS MECÁNICOS")</f>
        <v>DESPERFECTOS MECÁNICOS</v>
      </c>
      <c r="K179" s="64" t="str">
        <f>IFERROR(__xludf.DUMMYFUNCTION("""COMPUTED_VALUE"""),"LLAMADA DE ATENCIÓN")</f>
        <v>LLAMADA DE ATENCIÓN</v>
      </c>
      <c r="L179" s="64" t="str">
        <f>IFERROR(__xludf.DUMMYFUNCTION("""COMPUTED_VALUE"""),"OPERATIVOS")</f>
        <v>OPERATIVOS</v>
      </c>
      <c r="M179" s="64" t="str">
        <f>IFERROR(__xludf.DUMMYFUNCTION("""COMPUTED_VALUE"""),"SANCIÓN")</f>
        <v>SANCIÓN</v>
      </c>
      <c r="N179" s="64" t="str">
        <f>IFERROR(__xludf.DUMMYFUNCTION("""COMPUTED_VALUE"""),"SISTEMA ELECTRICO")</f>
        <v>SISTEMA ELECTRICO</v>
      </c>
      <c r="O179" s="64" t="str">
        <f>IFERROR(__xludf.DUMMYFUNCTION("""COMPUTED_VALUE"""),"ASISTENCIA AL USUARIO")</f>
        <v>ASISTENCIA AL USUARIO</v>
      </c>
      <c r="P179" s="64" t="str">
        <f>IFERROR(__xludf.DUMMYFUNCTION("""COMPUTED_VALUE"""),"DOBLE REMOLQUE")</f>
        <v>DOBLE REMOLQUE</v>
      </c>
      <c r="Q179" s="64" t="str">
        <f>IFERROR(__xludf.DUMMYFUNCTION("""COMPUTED_VALUE"""),"SINAPRESE")</f>
        <v>SINAPRESE</v>
      </c>
      <c r="R179" s="64" t="str">
        <f>IFERROR(__xludf.DUMMYFUNCTION("""COMPUTED_VALUE"""),"APOYO ATLETISMO")</f>
        <v>APOYO ATLETISMO</v>
      </c>
      <c r="S179" s="64" t="str">
        <f>IFERROR(__xludf.DUMMYFUNCTION("""COMPUTED_VALUE"""),"APOYO A CICLISMO")</f>
        <v>APOYO A CICLISMO</v>
      </c>
      <c r="T179" s="64" t="str">
        <f>IFERROR(__xludf.DUMMYFUNCTION("""COMPUTED_VALUE"""),"DESCARGA DE BATERÍA")</f>
        <v>DESCARGA DE BATERÍA</v>
      </c>
      <c r="U179" s="64" t="str">
        <f>IFERROR(__xludf.DUMMYFUNCTION("""COMPUTED_VALUE"""),"PROBLEMAS DE SALUD")</f>
        <v>PROBLEMAS DE SALUD</v>
      </c>
      <c r="V179" s="64" t="str">
        <f>IFERROR(__xludf.DUMMYFUNCTION("""COMPUTED_VALUE"""),"OLVIDO LA LLAVE")</f>
        <v>OLVIDO LA LLAVE</v>
      </c>
      <c r="W179" s="64" t="str">
        <f>IFERROR(__xludf.DUMMYFUNCTION("""COMPUTED_VALUE"""),"CARGA SOBREDIMENSIONADA")</f>
        <v>CARGA SOBREDIMENSIONADA</v>
      </c>
      <c r="X179" s="64" t="str">
        <f>IFERROR(__xludf.DUMMYFUNCTION("""COMPUTED_VALUE"""),"VEHÍCULO ABANDONADO")</f>
        <v>VEHÍCULO ABANDONADO</v>
      </c>
      <c r="Y179" s="64" t="str">
        <f>IFERROR(__xludf.DUMMYFUNCTION("""COMPUTED_VALUE"""),"DESPRENDIMIENTO")</f>
        <v>DESPRENDIMIENTO</v>
      </c>
      <c r="Z179" s="64" t="str">
        <f>IFERROR(__xludf.DUMMYFUNCTION("""COMPUTED_VALUE"""),"CAÍDA DE POSTE")</f>
        <v>CAÍDA DE POSTE</v>
      </c>
      <c r="AA179" s="64" t="str">
        <f>IFERROR(__xludf.DUMMYFUNCTION("""COMPUTED_VALUE"""),"CAÍDA DE RAMA")</f>
        <v>CAÍDA DE RAMA</v>
      </c>
      <c r="AB179" s="64" t="str">
        <f>IFERROR(__xludf.DUMMYFUNCTION("""COMPUTED_VALUE"""),"OPERATIVO DGT")</f>
        <v>OPERATIVO DGT</v>
      </c>
      <c r="AC179" s="64" t="str">
        <f>IFERROR(__xludf.DUMMYFUNCTION("""COMPUTED_VALUE"""),"OPERATIVO PMT")</f>
        <v>OPERATIVO PMT</v>
      </c>
      <c r="AD179" s="64" t="str">
        <f>IFERROR(__xludf.DUMMYFUNCTION("""COMPUTED_VALUE"""),"APOYO A DIGEF")</f>
        <v>APOYO A DIGEF</v>
      </c>
      <c r="AE179" s="64" t="str">
        <f>IFERROR(__xludf.DUMMYFUNCTION("""COMPUTED_VALUE"""),"OPERATIVO PNC TRANSITO")</f>
        <v>OPERATIVO PNC TRANSITO</v>
      </c>
      <c r="AF179" s="64" t="str">
        <f>IFERROR(__xludf.DUMMYFUNCTION("""COMPUTED_VALUE"""),"SOBRECARGA ")</f>
        <v>SOBRECARGA </v>
      </c>
      <c r="AG179" s="64" t="str">
        <f>IFERROR(__xludf.DUMMYFUNCTION("""COMPUTED_VALUE"""),"OPERATIVO EN CONJUNTO")</f>
        <v>OPERATIVO EN CONJUNTO</v>
      </c>
      <c r="AH179" s="64" t="str">
        <f>IFERROR(__xludf.DUMMYFUNCTION("""COMPUTED_VALUE"""),"PUESTO DE ATENCION AL USUARIO")</f>
        <v>PUESTO DE ATENCION AL USUARIO</v>
      </c>
      <c r="AI179" s="64" t="str">
        <f>IFERROR(__xludf.DUMMYFUNCTION("""COMPUTED_VALUE"""),"INCENDIO EN RUTA")</f>
        <v>INCENDIO EN RUTA</v>
      </c>
      <c r="AJ179" s="64" t="str">
        <f>IFERROR(__xludf.DUMMYFUNCTION("""COMPUTED_VALUE"""),"APOYO ANTORCHA ")</f>
        <v>APOYO ANTORCHA </v>
      </c>
    </row>
    <row r="180">
      <c r="B180" s="64" t="s">
        <v>54</v>
      </c>
      <c r="C180" s="64" t="str">
        <f>IFERROR(__xludf.DUMMYFUNCTION(" TRANSPOSE( unique ( QUERY(DATOPRO,""select Col2 where Col1 = '""&amp;B180&amp;""'"")))"),"PINCHAZO")</f>
        <v>PINCHAZO</v>
      </c>
      <c r="D180" s="64" t="str">
        <f>IFERROR(__xludf.DUMMYFUNCTION("""COMPUTED_VALUE"""),"TRABAJOS DE CARRETERA")</f>
        <v>TRABAJOS DE CARRETERA</v>
      </c>
      <c r="E180" s="64" t="str">
        <f>IFERROR(__xludf.DUMMYFUNCTION("""COMPUTED_VALUE"""),"CONSIGNACIÓN")</f>
        <v>CONSIGNACIÓN</v>
      </c>
      <c r="F180" s="64" t="str">
        <f>IFERROR(__xludf.DUMMYFUNCTION("""COMPUTED_VALUE"""),"DERRAME")</f>
        <v>DERRAME</v>
      </c>
      <c r="G180" s="64" t="str">
        <f>IFERROR(__xludf.DUMMYFUNCTION("""COMPUTED_VALUE"""),"CALENTAMIENTO")</f>
        <v>CALENTAMIENTO</v>
      </c>
      <c r="H180" s="64" t="str">
        <f>IFERROR(__xludf.DUMMYFUNCTION("""COMPUTED_VALUE"""),"ESCOLTANDO")</f>
        <v>ESCOLTANDO</v>
      </c>
      <c r="I180" s="64" t="str">
        <f>IFERROR(__xludf.DUMMYFUNCTION("""COMPUTED_VALUE"""),"FALTA DE COMBUSTIBLE")</f>
        <v>FALTA DE COMBUSTIBLE</v>
      </c>
      <c r="J180" s="64" t="str">
        <f>IFERROR(__xludf.DUMMYFUNCTION("""COMPUTED_VALUE"""),"DESPERFECTOS MECÁNICOS")</f>
        <v>DESPERFECTOS MECÁNICOS</v>
      </c>
      <c r="K180" s="64" t="str">
        <f>IFERROR(__xludf.DUMMYFUNCTION("""COMPUTED_VALUE"""),"LLAMADA DE ATENCIÓN")</f>
        <v>LLAMADA DE ATENCIÓN</v>
      </c>
      <c r="L180" s="64" t="str">
        <f>IFERROR(__xludf.DUMMYFUNCTION("""COMPUTED_VALUE"""),"OPERATIVOS")</f>
        <v>OPERATIVOS</v>
      </c>
      <c r="M180" s="64" t="str">
        <f>IFERROR(__xludf.DUMMYFUNCTION("""COMPUTED_VALUE"""),"SANCIÓN")</f>
        <v>SANCIÓN</v>
      </c>
      <c r="N180" s="64" t="str">
        <f>IFERROR(__xludf.DUMMYFUNCTION("""COMPUTED_VALUE"""),"SISTEMA ELECTRICO")</f>
        <v>SISTEMA ELECTRICO</v>
      </c>
      <c r="O180" s="64" t="str">
        <f>IFERROR(__xludf.DUMMYFUNCTION("""COMPUTED_VALUE"""),"ASISTENCIA AL USUARIO")</f>
        <v>ASISTENCIA AL USUARIO</v>
      </c>
      <c r="P180" s="64" t="str">
        <f>IFERROR(__xludf.DUMMYFUNCTION("""COMPUTED_VALUE"""),"DOBLE REMOLQUE")</f>
        <v>DOBLE REMOLQUE</v>
      </c>
      <c r="Q180" s="64" t="str">
        <f>IFERROR(__xludf.DUMMYFUNCTION("""COMPUTED_VALUE"""),"SINAPRESE")</f>
        <v>SINAPRESE</v>
      </c>
      <c r="R180" s="64" t="str">
        <f>IFERROR(__xludf.DUMMYFUNCTION("""COMPUTED_VALUE"""),"APOYO ATLETISMO")</f>
        <v>APOYO ATLETISMO</v>
      </c>
      <c r="S180" s="64" t="str">
        <f>IFERROR(__xludf.DUMMYFUNCTION("""COMPUTED_VALUE"""),"APOYO A CICLISMO")</f>
        <v>APOYO A CICLISMO</v>
      </c>
      <c r="T180" s="64" t="str">
        <f>IFERROR(__xludf.DUMMYFUNCTION("""COMPUTED_VALUE"""),"DESCARGA DE BATERÍA")</f>
        <v>DESCARGA DE BATERÍA</v>
      </c>
      <c r="U180" s="64" t="str">
        <f>IFERROR(__xludf.DUMMYFUNCTION("""COMPUTED_VALUE"""),"PROBLEMAS DE SALUD")</f>
        <v>PROBLEMAS DE SALUD</v>
      </c>
      <c r="V180" s="64" t="str">
        <f>IFERROR(__xludf.DUMMYFUNCTION("""COMPUTED_VALUE"""),"OLVIDO LA LLAVE")</f>
        <v>OLVIDO LA LLAVE</v>
      </c>
      <c r="W180" s="64" t="str">
        <f>IFERROR(__xludf.DUMMYFUNCTION("""COMPUTED_VALUE"""),"CARGA SOBREDIMENSIONADA")</f>
        <v>CARGA SOBREDIMENSIONADA</v>
      </c>
      <c r="X180" s="64" t="str">
        <f>IFERROR(__xludf.DUMMYFUNCTION("""COMPUTED_VALUE"""),"VEHÍCULO ABANDONADO")</f>
        <v>VEHÍCULO ABANDONADO</v>
      </c>
      <c r="Y180" s="64" t="str">
        <f>IFERROR(__xludf.DUMMYFUNCTION("""COMPUTED_VALUE"""),"DESPRENDIMIENTO")</f>
        <v>DESPRENDIMIENTO</v>
      </c>
      <c r="Z180" s="64" t="str">
        <f>IFERROR(__xludf.DUMMYFUNCTION("""COMPUTED_VALUE"""),"CAÍDA DE POSTE")</f>
        <v>CAÍDA DE POSTE</v>
      </c>
      <c r="AA180" s="64" t="str">
        <f>IFERROR(__xludf.DUMMYFUNCTION("""COMPUTED_VALUE"""),"CAÍDA DE RAMA")</f>
        <v>CAÍDA DE RAMA</v>
      </c>
      <c r="AB180" s="64" t="str">
        <f>IFERROR(__xludf.DUMMYFUNCTION("""COMPUTED_VALUE"""),"OPERATIVO DGT")</f>
        <v>OPERATIVO DGT</v>
      </c>
      <c r="AC180" s="64" t="str">
        <f>IFERROR(__xludf.DUMMYFUNCTION("""COMPUTED_VALUE"""),"OPERATIVO PMT")</f>
        <v>OPERATIVO PMT</v>
      </c>
      <c r="AD180" s="64" t="str">
        <f>IFERROR(__xludf.DUMMYFUNCTION("""COMPUTED_VALUE"""),"APOYO A DIGEF")</f>
        <v>APOYO A DIGEF</v>
      </c>
      <c r="AE180" s="64" t="str">
        <f>IFERROR(__xludf.DUMMYFUNCTION("""COMPUTED_VALUE"""),"OPERATIVO PNC TRANSITO")</f>
        <v>OPERATIVO PNC TRANSITO</v>
      </c>
      <c r="AF180" s="64" t="str">
        <f>IFERROR(__xludf.DUMMYFUNCTION("""COMPUTED_VALUE"""),"SOBRECARGA ")</f>
        <v>SOBRECARGA </v>
      </c>
      <c r="AG180" s="64" t="str">
        <f>IFERROR(__xludf.DUMMYFUNCTION("""COMPUTED_VALUE"""),"OPERATIVO EN CONJUNTO")</f>
        <v>OPERATIVO EN CONJUNTO</v>
      </c>
      <c r="AH180" s="64" t="str">
        <f>IFERROR(__xludf.DUMMYFUNCTION("""COMPUTED_VALUE"""),"PUESTO DE ATENCION AL USUARIO")</f>
        <v>PUESTO DE ATENCION AL USUARIO</v>
      </c>
      <c r="AI180" s="64" t="str">
        <f>IFERROR(__xludf.DUMMYFUNCTION("""COMPUTED_VALUE"""),"INCENDIO EN RUTA")</f>
        <v>INCENDIO EN RUTA</v>
      </c>
      <c r="AJ180" s="64" t="str">
        <f>IFERROR(__xludf.DUMMYFUNCTION("""COMPUTED_VALUE"""),"APOYO ANTORCHA ")</f>
        <v>APOYO ANTORCHA </v>
      </c>
    </row>
    <row r="181">
      <c r="B181" s="64" t="s">
        <v>54</v>
      </c>
      <c r="C181" s="64" t="str">
        <f>IFERROR(__xludf.DUMMYFUNCTION(" TRANSPOSE( unique ( QUERY(DATOPRO,""select Col2 where Col1 = '""&amp;B181&amp;""'"")))"),"PINCHAZO")</f>
        <v>PINCHAZO</v>
      </c>
      <c r="D181" s="64" t="str">
        <f>IFERROR(__xludf.DUMMYFUNCTION("""COMPUTED_VALUE"""),"TRABAJOS DE CARRETERA")</f>
        <v>TRABAJOS DE CARRETERA</v>
      </c>
      <c r="E181" s="64" t="str">
        <f>IFERROR(__xludf.DUMMYFUNCTION("""COMPUTED_VALUE"""),"CONSIGNACIÓN")</f>
        <v>CONSIGNACIÓN</v>
      </c>
      <c r="F181" s="64" t="str">
        <f>IFERROR(__xludf.DUMMYFUNCTION("""COMPUTED_VALUE"""),"DERRAME")</f>
        <v>DERRAME</v>
      </c>
      <c r="G181" s="64" t="str">
        <f>IFERROR(__xludf.DUMMYFUNCTION("""COMPUTED_VALUE"""),"CALENTAMIENTO")</f>
        <v>CALENTAMIENTO</v>
      </c>
      <c r="H181" s="64" t="str">
        <f>IFERROR(__xludf.DUMMYFUNCTION("""COMPUTED_VALUE"""),"ESCOLTANDO")</f>
        <v>ESCOLTANDO</v>
      </c>
      <c r="I181" s="64" t="str">
        <f>IFERROR(__xludf.DUMMYFUNCTION("""COMPUTED_VALUE"""),"FALTA DE COMBUSTIBLE")</f>
        <v>FALTA DE COMBUSTIBLE</v>
      </c>
      <c r="J181" s="64" t="str">
        <f>IFERROR(__xludf.DUMMYFUNCTION("""COMPUTED_VALUE"""),"DESPERFECTOS MECÁNICOS")</f>
        <v>DESPERFECTOS MECÁNICOS</v>
      </c>
      <c r="K181" s="64" t="str">
        <f>IFERROR(__xludf.DUMMYFUNCTION("""COMPUTED_VALUE"""),"LLAMADA DE ATENCIÓN")</f>
        <v>LLAMADA DE ATENCIÓN</v>
      </c>
      <c r="L181" s="64" t="str">
        <f>IFERROR(__xludf.DUMMYFUNCTION("""COMPUTED_VALUE"""),"OPERATIVOS")</f>
        <v>OPERATIVOS</v>
      </c>
      <c r="M181" s="64" t="str">
        <f>IFERROR(__xludf.DUMMYFUNCTION("""COMPUTED_VALUE"""),"SANCIÓN")</f>
        <v>SANCIÓN</v>
      </c>
      <c r="N181" s="64" t="str">
        <f>IFERROR(__xludf.DUMMYFUNCTION("""COMPUTED_VALUE"""),"SISTEMA ELECTRICO")</f>
        <v>SISTEMA ELECTRICO</v>
      </c>
      <c r="O181" s="64" t="str">
        <f>IFERROR(__xludf.DUMMYFUNCTION("""COMPUTED_VALUE"""),"ASISTENCIA AL USUARIO")</f>
        <v>ASISTENCIA AL USUARIO</v>
      </c>
      <c r="P181" s="64" t="str">
        <f>IFERROR(__xludf.DUMMYFUNCTION("""COMPUTED_VALUE"""),"DOBLE REMOLQUE")</f>
        <v>DOBLE REMOLQUE</v>
      </c>
      <c r="Q181" s="64" t="str">
        <f>IFERROR(__xludf.DUMMYFUNCTION("""COMPUTED_VALUE"""),"SINAPRESE")</f>
        <v>SINAPRESE</v>
      </c>
      <c r="R181" s="64" t="str">
        <f>IFERROR(__xludf.DUMMYFUNCTION("""COMPUTED_VALUE"""),"APOYO ATLETISMO")</f>
        <v>APOYO ATLETISMO</v>
      </c>
      <c r="S181" s="64" t="str">
        <f>IFERROR(__xludf.DUMMYFUNCTION("""COMPUTED_VALUE"""),"APOYO A CICLISMO")</f>
        <v>APOYO A CICLISMO</v>
      </c>
      <c r="T181" s="64" t="str">
        <f>IFERROR(__xludf.DUMMYFUNCTION("""COMPUTED_VALUE"""),"DESCARGA DE BATERÍA")</f>
        <v>DESCARGA DE BATERÍA</v>
      </c>
      <c r="U181" s="64" t="str">
        <f>IFERROR(__xludf.DUMMYFUNCTION("""COMPUTED_VALUE"""),"PROBLEMAS DE SALUD")</f>
        <v>PROBLEMAS DE SALUD</v>
      </c>
      <c r="V181" s="64" t="str">
        <f>IFERROR(__xludf.DUMMYFUNCTION("""COMPUTED_VALUE"""),"OLVIDO LA LLAVE")</f>
        <v>OLVIDO LA LLAVE</v>
      </c>
      <c r="W181" s="64" t="str">
        <f>IFERROR(__xludf.DUMMYFUNCTION("""COMPUTED_VALUE"""),"CARGA SOBREDIMENSIONADA")</f>
        <v>CARGA SOBREDIMENSIONADA</v>
      </c>
      <c r="X181" s="64" t="str">
        <f>IFERROR(__xludf.DUMMYFUNCTION("""COMPUTED_VALUE"""),"VEHÍCULO ABANDONADO")</f>
        <v>VEHÍCULO ABANDONADO</v>
      </c>
      <c r="Y181" s="64" t="str">
        <f>IFERROR(__xludf.DUMMYFUNCTION("""COMPUTED_VALUE"""),"DESPRENDIMIENTO")</f>
        <v>DESPRENDIMIENTO</v>
      </c>
      <c r="Z181" s="64" t="str">
        <f>IFERROR(__xludf.DUMMYFUNCTION("""COMPUTED_VALUE"""),"CAÍDA DE POSTE")</f>
        <v>CAÍDA DE POSTE</v>
      </c>
      <c r="AA181" s="64" t="str">
        <f>IFERROR(__xludf.DUMMYFUNCTION("""COMPUTED_VALUE"""),"CAÍDA DE RAMA")</f>
        <v>CAÍDA DE RAMA</v>
      </c>
      <c r="AB181" s="64" t="str">
        <f>IFERROR(__xludf.DUMMYFUNCTION("""COMPUTED_VALUE"""),"OPERATIVO DGT")</f>
        <v>OPERATIVO DGT</v>
      </c>
      <c r="AC181" s="64" t="str">
        <f>IFERROR(__xludf.DUMMYFUNCTION("""COMPUTED_VALUE"""),"OPERATIVO PMT")</f>
        <v>OPERATIVO PMT</v>
      </c>
      <c r="AD181" s="64" t="str">
        <f>IFERROR(__xludf.DUMMYFUNCTION("""COMPUTED_VALUE"""),"APOYO A DIGEF")</f>
        <v>APOYO A DIGEF</v>
      </c>
      <c r="AE181" s="64" t="str">
        <f>IFERROR(__xludf.DUMMYFUNCTION("""COMPUTED_VALUE"""),"OPERATIVO PNC TRANSITO")</f>
        <v>OPERATIVO PNC TRANSITO</v>
      </c>
      <c r="AF181" s="64" t="str">
        <f>IFERROR(__xludf.DUMMYFUNCTION("""COMPUTED_VALUE"""),"SOBRECARGA ")</f>
        <v>SOBRECARGA </v>
      </c>
      <c r="AG181" s="64" t="str">
        <f>IFERROR(__xludf.DUMMYFUNCTION("""COMPUTED_VALUE"""),"OPERATIVO EN CONJUNTO")</f>
        <v>OPERATIVO EN CONJUNTO</v>
      </c>
      <c r="AH181" s="64" t="str">
        <f>IFERROR(__xludf.DUMMYFUNCTION("""COMPUTED_VALUE"""),"PUESTO DE ATENCION AL USUARIO")</f>
        <v>PUESTO DE ATENCION AL USUARIO</v>
      </c>
      <c r="AI181" s="64" t="str">
        <f>IFERROR(__xludf.DUMMYFUNCTION("""COMPUTED_VALUE"""),"INCENDIO EN RUTA")</f>
        <v>INCENDIO EN RUTA</v>
      </c>
      <c r="AJ181" s="64" t="str">
        <f>IFERROR(__xludf.DUMMYFUNCTION("""COMPUTED_VALUE"""),"APOYO ANTORCHA ")</f>
        <v>APOYO ANTORCHA </v>
      </c>
    </row>
    <row r="182">
      <c r="B182" s="64" t="s">
        <v>54</v>
      </c>
      <c r="C182" s="64" t="str">
        <f>IFERROR(__xludf.DUMMYFUNCTION(" TRANSPOSE( unique ( QUERY(DATOPRO,""select Col2 where Col1 = '""&amp;B182&amp;""'"")))"),"PINCHAZO")</f>
        <v>PINCHAZO</v>
      </c>
      <c r="D182" s="64" t="str">
        <f>IFERROR(__xludf.DUMMYFUNCTION("""COMPUTED_VALUE"""),"TRABAJOS DE CARRETERA")</f>
        <v>TRABAJOS DE CARRETERA</v>
      </c>
      <c r="E182" s="64" t="str">
        <f>IFERROR(__xludf.DUMMYFUNCTION("""COMPUTED_VALUE"""),"CONSIGNACIÓN")</f>
        <v>CONSIGNACIÓN</v>
      </c>
      <c r="F182" s="64" t="str">
        <f>IFERROR(__xludf.DUMMYFUNCTION("""COMPUTED_VALUE"""),"DERRAME")</f>
        <v>DERRAME</v>
      </c>
      <c r="G182" s="64" t="str">
        <f>IFERROR(__xludf.DUMMYFUNCTION("""COMPUTED_VALUE"""),"CALENTAMIENTO")</f>
        <v>CALENTAMIENTO</v>
      </c>
      <c r="H182" s="64" t="str">
        <f>IFERROR(__xludf.DUMMYFUNCTION("""COMPUTED_VALUE"""),"ESCOLTANDO")</f>
        <v>ESCOLTANDO</v>
      </c>
      <c r="I182" s="64" t="str">
        <f>IFERROR(__xludf.DUMMYFUNCTION("""COMPUTED_VALUE"""),"FALTA DE COMBUSTIBLE")</f>
        <v>FALTA DE COMBUSTIBLE</v>
      </c>
      <c r="J182" s="64" t="str">
        <f>IFERROR(__xludf.DUMMYFUNCTION("""COMPUTED_VALUE"""),"DESPERFECTOS MECÁNICOS")</f>
        <v>DESPERFECTOS MECÁNICOS</v>
      </c>
      <c r="K182" s="64" t="str">
        <f>IFERROR(__xludf.DUMMYFUNCTION("""COMPUTED_VALUE"""),"LLAMADA DE ATENCIÓN")</f>
        <v>LLAMADA DE ATENCIÓN</v>
      </c>
      <c r="L182" s="64" t="str">
        <f>IFERROR(__xludf.DUMMYFUNCTION("""COMPUTED_VALUE"""),"OPERATIVOS")</f>
        <v>OPERATIVOS</v>
      </c>
      <c r="M182" s="64" t="str">
        <f>IFERROR(__xludf.DUMMYFUNCTION("""COMPUTED_VALUE"""),"SANCIÓN")</f>
        <v>SANCIÓN</v>
      </c>
      <c r="N182" s="64" t="str">
        <f>IFERROR(__xludf.DUMMYFUNCTION("""COMPUTED_VALUE"""),"SISTEMA ELECTRICO")</f>
        <v>SISTEMA ELECTRICO</v>
      </c>
      <c r="O182" s="64" t="str">
        <f>IFERROR(__xludf.DUMMYFUNCTION("""COMPUTED_VALUE"""),"ASISTENCIA AL USUARIO")</f>
        <v>ASISTENCIA AL USUARIO</v>
      </c>
      <c r="P182" s="64" t="str">
        <f>IFERROR(__xludf.DUMMYFUNCTION("""COMPUTED_VALUE"""),"DOBLE REMOLQUE")</f>
        <v>DOBLE REMOLQUE</v>
      </c>
      <c r="Q182" s="64" t="str">
        <f>IFERROR(__xludf.DUMMYFUNCTION("""COMPUTED_VALUE"""),"SINAPRESE")</f>
        <v>SINAPRESE</v>
      </c>
      <c r="R182" s="64" t="str">
        <f>IFERROR(__xludf.DUMMYFUNCTION("""COMPUTED_VALUE"""),"APOYO ATLETISMO")</f>
        <v>APOYO ATLETISMO</v>
      </c>
      <c r="S182" s="64" t="str">
        <f>IFERROR(__xludf.DUMMYFUNCTION("""COMPUTED_VALUE"""),"APOYO A CICLISMO")</f>
        <v>APOYO A CICLISMO</v>
      </c>
      <c r="T182" s="64" t="str">
        <f>IFERROR(__xludf.DUMMYFUNCTION("""COMPUTED_VALUE"""),"DESCARGA DE BATERÍA")</f>
        <v>DESCARGA DE BATERÍA</v>
      </c>
      <c r="U182" s="64" t="str">
        <f>IFERROR(__xludf.DUMMYFUNCTION("""COMPUTED_VALUE"""),"PROBLEMAS DE SALUD")</f>
        <v>PROBLEMAS DE SALUD</v>
      </c>
      <c r="V182" s="64" t="str">
        <f>IFERROR(__xludf.DUMMYFUNCTION("""COMPUTED_VALUE"""),"OLVIDO LA LLAVE")</f>
        <v>OLVIDO LA LLAVE</v>
      </c>
      <c r="W182" s="64" t="str">
        <f>IFERROR(__xludf.DUMMYFUNCTION("""COMPUTED_VALUE"""),"CARGA SOBREDIMENSIONADA")</f>
        <v>CARGA SOBREDIMENSIONADA</v>
      </c>
      <c r="X182" s="64" t="str">
        <f>IFERROR(__xludf.DUMMYFUNCTION("""COMPUTED_VALUE"""),"VEHÍCULO ABANDONADO")</f>
        <v>VEHÍCULO ABANDONADO</v>
      </c>
      <c r="Y182" s="64" t="str">
        <f>IFERROR(__xludf.DUMMYFUNCTION("""COMPUTED_VALUE"""),"DESPRENDIMIENTO")</f>
        <v>DESPRENDIMIENTO</v>
      </c>
      <c r="Z182" s="64" t="str">
        <f>IFERROR(__xludf.DUMMYFUNCTION("""COMPUTED_VALUE"""),"CAÍDA DE POSTE")</f>
        <v>CAÍDA DE POSTE</v>
      </c>
      <c r="AA182" s="64" t="str">
        <f>IFERROR(__xludf.DUMMYFUNCTION("""COMPUTED_VALUE"""),"CAÍDA DE RAMA")</f>
        <v>CAÍDA DE RAMA</v>
      </c>
      <c r="AB182" s="64" t="str">
        <f>IFERROR(__xludf.DUMMYFUNCTION("""COMPUTED_VALUE"""),"OPERATIVO DGT")</f>
        <v>OPERATIVO DGT</v>
      </c>
      <c r="AC182" s="64" t="str">
        <f>IFERROR(__xludf.DUMMYFUNCTION("""COMPUTED_VALUE"""),"OPERATIVO PMT")</f>
        <v>OPERATIVO PMT</v>
      </c>
      <c r="AD182" s="64" t="str">
        <f>IFERROR(__xludf.DUMMYFUNCTION("""COMPUTED_VALUE"""),"APOYO A DIGEF")</f>
        <v>APOYO A DIGEF</v>
      </c>
      <c r="AE182" s="64" t="str">
        <f>IFERROR(__xludf.DUMMYFUNCTION("""COMPUTED_VALUE"""),"OPERATIVO PNC TRANSITO")</f>
        <v>OPERATIVO PNC TRANSITO</v>
      </c>
      <c r="AF182" s="64" t="str">
        <f>IFERROR(__xludf.DUMMYFUNCTION("""COMPUTED_VALUE"""),"SOBRECARGA ")</f>
        <v>SOBRECARGA </v>
      </c>
      <c r="AG182" s="64" t="str">
        <f>IFERROR(__xludf.DUMMYFUNCTION("""COMPUTED_VALUE"""),"OPERATIVO EN CONJUNTO")</f>
        <v>OPERATIVO EN CONJUNTO</v>
      </c>
      <c r="AH182" s="64" t="str">
        <f>IFERROR(__xludf.DUMMYFUNCTION("""COMPUTED_VALUE"""),"PUESTO DE ATENCION AL USUARIO")</f>
        <v>PUESTO DE ATENCION AL USUARIO</v>
      </c>
      <c r="AI182" s="64" t="str">
        <f>IFERROR(__xludf.DUMMYFUNCTION("""COMPUTED_VALUE"""),"INCENDIO EN RUTA")</f>
        <v>INCENDIO EN RUTA</v>
      </c>
      <c r="AJ182" s="64" t="str">
        <f>IFERROR(__xludf.DUMMYFUNCTION("""COMPUTED_VALUE"""),"APOYO ANTORCHA ")</f>
        <v>APOYO ANTORCHA </v>
      </c>
    </row>
    <row r="183">
      <c r="B183" s="64" t="s">
        <v>38</v>
      </c>
      <c r="C183" s="64" t="str">
        <f>IFERROR(__xludf.DUMMYFUNCTION(" TRANSPOSE( unique ( QUERY(DATOPRO,""select Col2 where Col1 = '""&amp;B183&amp;""'"")))"),"ATAQUE ARMADO")</f>
        <v>ATAQUE ARMADO</v>
      </c>
      <c r="D183" s="64" t="str">
        <f>IFERROR(__xludf.DUMMYFUNCTION("""COMPUTED_VALUE"""),"DESBALANCE DE CARGA")</f>
        <v>DESBALANCE DE CARGA</v>
      </c>
      <c r="E183" s="64" t="str">
        <f>IFERROR(__xludf.DUMMYFUNCTION("""COMPUTED_VALUE"""),"PERSONA FALLECIDA")</f>
        <v>PERSONA FALLECIDA</v>
      </c>
      <c r="F183" s="64" t="str">
        <f>IFERROR(__xludf.DUMMYFUNCTION("""COMPUTED_VALUE"""),"DESPRENDIMIENTO DE NEUMATICO")</f>
        <v>DESPRENDIMIENTO DE NEUMATICO</v>
      </c>
      <c r="G183" s="64" t="str">
        <f>IFERROR(__xludf.DUMMYFUNCTION("""COMPUTED_VALUE"""),"SALIDA DE PISTA")</f>
        <v>SALIDA DE PISTA</v>
      </c>
      <c r="H183" s="64" t="str">
        <f>IFERROR(__xludf.DUMMYFUNCTION("""COMPUTED_VALUE"""),"DESPRENDIMIENTO DE CONTENEDOR")</f>
        <v>DESPRENDIMIENTO DE CONTENEDOR</v>
      </c>
      <c r="I183" s="64" t="str">
        <f>IFERROR(__xludf.DUMMYFUNCTION("""COMPUTED_VALUE"""),"CAÍDA DE CARGA")</f>
        <v>CAÍDA DE CARGA</v>
      </c>
      <c r="J183" s="64" t="str">
        <f>IFERROR(__xludf.DUMMYFUNCTION("""COMPUTED_VALUE"""),"CHOQUE")</f>
        <v>CHOQUE</v>
      </c>
      <c r="K183" s="64" t="str">
        <f>IFERROR(__xludf.DUMMYFUNCTION("""COMPUTED_VALUE"""),"COLISIÓN")</f>
        <v>COLISIÓN</v>
      </c>
      <c r="L183" s="64" t="str">
        <f>IFERROR(__xludf.DUMMYFUNCTION("""COMPUTED_VALUE"""),"COLISIÓN MÚLTIPLE")</f>
        <v>COLISIÓN MÚLTIPLE</v>
      </c>
      <c r="M183" s="64" t="str">
        <f>IFERROR(__xludf.DUMMYFUNCTION("""COMPUTED_VALUE"""),"DERRAPE")</f>
        <v>DERRAPE</v>
      </c>
      <c r="N183" s="64" t="str">
        <f>IFERROR(__xludf.DUMMYFUNCTION("""COMPUTED_VALUE"""),"VEHÍCULO INCENDIADO")</f>
        <v>VEHÍCULO INCENDIADO</v>
      </c>
      <c r="O183" s="64" t="str">
        <f>IFERROR(__xludf.DUMMYFUNCTION("""COMPUTED_VALUE"""),"VUELCO")</f>
        <v>VUELCO</v>
      </c>
      <c r="P183" s="64" t="str">
        <f>IFERROR(__xludf.DUMMYFUNCTION("""COMPUTED_VALUE"""),"DESPRENDIMIENTO")</f>
        <v>DESPRENDIMIENTO</v>
      </c>
      <c r="Q183" s="64" t="str">
        <f>IFERROR(__xludf.DUMMYFUNCTION("""COMPUTED_VALUE"""),"CAÍDA DE ÁRBOL")</f>
        <v>CAÍDA DE ÁRBOL</v>
      </c>
      <c r="R183" s="64" t="str">
        <f>IFERROR(__xludf.DUMMYFUNCTION("""COMPUTED_VALUE"""),"DESPRENDIMIENTO DE EJE")</f>
        <v>DESPRENDIMIENTO DE EJE</v>
      </c>
      <c r="S183" s="64" t="str">
        <f>IFERROR(__xludf.DUMMYFUNCTION("""COMPUTED_VALUE"""),"PERSONA ATROPELLADA")</f>
        <v>PERSONA ATROPELLADA</v>
      </c>
    </row>
    <row r="184">
      <c r="B184" s="64" t="s">
        <v>38</v>
      </c>
      <c r="C184" s="64" t="str">
        <f>IFERROR(__xludf.DUMMYFUNCTION(" TRANSPOSE( unique ( QUERY(DATOPRO,""select Col2 where Col1 = '""&amp;B184&amp;""'"")))"),"ATAQUE ARMADO")</f>
        <v>ATAQUE ARMADO</v>
      </c>
      <c r="D184" s="64" t="str">
        <f>IFERROR(__xludf.DUMMYFUNCTION("""COMPUTED_VALUE"""),"DESBALANCE DE CARGA")</f>
        <v>DESBALANCE DE CARGA</v>
      </c>
      <c r="E184" s="64" t="str">
        <f>IFERROR(__xludf.DUMMYFUNCTION("""COMPUTED_VALUE"""),"PERSONA FALLECIDA")</f>
        <v>PERSONA FALLECIDA</v>
      </c>
      <c r="F184" s="64" t="str">
        <f>IFERROR(__xludf.DUMMYFUNCTION("""COMPUTED_VALUE"""),"DESPRENDIMIENTO DE NEUMATICO")</f>
        <v>DESPRENDIMIENTO DE NEUMATICO</v>
      </c>
      <c r="G184" s="64" t="str">
        <f>IFERROR(__xludf.DUMMYFUNCTION("""COMPUTED_VALUE"""),"SALIDA DE PISTA")</f>
        <v>SALIDA DE PISTA</v>
      </c>
      <c r="H184" s="64" t="str">
        <f>IFERROR(__xludf.DUMMYFUNCTION("""COMPUTED_VALUE"""),"DESPRENDIMIENTO DE CONTENEDOR")</f>
        <v>DESPRENDIMIENTO DE CONTENEDOR</v>
      </c>
      <c r="I184" s="64" t="str">
        <f>IFERROR(__xludf.DUMMYFUNCTION("""COMPUTED_VALUE"""),"CAÍDA DE CARGA")</f>
        <v>CAÍDA DE CARGA</v>
      </c>
      <c r="J184" s="64" t="str">
        <f>IFERROR(__xludf.DUMMYFUNCTION("""COMPUTED_VALUE"""),"CHOQUE")</f>
        <v>CHOQUE</v>
      </c>
      <c r="K184" s="64" t="str">
        <f>IFERROR(__xludf.DUMMYFUNCTION("""COMPUTED_VALUE"""),"COLISIÓN")</f>
        <v>COLISIÓN</v>
      </c>
      <c r="L184" s="64" t="str">
        <f>IFERROR(__xludf.DUMMYFUNCTION("""COMPUTED_VALUE"""),"COLISIÓN MÚLTIPLE")</f>
        <v>COLISIÓN MÚLTIPLE</v>
      </c>
      <c r="M184" s="64" t="str">
        <f>IFERROR(__xludf.DUMMYFUNCTION("""COMPUTED_VALUE"""),"DERRAPE")</f>
        <v>DERRAPE</v>
      </c>
      <c r="N184" s="64" t="str">
        <f>IFERROR(__xludf.DUMMYFUNCTION("""COMPUTED_VALUE"""),"VEHÍCULO INCENDIADO")</f>
        <v>VEHÍCULO INCENDIADO</v>
      </c>
      <c r="O184" s="64" t="str">
        <f>IFERROR(__xludf.DUMMYFUNCTION("""COMPUTED_VALUE"""),"VUELCO")</f>
        <v>VUELCO</v>
      </c>
      <c r="P184" s="64" t="str">
        <f>IFERROR(__xludf.DUMMYFUNCTION("""COMPUTED_VALUE"""),"DESPRENDIMIENTO")</f>
        <v>DESPRENDIMIENTO</v>
      </c>
      <c r="Q184" s="64" t="str">
        <f>IFERROR(__xludf.DUMMYFUNCTION("""COMPUTED_VALUE"""),"CAÍDA DE ÁRBOL")</f>
        <v>CAÍDA DE ÁRBOL</v>
      </c>
      <c r="R184" s="64" t="str">
        <f>IFERROR(__xludf.DUMMYFUNCTION("""COMPUTED_VALUE"""),"DESPRENDIMIENTO DE EJE")</f>
        <v>DESPRENDIMIENTO DE EJE</v>
      </c>
      <c r="S184" s="64" t="str">
        <f>IFERROR(__xludf.DUMMYFUNCTION("""COMPUTED_VALUE"""),"PERSONA ATROPELLADA")</f>
        <v>PERSONA ATROPELLADA</v>
      </c>
    </row>
    <row r="185">
      <c r="B185" s="64" t="s">
        <v>54</v>
      </c>
      <c r="C185" s="64" t="str">
        <f>IFERROR(__xludf.DUMMYFUNCTION(" TRANSPOSE( unique ( QUERY(DATOPRO,""select Col2 where Col1 = '""&amp;B185&amp;""'"")))"),"PINCHAZO")</f>
        <v>PINCHAZO</v>
      </c>
      <c r="D185" s="64" t="str">
        <f>IFERROR(__xludf.DUMMYFUNCTION("""COMPUTED_VALUE"""),"TRABAJOS DE CARRETERA")</f>
        <v>TRABAJOS DE CARRETERA</v>
      </c>
      <c r="E185" s="64" t="str">
        <f>IFERROR(__xludf.DUMMYFUNCTION("""COMPUTED_VALUE"""),"CONSIGNACIÓN")</f>
        <v>CONSIGNACIÓN</v>
      </c>
      <c r="F185" s="64" t="str">
        <f>IFERROR(__xludf.DUMMYFUNCTION("""COMPUTED_VALUE"""),"DERRAME")</f>
        <v>DERRAME</v>
      </c>
      <c r="G185" s="64" t="str">
        <f>IFERROR(__xludf.DUMMYFUNCTION("""COMPUTED_VALUE"""),"CALENTAMIENTO")</f>
        <v>CALENTAMIENTO</v>
      </c>
      <c r="H185" s="64" t="str">
        <f>IFERROR(__xludf.DUMMYFUNCTION("""COMPUTED_VALUE"""),"ESCOLTANDO")</f>
        <v>ESCOLTANDO</v>
      </c>
      <c r="I185" s="64" t="str">
        <f>IFERROR(__xludf.DUMMYFUNCTION("""COMPUTED_VALUE"""),"FALTA DE COMBUSTIBLE")</f>
        <v>FALTA DE COMBUSTIBLE</v>
      </c>
      <c r="J185" s="64" t="str">
        <f>IFERROR(__xludf.DUMMYFUNCTION("""COMPUTED_VALUE"""),"DESPERFECTOS MECÁNICOS")</f>
        <v>DESPERFECTOS MECÁNICOS</v>
      </c>
      <c r="K185" s="64" t="str">
        <f>IFERROR(__xludf.DUMMYFUNCTION("""COMPUTED_VALUE"""),"LLAMADA DE ATENCIÓN")</f>
        <v>LLAMADA DE ATENCIÓN</v>
      </c>
      <c r="L185" s="64" t="str">
        <f>IFERROR(__xludf.DUMMYFUNCTION("""COMPUTED_VALUE"""),"OPERATIVOS")</f>
        <v>OPERATIVOS</v>
      </c>
      <c r="M185" s="64" t="str">
        <f>IFERROR(__xludf.DUMMYFUNCTION("""COMPUTED_VALUE"""),"SANCIÓN")</f>
        <v>SANCIÓN</v>
      </c>
      <c r="N185" s="64" t="str">
        <f>IFERROR(__xludf.DUMMYFUNCTION("""COMPUTED_VALUE"""),"SISTEMA ELECTRICO")</f>
        <v>SISTEMA ELECTRICO</v>
      </c>
      <c r="O185" s="64" t="str">
        <f>IFERROR(__xludf.DUMMYFUNCTION("""COMPUTED_VALUE"""),"ASISTENCIA AL USUARIO")</f>
        <v>ASISTENCIA AL USUARIO</v>
      </c>
      <c r="P185" s="64" t="str">
        <f>IFERROR(__xludf.DUMMYFUNCTION("""COMPUTED_VALUE"""),"DOBLE REMOLQUE")</f>
        <v>DOBLE REMOLQUE</v>
      </c>
      <c r="Q185" s="64" t="str">
        <f>IFERROR(__xludf.DUMMYFUNCTION("""COMPUTED_VALUE"""),"SINAPRESE")</f>
        <v>SINAPRESE</v>
      </c>
      <c r="R185" s="64" t="str">
        <f>IFERROR(__xludf.DUMMYFUNCTION("""COMPUTED_VALUE"""),"APOYO ATLETISMO")</f>
        <v>APOYO ATLETISMO</v>
      </c>
      <c r="S185" s="64" t="str">
        <f>IFERROR(__xludf.DUMMYFUNCTION("""COMPUTED_VALUE"""),"APOYO A CICLISMO")</f>
        <v>APOYO A CICLISMO</v>
      </c>
      <c r="T185" s="64" t="str">
        <f>IFERROR(__xludf.DUMMYFUNCTION("""COMPUTED_VALUE"""),"DESCARGA DE BATERÍA")</f>
        <v>DESCARGA DE BATERÍA</v>
      </c>
      <c r="U185" s="64" t="str">
        <f>IFERROR(__xludf.DUMMYFUNCTION("""COMPUTED_VALUE"""),"PROBLEMAS DE SALUD")</f>
        <v>PROBLEMAS DE SALUD</v>
      </c>
      <c r="V185" s="64" t="str">
        <f>IFERROR(__xludf.DUMMYFUNCTION("""COMPUTED_VALUE"""),"OLVIDO LA LLAVE")</f>
        <v>OLVIDO LA LLAVE</v>
      </c>
      <c r="W185" s="64" t="str">
        <f>IFERROR(__xludf.DUMMYFUNCTION("""COMPUTED_VALUE"""),"CARGA SOBREDIMENSIONADA")</f>
        <v>CARGA SOBREDIMENSIONADA</v>
      </c>
      <c r="X185" s="64" t="str">
        <f>IFERROR(__xludf.DUMMYFUNCTION("""COMPUTED_VALUE"""),"VEHÍCULO ABANDONADO")</f>
        <v>VEHÍCULO ABANDONADO</v>
      </c>
      <c r="Y185" s="64" t="str">
        <f>IFERROR(__xludf.DUMMYFUNCTION("""COMPUTED_VALUE"""),"DESPRENDIMIENTO")</f>
        <v>DESPRENDIMIENTO</v>
      </c>
      <c r="Z185" s="64" t="str">
        <f>IFERROR(__xludf.DUMMYFUNCTION("""COMPUTED_VALUE"""),"CAÍDA DE POSTE")</f>
        <v>CAÍDA DE POSTE</v>
      </c>
      <c r="AA185" s="64" t="str">
        <f>IFERROR(__xludf.DUMMYFUNCTION("""COMPUTED_VALUE"""),"CAÍDA DE RAMA")</f>
        <v>CAÍDA DE RAMA</v>
      </c>
      <c r="AB185" s="64" t="str">
        <f>IFERROR(__xludf.DUMMYFUNCTION("""COMPUTED_VALUE"""),"OPERATIVO DGT")</f>
        <v>OPERATIVO DGT</v>
      </c>
      <c r="AC185" s="64" t="str">
        <f>IFERROR(__xludf.DUMMYFUNCTION("""COMPUTED_VALUE"""),"OPERATIVO PMT")</f>
        <v>OPERATIVO PMT</v>
      </c>
      <c r="AD185" s="64" t="str">
        <f>IFERROR(__xludf.DUMMYFUNCTION("""COMPUTED_VALUE"""),"APOYO A DIGEF")</f>
        <v>APOYO A DIGEF</v>
      </c>
      <c r="AE185" s="64" t="str">
        <f>IFERROR(__xludf.DUMMYFUNCTION("""COMPUTED_VALUE"""),"OPERATIVO PNC TRANSITO")</f>
        <v>OPERATIVO PNC TRANSITO</v>
      </c>
      <c r="AF185" s="64" t="str">
        <f>IFERROR(__xludf.DUMMYFUNCTION("""COMPUTED_VALUE"""),"SOBRECARGA ")</f>
        <v>SOBRECARGA </v>
      </c>
      <c r="AG185" s="64" t="str">
        <f>IFERROR(__xludf.DUMMYFUNCTION("""COMPUTED_VALUE"""),"OPERATIVO EN CONJUNTO")</f>
        <v>OPERATIVO EN CONJUNTO</v>
      </c>
      <c r="AH185" s="64" t="str">
        <f>IFERROR(__xludf.DUMMYFUNCTION("""COMPUTED_VALUE"""),"PUESTO DE ATENCION AL USUARIO")</f>
        <v>PUESTO DE ATENCION AL USUARIO</v>
      </c>
      <c r="AI185" s="64" t="str">
        <f>IFERROR(__xludf.DUMMYFUNCTION("""COMPUTED_VALUE"""),"INCENDIO EN RUTA")</f>
        <v>INCENDIO EN RUTA</v>
      </c>
      <c r="AJ185" s="64" t="str">
        <f>IFERROR(__xludf.DUMMYFUNCTION("""COMPUTED_VALUE"""),"APOYO ANTORCHA ")</f>
        <v>APOYO ANTORCHA </v>
      </c>
    </row>
    <row r="186">
      <c r="B186" s="64"/>
      <c r="C186" s="64" t="str">
        <f>IFERROR(__xludf.DUMMYFUNCTION(" TRANSPOSE( unique ( QUERY(DATOPRO,""select Col2 where Col1 = '""&amp;B186&amp;""'"")))"),"")</f>
        <v/>
      </c>
    </row>
    <row r="187">
      <c r="B187" s="64" t="s">
        <v>38</v>
      </c>
      <c r="C187" s="64" t="str">
        <f>IFERROR(__xludf.DUMMYFUNCTION(" TRANSPOSE( unique ( QUERY(DATOPRO,""select Col2 where Col1 = '""&amp;B187&amp;""'"")))"),"ATAQUE ARMADO")</f>
        <v>ATAQUE ARMADO</v>
      </c>
      <c r="D187" s="64" t="str">
        <f>IFERROR(__xludf.DUMMYFUNCTION("""COMPUTED_VALUE"""),"DESBALANCE DE CARGA")</f>
        <v>DESBALANCE DE CARGA</v>
      </c>
      <c r="E187" s="64" t="str">
        <f>IFERROR(__xludf.DUMMYFUNCTION("""COMPUTED_VALUE"""),"PERSONA FALLECIDA")</f>
        <v>PERSONA FALLECIDA</v>
      </c>
      <c r="F187" s="64" t="str">
        <f>IFERROR(__xludf.DUMMYFUNCTION("""COMPUTED_VALUE"""),"DESPRENDIMIENTO DE NEUMATICO")</f>
        <v>DESPRENDIMIENTO DE NEUMATICO</v>
      </c>
      <c r="G187" s="64" t="str">
        <f>IFERROR(__xludf.DUMMYFUNCTION("""COMPUTED_VALUE"""),"SALIDA DE PISTA")</f>
        <v>SALIDA DE PISTA</v>
      </c>
      <c r="H187" s="64" t="str">
        <f>IFERROR(__xludf.DUMMYFUNCTION("""COMPUTED_VALUE"""),"DESPRENDIMIENTO DE CONTENEDOR")</f>
        <v>DESPRENDIMIENTO DE CONTENEDOR</v>
      </c>
      <c r="I187" s="64" t="str">
        <f>IFERROR(__xludf.DUMMYFUNCTION("""COMPUTED_VALUE"""),"CAÍDA DE CARGA")</f>
        <v>CAÍDA DE CARGA</v>
      </c>
      <c r="J187" s="64" t="str">
        <f>IFERROR(__xludf.DUMMYFUNCTION("""COMPUTED_VALUE"""),"CHOQUE")</f>
        <v>CHOQUE</v>
      </c>
      <c r="K187" s="64" t="str">
        <f>IFERROR(__xludf.DUMMYFUNCTION("""COMPUTED_VALUE"""),"COLISIÓN")</f>
        <v>COLISIÓN</v>
      </c>
      <c r="L187" s="64" t="str">
        <f>IFERROR(__xludf.DUMMYFUNCTION("""COMPUTED_VALUE"""),"COLISIÓN MÚLTIPLE")</f>
        <v>COLISIÓN MÚLTIPLE</v>
      </c>
      <c r="M187" s="64" t="str">
        <f>IFERROR(__xludf.DUMMYFUNCTION("""COMPUTED_VALUE"""),"DERRAPE")</f>
        <v>DERRAPE</v>
      </c>
      <c r="N187" s="64" t="str">
        <f>IFERROR(__xludf.DUMMYFUNCTION("""COMPUTED_VALUE"""),"VEHÍCULO INCENDIADO")</f>
        <v>VEHÍCULO INCENDIADO</v>
      </c>
      <c r="O187" s="64" t="str">
        <f>IFERROR(__xludf.DUMMYFUNCTION("""COMPUTED_VALUE"""),"VUELCO")</f>
        <v>VUELCO</v>
      </c>
      <c r="P187" s="64" t="str">
        <f>IFERROR(__xludf.DUMMYFUNCTION("""COMPUTED_VALUE"""),"DESPRENDIMIENTO")</f>
        <v>DESPRENDIMIENTO</v>
      </c>
      <c r="Q187" s="64" t="str">
        <f>IFERROR(__xludf.DUMMYFUNCTION("""COMPUTED_VALUE"""),"CAÍDA DE ÁRBOL")</f>
        <v>CAÍDA DE ÁRBOL</v>
      </c>
      <c r="R187" s="64" t="str">
        <f>IFERROR(__xludf.DUMMYFUNCTION("""COMPUTED_VALUE"""),"DESPRENDIMIENTO DE EJE")</f>
        <v>DESPRENDIMIENTO DE EJE</v>
      </c>
      <c r="S187" s="64" t="str">
        <f>IFERROR(__xludf.DUMMYFUNCTION("""COMPUTED_VALUE"""),"PERSONA ATROPELLADA")</f>
        <v>PERSONA ATROPELLADA</v>
      </c>
    </row>
    <row r="188">
      <c r="B188" s="64" t="s">
        <v>54</v>
      </c>
      <c r="C188" s="64" t="str">
        <f>IFERROR(__xludf.DUMMYFUNCTION(" TRANSPOSE( unique ( QUERY(DATOPRO,""select Col2 where Col1 = '""&amp;B188&amp;""'"")))"),"PINCHAZO")</f>
        <v>PINCHAZO</v>
      </c>
      <c r="D188" s="64" t="str">
        <f>IFERROR(__xludf.DUMMYFUNCTION("""COMPUTED_VALUE"""),"TRABAJOS DE CARRETERA")</f>
        <v>TRABAJOS DE CARRETERA</v>
      </c>
      <c r="E188" s="64" t="str">
        <f>IFERROR(__xludf.DUMMYFUNCTION("""COMPUTED_VALUE"""),"CONSIGNACIÓN")</f>
        <v>CONSIGNACIÓN</v>
      </c>
      <c r="F188" s="64" t="str">
        <f>IFERROR(__xludf.DUMMYFUNCTION("""COMPUTED_VALUE"""),"DERRAME")</f>
        <v>DERRAME</v>
      </c>
      <c r="G188" s="64" t="str">
        <f>IFERROR(__xludf.DUMMYFUNCTION("""COMPUTED_VALUE"""),"CALENTAMIENTO")</f>
        <v>CALENTAMIENTO</v>
      </c>
      <c r="H188" s="64" t="str">
        <f>IFERROR(__xludf.DUMMYFUNCTION("""COMPUTED_VALUE"""),"ESCOLTANDO")</f>
        <v>ESCOLTANDO</v>
      </c>
      <c r="I188" s="64" t="str">
        <f>IFERROR(__xludf.DUMMYFUNCTION("""COMPUTED_VALUE"""),"FALTA DE COMBUSTIBLE")</f>
        <v>FALTA DE COMBUSTIBLE</v>
      </c>
      <c r="J188" s="64" t="str">
        <f>IFERROR(__xludf.DUMMYFUNCTION("""COMPUTED_VALUE"""),"DESPERFECTOS MECÁNICOS")</f>
        <v>DESPERFECTOS MECÁNICOS</v>
      </c>
      <c r="K188" s="64" t="str">
        <f>IFERROR(__xludf.DUMMYFUNCTION("""COMPUTED_VALUE"""),"LLAMADA DE ATENCIÓN")</f>
        <v>LLAMADA DE ATENCIÓN</v>
      </c>
      <c r="L188" s="64" t="str">
        <f>IFERROR(__xludf.DUMMYFUNCTION("""COMPUTED_VALUE"""),"OPERATIVOS")</f>
        <v>OPERATIVOS</v>
      </c>
      <c r="M188" s="64" t="str">
        <f>IFERROR(__xludf.DUMMYFUNCTION("""COMPUTED_VALUE"""),"SANCIÓN")</f>
        <v>SANCIÓN</v>
      </c>
      <c r="N188" s="64" t="str">
        <f>IFERROR(__xludf.DUMMYFUNCTION("""COMPUTED_VALUE"""),"SISTEMA ELECTRICO")</f>
        <v>SISTEMA ELECTRICO</v>
      </c>
      <c r="O188" s="64" t="str">
        <f>IFERROR(__xludf.DUMMYFUNCTION("""COMPUTED_VALUE"""),"ASISTENCIA AL USUARIO")</f>
        <v>ASISTENCIA AL USUARIO</v>
      </c>
      <c r="P188" s="64" t="str">
        <f>IFERROR(__xludf.DUMMYFUNCTION("""COMPUTED_VALUE"""),"DOBLE REMOLQUE")</f>
        <v>DOBLE REMOLQUE</v>
      </c>
      <c r="Q188" s="64" t="str">
        <f>IFERROR(__xludf.DUMMYFUNCTION("""COMPUTED_VALUE"""),"SINAPRESE")</f>
        <v>SINAPRESE</v>
      </c>
      <c r="R188" s="64" t="str">
        <f>IFERROR(__xludf.DUMMYFUNCTION("""COMPUTED_VALUE"""),"APOYO ATLETISMO")</f>
        <v>APOYO ATLETISMO</v>
      </c>
      <c r="S188" s="64" t="str">
        <f>IFERROR(__xludf.DUMMYFUNCTION("""COMPUTED_VALUE"""),"APOYO A CICLISMO")</f>
        <v>APOYO A CICLISMO</v>
      </c>
      <c r="T188" s="64" t="str">
        <f>IFERROR(__xludf.DUMMYFUNCTION("""COMPUTED_VALUE"""),"DESCARGA DE BATERÍA")</f>
        <v>DESCARGA DE BATERÍA</v>
      </c>
      <c r="U188" s="64" t="str">
        <f>IFERROR(__xludf.DUMMYFUNCTION("""COMPUTED_VALUE"""),"PROBLEMAS DE SALUD")</f>
        <v>PROBLEMAS DE SALUD</v>
      </c>
      <c r="V188" s="64" t="str">
        <f>IFERROR(__xludf.DUMMYFUNCTION("""COMPUTED_VALUE"""),"OLVIDO LA LLAVE")</f>
        <v>OLVIDO LA LLAVE</v>
      </c>
      <c r="W188" s="64" t="str">
        <f>IFERROR(__xludf.DUMMYFUNCTION("""COMPUTED_VALUE"""),"CARGA SOBREDIMENSIONADA")</f>
        <v>CARGA SOBREDIMENSIONADA</v>
      </c>
      <c r="X188" s="64" t="str">
        <f>IFERROR(__xludf.DUMMYFUNCTION("""COMPUTED_VALUE"""),"VEHÍCULO ABANDONADO")</f>
        <v>VEHÍCULO ABANDONADO</v>
      </c>
      <c r="Y188" s="64" t="str">
        <f>IFERROR(__xludf.DUMMYFUNCTION("""COMPUTED_VALUE"""),"DESPRENDIMIENTO")</f>
        <v>DESPRENDIMIENTO</v>
      </c>
      <c r="Z188" s="64" t="str">
        <f>IFERROR(__xludf.DUMMYFUNCTION("""COMPUTED_VALUE"""),"CAÍDA DE POSTE")</f>
        <v>CAÍDA DE POSTE</v>
      </c>
      <c r="AA188" s="64" t="str">
        <f>IFERROR(__xludf.DUMMYFUNCTION("""COMPUTED_VALUE"""),"CAÍDA DE RAMA")</f>
        <v>CAÍDA DE RAMA</v>
      </c>
      <c r="AB188" s="64" t="str">
        <f>IFERROR(__xludf.DUMMYFUNCTION("""COMPUTED_VALUE"""),"OPERATIVO DGT")</f>
        <v>OPERATIVO DGT</v>
      </c>
      <c r="AC188" s="64" t="str">
        <f>IFERROR(__xludf.DUMMYFUNCTION("""COMPUTED_VALUE"""),"OPERATIVO PMT")</f>
        <v>OPERATIVO PMT</v>
      </c>
      <c r="AD188" s="64" t="str">
        <f>IFERROR(__xludf.DUMMYFUNCTION("""COMPUTED_VALUE"""),"APOYO A DIGEF")</f>
        <v>APOYO A DIGEF</v>
      </c>
      <c r="AE188" s="64" t="str">
        <f>IFERROR(__xludf.DUMMYFUNCTION("""COMPUTED_VALUE"""),"OPERATIVO PNC TRANSITO")</f>
        <v>OPERATIVO PNC TRANSITO</v>
      </c>
      <c r="AF188" s="64" t="str">
        <f>IFERROR(__xludf.DUMMYFUNCTION("""COMPUTED_VALUE"""),"SOBRECARGA ")</f>
        <v>SOBRECARGA </v>
      </c>
      <c r="AG188" s="64" t="str">
        <f>IFERROR(__xludf.DUMMYFUNCTION("""COMPUTED_VALUE"""),"OPERATIVO EN CONJUNTO")</f>
        <v>OPERATIVO EN CONJUNTO</v>
      </c>
      <c r="AH188" s="64" t="str">
        <f>IFERROR(__xludf.DUMMYFUNCTION("""COMPUTED_VALUE"""),"PUESTO DE ATENCION AL USUARIO")</f>
        <v>PUESTO DE ATENCION AL USUARIO</v>
      </c>
      <c r="AI188" s="64" t="str">
        <f>IFERROR(__xludf.DUMMYFUNCTION("""COMPUTED_VALUE"""),"INCENDIO EN RUTA")</f>
        <v>INCENDIO EN RUTA</v>
      </c>
      <c r="AJ188" s="64" t="str">
        <f>IFERROR(__xludf.DUMMYFUNCTION("""COMPUTED_VALUE"""),"APOYO ANTORCHA ")</f>
        <v>APOYO ANTORCHA </v>
      </c>
    </row>
    <row r="189">
      <c r="B189" s="64" t="s">
        <v>54</v>
      </c>
      <c r="C189" s="64" t="str">
        <f>IFERROR(__xludf.DUMMYFUNCTION(" TRANSPOSE( unique ( QUERY(DATOPRO,""select Col2 where Col1 = '""&amp;B189&amp;""'"")))"),"PINCHAZO")</f>
        <v>PINCHAZO</v>
      </c>
      <c r="D189" s="64" t="str">
        <f>IFERROR(__xludf.DUMMYFUNCTION("""COMPUTED_VALUE"""),"TRABAJOS DE CARRETERA")</f>
        <v>TRABAJOS DE CARRETERA</v>
      </c>
      <c r="E189" s="64" t="str">
        <f>IFERROR(__xludf.DUMMYFUNCTION("""COMPUTED_VALUE"""),"CONSIGNACIÓN")</f>
        <v>CONSIGNACIÓN</v>
      </c>
      <c r="F189" s="64" t="str">
        <f>IFERROR(__xludf.DUMMYFUNCTION("""COMPUTED_VALUE"""),"DERRAME")</f>
        <v>DERRAME</v>
      </c>
      <c r="G189" s="64" t="str">
        <f>IFERROR(__xludf.DUMMYFUNCTION("""COMPUTED_VALUE"""),"CALENTAMIENTO")</f>
        <v>CALENTAMIENTO</v>
      </c>
      <c r="H189" s="64" t="str">
        <f>IFERROR(__xludf.DUMMYFUNCTION("""COMPUTED_VALUE"""),"ESCOLTANDO")</f>
        <v>ESCOLTANDO</v>
      </c>
      <c r="I189" s="64" t="str">
        <f>IFERROR(__xludf.DUMMYFUNCTION("""COMPUTED_VALUE"""),"FALTA DE COMBUSTIBLE")</f>
        <v>FALTA DE COMBUSTIBLE</v>
      </c>
      <c r="J189" s="64" t="str">
        <f>IFERROR(__xludf.DUMMYFUNCTION("""COMPUTED_VALUE"""),"DESPERFECTOS MECÁNICOS")</f>
        <v>DESPERFECTOS MECÁNICOS</v>
      </c>
      <c r="K189" s="64" t="str">
        <f>IFERROR(__xludf.DUMMYFUNCTION("""COMPUTED_VALUE"""),"LLAMADA DE ATENCIÓN")</f>
        <v>LLAMADA DE ATENCIÓN</v>
      </c>
      <c r="L189" s="64" t="str">
        <f>IFERROR(__xludf.DUMMYFUNCTION("""COMPUTED_VALUE"""),"OPERATIVOS")</f>
        <v>OPERATIVOS</v>
      </c>
      <c r="M189" s="64" t="str">
        <f>IFERROR(__xludf.DUMMYFUNCTION("""COMPUTED_VALUE"""),"SANCIÓN")</f>
        <v>SANCIÓN</v>
      </c>
      <c r="N189" s="64" t="str">
        <f>IFERROR(__xludf.DUMMYFUNCTION("""COMPUTED_VALUE"""),"SISTEMA ELECTRICO")</f>
        <v>SISTEMA ELECTRICO</v>
      </c>
      <c r="O189" s="64" t="str">
        <f>IFERROR(__xludf.DUMMYFUNCTION("""COMPUTED_VALUE"""),"ASISTENCIA AL USUARIO")</f>
        <v>ASISTENCIA AL USUARIO</v>
      </c>
      <c r="P189" s="64" t="str">
        <f>IFERROR(__xludf.DUMMYFUNCTION("""COMPUTED_VALUE"""),"DOBLE REMOLQUE")</f>
        <v>DOBLE REMOLQUE</v>
      </c>
      <c r="Q189" s="64" t="str">
        <f>IFERROR(__xludf.DUMMYFUNCTION("""COMPUTED_VALUE"""),"SINAPRESE")</f>
        <v>SINAPRESE</v>
      </c>
      <c r="R189" s="64" t="str">
        <f>IFERROR(__xludf.DUMMYFUNCTION("""COMPUTED_VALUE"""),"APOYO ATLETISMO")</f>
        <v>APOYO ATLETISMO</v>
      </c>
      <c r="S189" s="64" t="str">
        <f>IFERROR(__xludf.DUMMYFUNCTION("""COMPUTED_VALUE"""),"APOYO A CICLISMO")</f>
        <v>APOYO A CICLISMO</v>
      </c>
      <c r="T189" s="64" t="str">
        <f>IFERROR(__xludf.DUMMYFUNCTION("""COMPUTED_VALUE"""),"DESCARGA DE BATERÍA")</f>
        <v>DESCARGA DE BATERÍA</v>
      </c>
      <c r="U189" s="64" t="str">
        <f>IFERROR(__xludf.DUMMYFUNCTION("""COMPUTED_VALUE"""),"PROBLEMAS DE SALUD")</f>
        <v>PROBLEMAS DE SALUD</v>
      </c>
      <c r="V189" s="64" t="str">
        <f>IFERROR(__xludf.DUMMYFUNCTION("""COMPUTED_VALUE"""),"OLVIDO LA LLAVE")</f>
        <v>OLVIDO LA LLAVE</v>
      </c>
      <c r="W189" s="64" t="str">
        <f>IFERROR(__xludf.DUMMYFUNCTION("""COMPUTED_VALUE"""),"CARGA SOBREDIMENSIONADA")</f>
        <v>CARGA SOBREDIMENSIONADA</v>
      </c>
      <c r="X189" s="64" t="str">
        <f>IFERROR(__xludf.DUMMYFUNCTION("""COMPUTED_VALUE"""),"VEHÍCULO ABANDONADO")</f>
        <v>VEHÍCULO ABANDONADO</v>
      </c>
      <c r="Y189" s="64" t="str">
        <f>IFERROR(__xludf.DUMMYFUNCTION("""COMPUTED_VALUE"""),"DESPRENDIMIENTO")</f>
        <v>DESPRENDIMIENTO</v>
      </c>
      <c r="Z189" s="64" t="str">
        <f>IFERROR(__xludf.DUMMYFUNCTION("""COMPUTED_VALUE"""),"CAÍDA DE POSTE")</f>
        <v>CAÍDA DE POSTE</v>
      </c>
      <c r="AA189" s="64" t="str">
        <f>IFERROR(__xludf.DUMMYFUNCTION("""COMPUTED_VALUE"""),"CAÍDA DE RAMA")</f>
        <v>CAÍDA DE RAMA</v>
      </c>
      <c r="AB189" s="64" t="str">
        <f>IFERROR(__xludf.DUMMYFUNCTION("""COMPUTED_VALUE"""),"OPERATIVO DGT")</f>
        <v>OPERATIVO DGT</v>
      </c>
      <c r="AC189" s="64" t="str">
        <f>IFERROR(__xludf.DUMMYFUNCTION("""COMPUTED_VALUE"""),"OPERATIVO PMT")</f>
        <v>OPERATIVO PMT</v>
      </c>
      <c r="AD189" s="64" t="str">
        <f>IFERROR(__xludf.DUMMYFUNCTION("""COMPUTED_VALUE"""),"APOYO A DIGEF")</f>
        <v>APOYO A DIGEF</v>
      </c>
      <c r="AE189" s="64" t="str">
        <f>IFERROR(__xludf.DUMMYFUNCTION("""COMPUTED_VALUE"""),"OPERATIVO PNC TRANSITO")</f>
        <v>OPERATIVO PNC TRANSITO</v>
      </c>
      <c r="AF189" s="64" t="str">
        <f>IFERROR(__xludf.DUMMYFUNCTION("""COMPUTED_VALUE"""),"SOBRECARGA ")</f>
        <v>SOBRECARGA </v>
      </c>
      <c r="AG189" s="64" t="str">
        <f>IFERROR(__xludf.DUMMYFUNCTION("""COMPUTED_VALUE"""),"OPERATIVO EN CONJUNTO")</f>
        <v>OPERATIVO EN CONJUNTO</v>
      </c>
      <c r="AH189" s="64" t="str">
        <f>IFERROR(__xludf.DUMMYFUNCTION("""COMPUTED_VALUE"""),"PUESTO DE ATENCION AL USUARIO")</f>
        <v>PUESTO DE ATENCION AL USUARIO</v>
      </c>
      <c r="AI189" s="64" t="str">
        <f>IFERROR(__xludf.DUMMYFUNCTION("""COMPUTED_VALUE"""),"INCENDIO EN RUTA")</f>
        <v>INCENDIO EN RUTA</v>
      </c>
      <c r="AJ189" s="64" t="str">
        <f>IFERROR(__xludf.DUMMYFUNCTION("""COMPUTED_VALUE"""),"APOYO ANTORCHA ")</f>
        <v>APOYO ANTORCHA </v>
      </c>
    </row>
    <row r="190">
      <c r="B190" s="64" t="s">
        <v>54</v>
      </c>
      <c r="C190" s="64" t="str">
        <f>IFERROR(__xludf.DUMMYFUNCTION(" TRANSPOSE( unique ( QUERY(DATOPRO,""select Col2 where Col1 = '""&amp;B190&amp;""'"")))"),"PINCHAZO")</f>
        <v>PINCHAZO</v>
      </c>
      <c r="D190" s="64" t="str">
        <f>IFERROR(__xludf.DUMMYFUNCTION("""COMPUTED_VALUE"""),"TRABAJOS DE CARRETERA")</f>
        <v>TRABAJOS DE CARRETERA</v>
      </c>
      <c r="E190" s="64" t="str">
        <f>IFERROR(__xludf.DUMMYFUNCTION("""COMPUTED_VALUE"""),"CONSIGNACIÓN")</f>
        <v>CONSIGNACIÓN</v>
      </c>
      <c r="F190" s="64" t="str">
        <f>IFERROR(__xludf.DUMMYFUNCTION("""COMPUTED_VALUE"""),"DERRAME")</f>
        <v>DERRAME</v>
      </c>
      <c r="G190" s="64" t="str">
        <f>IFERROR(__xludf.DUMMYFUNCTION("""COMPUTED_VALUE"""),"CALENTAMIENTO")</f>
        <v>CALENTAMIENTO</v>
      </c>
      <c r="H190" s="64" t="str">
        <f>IFERROR(__xludf.DUMMYFUNCTION("""COMPUTED_VALUE"""),"ESCOLTANDO")</f>
        <v>ESCOLTANDO</v>
      </c>
      <c r="I190" s="64" t="str">
        <f>IFERROR(__xludf.DUMMYFUNCTION("""COMPUTED_VALUE"""),"FALTA DE COMBUSTIBLE")</f>
        <v>FALTA DE COMBUSTIBLE</v>
      </c>
      <c r="J190" s="64" t="str">
        <f>IFERROR(__xludf.DUMMYFUNCTION("""COMPUTED_VALUE"""),"DESPERFECTOS MECÁNICOS")</f>
        <v>DESPERFECTOS MECÁNICOS</v>
      </c>
      <c r="K190" s="64" t="str">
        <f>IFERROR(__xludf.DUMMYFUNCTION("""COMPUTED_VALUE"""),"LLAMADA DE ATENCIÓN")</f>
        <v>LLAMADA DE ATENCIÓN</v>
      </c>
      <c r="L190" s="64" t="str">
        <f>IFERROR(__xludf.DUMMYFUNCTION("""COMPUTED_VALUE"""),"OPERATIVOS")</f>
        <v>OPERATIVOS</v>
      </c>
      <c r="M190" s="64" t="str">
        <f>IFERROR(__xludf.DUMMYFUNCTION("""COMPUTED_VALUE"""),"SANCIÓN")</f>
        <v>SANCIÓN</v>
      </c>
      <c r="N190" s="64" t="str">
        <f>IFERROR(__xludf.DUMMYFUNCTION("""COMPUTED_VALUE"""),"SISTEMA ELECTRICO")</f>
        <v>SISTEMA ELECTRICO</v>
      </c>
      <c r="O190" s="64" t="str">
        <f>IFERROR(__xludf.DUMMYFUNCTION("""COMPUTED_VALUE"""),"ASISTENCIA AL USUARIO")</f>
        <v>ASISTENCIA AL USUARIO</v>
      </c>
      <c r="P190" s="64" t="str">
        <f>IFERROR(__xludf.DUMMYFUNCTION("""COMPUTED_VALUE"""),"DOBLE REMOLQUE")</f>
        <v>DOBLE REMOLQUE</v>
      </c>
      <c r="Q190" s="64" t="str">
        <f>IFERROR(__xludf.DUMMYFUNCTION("""COMPUTED_VALUE"""),"SINAPRESE")</f>
        <v>SINAPRESE</v>
      </c>
      <c r="R190" s="64" t="str">
        <f>IFERROR(__xludf.DUMMYFUNCTION("""COMPUTED_VALUE"""),"APOYO ATLETISMO")</f>
        <v>APOYO ATLETISMO</v>
      </c>
      <c r="S190" s="64" t="str">
        <f>IFERROR(__xludf.DUMMYFUNCTION("""COMPUTED_VALUE"""),"APOYO A CICLISMO")</f>
        <v>APOYO A CICLISMO</v>
      </c>
      <c r="T190" s="64" t="str">
        <f>IFERROR(__xludf.DUMMYFUNCTION("""COMPUTED_VALUE"""),"DESCARGA DE BATERÍA")</f>
        <v>DESCARGA DE BATERÍA</v>
      </c>
      <c r="U190" s="64" t="str">
        <f>IFERROR(__xludf.DUMMYFUNCTION("""COMPUTED_VALUE"""),"PROBLEMAS DE SALUD")</f>
        <v>PROBLEMAS DE SALUD</v>
      </c>
      <c r="V190" s="64" t="str">
        <f>IFERROR(__xludf.DUMMYFUNCTION("""COMPUTED_VALUE"""),"OLVIDO LA LLAVE")</f>
        <v>OLVIDO LA LLAVE</v>
      </c>
      <c r="W190" s="64" t="str">
        <f>IFERROR(__xludf.DUMMYFUNCTION("""COMPUTED_VALUE"""),"CARGA SOBREDIMENSIONADA")</f>
        <v>CARGA SOBREDIMENSIONADA</v>
      </c>
      <c r="X190" s="64" t="str">
        <f>IFERROR(__xludf.DUMMYFUNCTION("""COMPUTED_VALUE"""),"VEHÍCULO ABANDONADO")</f>
        <v>VEHÍCULO ABANDONADO</v>
      </c>
      <c r="Y190" s="64" t="str">
        <f>IFERROR(__xludf.DUMMYFUNCTION("""COMPUTED_VALUE"""),"DESPRENDIMIENTO")</f>
        <v>DESPRENDIMIENTO</v>
      </c>
      <c r="Z190" s="64" t="str">
        <f>IFERROR(__xludf.DUMMYFUNCTION("""COMPUTED_VALUE"""),"CAÍDA DE POSTE")</f>
        <v>CAÍDA DE POSTE</v>
      </c>
      <c r="AA190" s="64" t="str">
        <f>IFERROR(__xludf.DUMMYFUNCTION("""COMPUTED_VALUE"""),"CAÍDA DE RAMA")</f>
        <v>CAÍDA DE RAMA</v>
      </c>
      <c r="AB190" s="64" t="str">
        <f>IFERROR(__xludf.DUMMYFUNCTION("""COMPUTED_VALUE"""),"OPERATIVO DGT")</f>
        <v>OPERATIVO DGT</v>
      </c>
      <c r="AC190" s="64" t="str">
        <f>IFERROR(__xludf.DUMMYFUNCTION("""COMPUTED_VALUE"""),"OPERATIVO PMT")</f>
        <v>OPERATIVO PMT</v>
      </c>
      <c r="AD190" s="64" t="str">
        <f>IFERROR(__xludf.DUMMYFUNCTION("""COMPUTED_VALUE"""),"APOYO A DIGEF")</f>
        <v>APOYO A DIGEF</v>
      </c>
      <c r="AE190" s="64" t="str">
        <f>IFERROR(__xludf.DUMMYFUNCTION("""COMPUTED_VALUE"""),"OPERATIVO PNC TRANSITO")</f>
        <v>OPERATIVO PNC TRANSITO</v>
      </c>
      <c r="AF190" s="64" t="str">
        <f>IFERROR(__xludf.DUMMYFUNCTION("""COMPUTED_VALUE"""),"SOBRECARGA ")</f>
        <v>SOBRECARGA </v>
      </c>
      <c r="AG190" s="64" t="str">
        <f>IFERROR(__xludf.DUMMYFUNCTION("""COMPUTED_VALUE"""),"OPERATIVO EN CONJUNTO")</f>
        <v>OPERATIVO EN CONJUNTO</v>
      </c>
      <c r="AH190" s="64" t="str">
        <f>IFERROR(__xludf.DUMMYFUNCTION("""COMPUTED_VALUE"""),"PUESTO DE ATENCION AL USUARIO")</f>
        <v>PUESTO DE ATENCION AL USUARIO</v>
      </c>
      <c r="AI190" s="64" t="str">
        <f>IFERROR(__xludf.DUMMYFUNCTION("""COMPUTED_VALUE"""),"INCENDIO EN RUTA")</f>
        <v>INCENDIO EN RUTA</v>
      </c>
      <c r="AJ190" s="64" t="str">
        <f>IFERROR(__xludf.DUMMYFUNCTION("""COMPUTED_VALUE"""),"APOYO ANTORCHA ")</f>
        <v>APOYO ANTORCHA </v>
      </c>
    </row>
    <row r="191">
      <c r="B191" s="64" t="s">
        <v>38</v>
      </c>
      <c r="C191" s="64" t="str">
        <f>IFERROR(__xludf.DUMMYFUNCTION(" TRANSPOSE( unique ( QUERY(DATOPRO,""select Col2 where Col1 = '""&amp;B191&amp;""'"")))"),"ATAQUE ARMADO")</f>
        <v>ATAQUE ARMADO</v>
      </c>
      <c r="D191" s="64" t="str">
        <f>IFERROR(__xludf.DUMMYFUNCTION("""COMPUTED_VALUE"""),"DESBALANCE DE CARGA")</f>
        <v>DESBALANCE DE CARGA</v>
      </c>
      <c r="E191" s="64" t="str">
        <f>IFERROR(__xludf.DUMMYFUNCTION("""COMPUTED_VALUE"""),"PERSONA FALLECIDA")</f>
        <v>PERSONA FALLECIDA</v>
      </c>
      <c r="F191" s="64" t="str">
        <f>IFERROR(__xludf.DUMMYFUNCTION("""COMPUTED_VALUE"""),"DESPRENDIMIENTO DE NEUMATICO")</f>
        <v>DESPRENDIMIENTO DE NEUMATICO</v>
      </c>
      <c r="G191" s="64" t="str">
        <f>IFERROR(__xludf.DUMMYFUNCTION("""COMPUTED_VALUE"""),"SALIDA DE PISTA")</f>
        <v>SALIDA DE PISTA</v>
      </c>
      <c r="H191" s="64" t="str">
        <f>IFERROR(__xludf.DUMMYFUNCTION("""COMPUTED_VALUE"""),"DESPRENDIMIENTO DE CONTENEDOR")</f>
        <v>DESPRENDIMIENTO DE CONTENEDOR</v>
      </c>
      <c r="I191" s="64" t="str">
        <f>IFERROR(__xludf.DUMMYFUNCTION("""COMPUTED_VALUE"""),"CAÍDA DE CARGA")</f>
        <v>CAÍDA DE CARGA</v>
      </c>
      <c r="J191" s="64" t="str">
        <f>IFERROR(__xludf.DUMMYFUNCTION("""COMPUTED_VALUE"""),"CHOQUE")</f>
        <v>CHOQUE</v>
      </c>
      <c r="K191" s="64" t="str">
        <f>IFERROR(__xludf.DUMMYFUNCTION("""COMPUTED_VALUE"""),"COLISIÓN")</f>
        <v>COLISIÓN</v>
      </c>
      <c r="L191" s="64" t="str">
        <f>IFERROR(__xludf.DUMMYFUNCTION("""COMPUTED_VALUE"""),"COLISIÓN MÚLTIPLE")</f>
        <v>COLISIÓN MÚLTIPLE</v>
      </c>
      <c r="M191" s="64" t="str">
        <f>IFERROR(__xludf.DUMMYFUNCTION("""COMPUTED_VALUE"""),"DERRAPE")</f>
        <v>DERRAPE</v>
      </c>
      <c r="N191" s="64" t="str">
        <f>IFERROR(__xludf.DUMMYFUNCTION("""COMPUTED_VALUE"""),"VEHÍCULO INCENDIADO")</f>
        <v>VEHÍCULO INCENDIADO</v>
      </c>
      <c r="O191" s="64" t="str">
        <f>IFERROR(__xludf.DUMMYFUNCTION("""COMPUTED_VALUE"""),"VUELCO")</f>
        <v>VUELCO</v>
      </c>
      <c r="P191" s="64" t="str">
        <f>IFERROR(__xludf.DUMMYFUNCTION("""COMPUTED_VALUE"""),"DESPRENDIMIENTO")</f>
        <v>DESPRENDIMIENTO</v>
      </c>
      <c r="Q191" s="64" t="str">
        <f>IFERROR(__xludf.DUMMYFUNCTION("""COMPUTED_VALUE"""),"CAÍDA DE ÁRBOL")</f>
        <v>CAÍDA DE ÁRBOL</v>
      </c>
      <c r="R191" s="64" t="str">
        <f>IFERROR(__xludf.DUMMYFUNCTION("""COMPUTED_VALUE"""),"DESPRENDIMIENTO DE EJE")</f>
        <v>DESPRENDIMIENTO DE EJE</v>
      </c>
      <c r="S191" s="64" t="str">
        <f>IFERROR(__xludf.DUMMYFUNCTION("""COMPUTED_VALUE"""),"PERSONA ATROPELLADA")</f>
        <v>PERSONA ATROPELLADA</v>
      </c>
    </row>
    <row r="192">
      <c r="B192" s="64" t="s">
        <v>38</v>
      </c>
      <c r="C192" s="64" t="str">
        <f>IFERROR(__xludf.DUMMYFUNCTION(" TRANSPOSE( unique ( QUERY(DATOPRO,""select Col2 where Col1 = '""&amp;B192&amp;""'"")))"),"ATAQUE ARMADO")</f>
        <v>ATAQUE ARMADO</v>
      </c>
      <c r="D192" s="64" t="str">
        <f>IFERROR(__xludf.DUMMYFUNCTION("""COMPUTED_VALUE"""),"DESBALANCE DE CARGA")</f>
        <v>DESBALANCE DE CARGA</v>
      </c>
      <c r="E192" s="64" t="str">
        <f>IFERROR(__xludf.DUMMYFUNCTION("""COMPUTED_VALUE"""),"PERSONA FALLECIDA")</f>
        <v>PERSONA FALLECIDA</v>
      </c>
      <c r="F192" s="64" t="str">
        <f>IFERROR(__xludf.DUMMYFUNCTION("""COMPUTED_VALUE"""),"DESPRENDIMIENTO DE NEUMATICO")</f>
        <v>DESPRENDIMIENTO DE NEUMATICO</v>
      </c>
      <c r="G192" s="64" t="str">
        <f>IFERROR(__xludf.DUMMYFUNCTION("""COMPUTED_VALUE"""),"SALIDA DE PISTA")</f>
        <v>SALIDA DE PISTA</v>
      </c>
      <c r="H192" s="64" t="str">
        <f>IFERROR(__xludf.DUMMYFUNCTION("""COMPUTED_VALUE"""),"DESPRENDIMIENTO DE CONTENEDOR")</f>
        <v>DESPRENDIMIENTO DE CONTENEDOR</v>
      </c>
      <c r="I192" s="64" t="str">
        <f>IFERROR(__xludf.DUMMYFUNCTION("""COMPUTED_VALUE"""),"CAÍDA DE CARGA")</f>
        <v>CAÍDA DE CARGA</v>
      </c>
      <c r="J192" s="64" t="str">
        <f>IFERROR(__xludf.DUMMYFUNCTION("""COMPUTED_VALUE"""),"CHOQUE")</f>
        <v>CHOQUE</v>
      </c>
      <c r="K192" s="64" t="str">
        <f>IFERROR(__xludf.DUMMYFUNCTION("""COMPUTED_VALUE"""),"COLISIÓN")</f>
        <v>COLISIÓN</v>
      </c>
      <c r="L192" s="64" t="str">
        <f>IFERROR(__xludf.DUMMYFUNCTION("""COMPUTED_VALUE"""),"COLISIÓN MÚLTIPLE")</f>
        <v>COLISIÓN MÚLTIPLE</v>
      </c>
      <c r="M192" s="64" t="str">
        <f>IFERROR(__xludf.DUMMYFUNCTION("""COMPUTED_VALUE"""),"DERRAPE")</f>
        <v>DERRAPE</v>
      </c>
      <c r="N192" s="64" t="str">
        <f>IFERROR(__xludf.DUMMYFUNCTION("""COMPUTED_VALUE"""),"VEHÍCULO INCENDIADO")</f>
        <v>VEHÍCULO INCENDIADO</v>
      </c>
      <c r="O192" s="64" t="str">
        <f>IFERROR(__xludf.DUMMYFUNCTION("""COMPUTED_VALUE"""),"VUELCO")</f>
        <v>VUELCO</v>
      </c>
      <c r="P192" s="64" t="str">
        <f>IFERROR(__xludf.DUMMYFUNCTION("""COMPUTED_VALUE"""),"DESPRENDIMIENTO")</f>
        <v>DESPRENDIMIENTO</v>
      </c>
      <c r="Q192" s="64" t="str">
        <f>IFERROR(__xludf.DUMMYFUNCTION("""COMPUTED_VALUE"""),"CAÍDA DE ÁRBOL")</f>
        <v>CAÍDA DE ÁRBOL</v>
      </c>
      <c r="R192" s="64" t="str">
        <f>IFERROR(__xludf.DUMMYFUNCTION("""COMPUTED_VALUE"""),"DESPRENDIMIENTO DE EJE")</f>
        <v>DESPRENDIMIENTO DE EJE</v>
      </c>
      <c r="S192" s="64" t="str">
        <f>IFERROR(__xludf.DUMMYFUNCTION("""COMPUTED_VALUE"""),"PERSONA ATROPELLADA")</f>
        <v>PERSONA ATROPELLADA</v>
      </c>
    </row>
    <row r="193">
      <c r="B193" s="64" t="s">
        <v>54</v>
      </c>
      <c r="C193" s="64" t="str">
        <f>IFERROR(__xludf.DUMMYFUNCTION(" TRANSPOSE( unique ( QUERY(DATOPRO,""select Col2 where Col1 = '""&amp;B193&amp;""'"")))"),"PINCHAZO")</f>
        <v>PINCHAZO</v>
      </c>
      <c r="D193" s="64" t="str">
        <f>IFERROR(__xludf.DUMMYFUNCTION("""COMPUTED_VALUE"""),"TRABAJOS DE CARRETERA")</f>
        <v>TRABAJOS DE CARRETERA</v>
      </c>
      <c r="E193" s="64" t="str">
        <f>IFERROR(__xludf.DUMMYFUNCTION("""COMPUTED_VALUE"""),"CONSIGNACIÓN")</f>
        <v>CONSIGNACIÓN</v>
      </c>
      <c r="F193" s="64" t="str">
        <f>IFERROR(__xludf.DUMMYFUNCTION("""COMPUTED_VALUE"""),"DERRAME")</f>
        <v>DERRAME</v>
      </c>
      <c r="G193" s="64" t="str">
        <f>IFERROR(__xludf.DUMMYFUNCTION("""COMPUTED_VALUE"""),"CALENTAMIENTO")</f>
        <v>CALENTAMIENTO</v>
      </c>
      <c r="H193" s="64" t="str">
        <f>IFERROR(__xludf.DUMMYFUNCTION("""COMPUTED_VALUE"""),"ESCOLTANDO")</f>
        <v>ESCOLTANDO</v>
      </c>
      <c r="I193" s="64" t="str">
        <f>IFERROR(__xludf.DUMMYFUNCTION("""COMPUTED_VALUE"""),"FALTA DE COMBUSTIBLE")</f>
        <v>FALTA DE COMBUSTIBLE</v>
      </c>
      <c r="J193" s="64" t="str">
        <f>IFERROR(__xludf.DUMMYFUNCTION("""COMPUTED_VALUE"""),"DESPERFECTOS MECÁNICOS")</f>
        <v>DESPERFECTOS MECÁNICOS</v>
      </c>
      <c r="K193" s="64" t="str">
        <f>IFERROR(__xludf.DUMMYFUNCTION("""COMPUTED_VALUE"""),"LLAMADA DE ATENCIÓN")</f>
        <v>LLAMADA DE ATENCIÓN</v>
      </c>
      <c r="L193" s="64" t="str">
        <f>IFERROR(__xludf.DUMMYFUNCTION("""COMPUTED_VALUE"""),"OPERATIVOS")</f>
        <v>OPERATIVOS</v>
      </c>
      <c r="M193" s="64" t="str">
        <f>IFERROR(__xludf.DUMMYFUNCTION("""COMPUTED_VALUE"""),"SANCIÓN")</f>
        <v>SANCIÓN</v>
      </c>
      <c r="N193" s="64" t="str">
        <f>IFERROR(__xludf.DUMMYFUNCTION("""COMPUTED_VALUE"""),"SISTEMA ELECTRICO")</f>
        <v>SISTEMA ELECTRICO</v>
      </c>
      <c r="O193" s="64" t="str">
        <f>IFERROR(__xludf.DUMMYFUNCTION("""COMPUTED_VALUE"""),"ASISTENCIA AL USUARIO")</f>
        <v>ASISTENCIA AL USUARIO</v>
      </c>
      <c r="P193" s="64" t="str">
        <f>IFERROR(__xludf.DUMMYFUNCTION("""COMPUTED_VALUE"""),"DOBLE REMOLQUE")</f>
        <v>DOBLE REMOLQUE</v>
      </c>
      <c r="Q193" s="64" t="str">
        <f>IFERROR(__xludf.DUMMYFUNCTION("""COMPUTED_VALUE"""),"SINAPRESE")</f>
        <v>SINAPRESE</v>
      </c>
      <c r="R193" s="64" t="str">
        <f>IFERROR(__xludf.DUMMYFUNCTION("""COMPUTED_VALUE"""),"APOYO ATLETISMO")</f>
        <v>APOYO ATLETISMO</v>
      </c>
      <c r="S193" s="64" t="str">
        <f>IFERROR(__xludf.DUMMYFUNCTION("""COMPUTED_VALUE"""),"APOYO A CICLISMO")</f>
        <v>APOYO A CICLISMO</v>
      </c>
      <c r="T193" s="64" t="str">
        <f>IFERROR(__xludf.DUMMYFUNCTION("""COMPUTED_VALUE"""),"DESCARGA DE BATERÍA")</f>
        <v>DESCARGA DE BATERÍA</v>
      </c>
      <c r="U193" s="64" t="str">
        <f>IFERROR(__xludf.DUMMYFUNCTION("""COMPUTED_VALUE"""),"PROBLEMAS DE SALUD")</f>
        <v>PROBLEMAS DE SALUD</v>
      </c>
      <c r="V193" s="64" t="str">
        <f>IFERROR(__xludf.DUMMYFUNCTION("""COMPUTED_VALUE"""),"OLVIDO LA LLAVE")</f>
        <v>OLVIDO LA LLAVE</v>
      </c>
      <c r="W193" s="64" t="str">
        <f>IFERROR(__xludf.DUMMYFUNCTION("""COMPUTED_VALUE"""),"CARGA SOBREDIMENSIONADA")</f>
        <v>CARGA SOBREDIMENSIONADA</v>
      </c>
      <c r="X193" s="64" t="str">
        <f>IFERROR(__xludf.DUMMYFUNCTION("""COMPUTED_VALUE"""),"VEHÍCULO ABANDONADO")</f>
        <v>VEHÍCULO ABANDONADO</v>
      </c>
      <c r="Y193" s="64" t="str">
        <f>IFERROR(__xludf.DUMMYFUNCTION("""COMPUTED_VALUE"""),"DESPRENDIMIENTO")</f>
        <v>DESPRENDIMIENTO</v>
      </c>
      <c r="Z193" s="64" t="str">
        <f>IFERROR(__xludf.DUMMYFUNCTION("""COMPUTED_VALUE"""),"CAÍDA DE POSTE")</f>
        <v>CAÍDA DE POSTE</v>
      </c>
      <c r="AA193" s="64" t="str">
        <f>IFERROR(__xludf.DUMMYFUNCTION("""COMPUTED_VALUE"""),"CAÍDA DE RAMA")</f>
        <v>CAÍDA DE RAMA</v>
      </c>
      <c r="AB193" s="64" t="str">
        <f>IFERROR(__xludf.DUMMYFUNCTION("""COMPUTED_VALUE"""),"OPERATIVO DGT")</f>
        <v>OPERATIVO DGT</v>
      </c>
      <c r="AC193" s="64" t="str">
        <f>IFERROR(__xludf.DUMMYFUNCTION("""COMPUTED_VALUE"""),"OPERATIVO PMT")</f>
        <v>OPERATIVO PMT</v>
      </c>
      <c r="AD193" s="64" t="str">
        <f>IFERROR(__xludf.DUMMYFUNCTION("""COMPUTED_VALUE"""),"APOYO A DIGEF")</f>
        <v>APOYO A DIGEF</v>
      </c>
      <c r="AE193" s="64" t="str">
        <f>IFERROR(__xludf.DUMMYFUNCTION("""COMPUTED_VALUE"""),"OPERATIVO PNC TRANSITO")</f>
        <v>OPERATIVO PNC TRANSITO</v>
      </c>
      <c r="AF193" s="64" t="str">
        <f>IFERROR(__xludf.DUMMYFUNCTION("""COMPUTED_VALUE"""),"SOBRECARGA ")</f>
        <v>SOBRECARGA </v>
      </c>
      <c r="AG193" s="64" t="str">
        <f>IFERROR(__xludf.DUMMYFUNCTION("""COMPUTED_VALUE"""),"OPERATIVO EN CONJUNTO")</f>
        <v>OPERATIVO EN CONJUNTO</v>
      </c>
      <c r="AH193" s="64" t="str">
        <f>IFERROR(__xludf.DUMMYFUNCTION("""COMPUTED_VALUE"""),"PUESTO DE ATENCION AL USUARIO")</f>
        <v>PUESTO DE ATENCION AL USUARIO</v>
      </c>
      <c r="AI193" s="64" t="str">
        <f>IFERROR(__xludf.DUMMYFUNCTION("""COMPUTED_VALUE"""),"INCENDIO EN RUTA")</f>
        <v>INCENDIO EN RUTA</v>
      </c>
      <c r="AJ193" s="64" t="str">
        <f>IFERROR(__xludf.DUMMYFUNCTION("""COMPUTED_VALUE"""),"APOYO ANTORCHA ")</f>
        <v>APOYO ANTORCHA </v>
      </c>
    </row>
    <row r="194">
      <c r="B194" s="64"/>
      <c r="C194" s="64" t="str">
        <f>IFERROR(__xludf.DUMMYFUNCTION(" TRANSPOSE( unique ( QUERY(DATOPRO,""select Col2 where Col1 = '""&amp;B194&amp;""'"")))"),"")</f>
        <v/>
      </c>
    </row>
    <row r="195">
      <c r="B195" s="64" t="s">
        <v>38</v>
      </c>
      <c r="C195" s="64" t="str">
        <f>IFERROR(__xludf.DUMMYFUNCTION(" TRANSPOSE( unique ( QUERY(DATOPRO,""select Col2 where Col1 = '""&amp;B195&amp;""'"")))"),"ATAQUE ARMADO")</f>
        <v>ATAQUE ARMADO</v>
      </c>
      <c r="D195" s="64" t="str">
        <f>IFERROR(__xludf.DUMMYFUNCTION("""COMPUTED_VALUE"""),"DESBALANCE DE CARGA")</f>
        <v>DESBALANCE DE CARGA</v>
      </c>
      <c r="E195" s="64" t="str">
        <f>IFERROR(__xludf.DUMMYFUNCTION("""COMPUTED_VALUE"""),"PERSONA FALLECIDA")</f>
        <v>PERSONA FALLECIDA</v>
      </c>
      <c r="F195" s="64" t="str">
        <f>IFERROR(__xludf.DUMMYFUNCTION("""COMPUTED_VALUE"""),"DESPRENDIMIENTO DE NEUMATICO")</f>
        <v>DESPRENDIMIENTO DE NEUMATICO</v>
      </c>
      <c r="G195" s="64" t="str">
        <f>IFERROR(__xludf.DUMMYFUNCTION("""COMPUTED_VALUE"""),"SALIDA DE PISTA")</f>
        <v>SALIDA DE PISTA</v>
      </c>
      <c r="H195" s="64" t="str">
        <f>IFERROR(__xludf.DUMMYFUNCTION("""COMPUTED_VALUE"""),"DESPRENDIMIENTO DE CONTENEDOR")</f>
        <v>DESPRENDIMIENTO DE CONTENEDOR</v>
      </c>
      <c r="I195" s="64" t="str">
        <f>IFERROR(__xludf.DUMMYFUNCTION("""COMPUTED_VALUE"""),"CAÍDA DE CARGA")</f>
        <v>CAÍDA DE CARGA</v>
      </c>
      <c r="J195" s="64" t="str">
        <f>IFERROR(__xludf.DUMMYFUNCTION("""COMPUTED_VALUE"""),"CHOQUE")</f>
        <v>CHOQUE</v>
      </c>
      <c r="K195" s="64" t="str">
        <f>IFERROR(__xludf.DUMMYFUNCTION("""COMPUTED_VALUE"""),"COLISIÓN")</f>
        <v>COLISIÓN</v>
      </c>
      <c r="L195" s="64" t="str">
        <f>IFERROR(__xludf.DUMMYFUNCTION("""COMPUTED_VALUE"""),"COLISIÓN MÚLTIPLE")</f>
        <v>COLISIÓN MÚLTIPLE</v>
      </c>
      <c r="M195" s="64" t="str">
        <f>IFERROR(__xludf.DUMMYFUNCTION("""COMPUTED_VALUE"""),"DERRAPE")</f>
        <v>DERRAPE</v>
      </c>
      <c r="N195" s="64" t="str">
        <f>IFERROR(__xludf.DUMMYFUNCTION("""COMPUTED_VALUE"""),"VEHÍCULO INCENDIADO")</f>
        <v>VEHÍCULO INCENDIADO</v>
      </c>
      <c r="O195" s="64" t="str">
        <f>IFERROR(__xludf.DUMMYFUNCTION("""COMPUTED_VALUE"""),"VUELCO")</f>
        <v>VUELCO</v>
      </c>
      <c r="P195" s="64" t="str">
        <f>IFERROR(__xludf.DUMMYFUNCTION("""COMPUTED_VALUE"""),"DESPRENDIMIENTO")</f>
        <v>DESPRENDIMIENTO</v>
      </c>
      <c r="Q195" s="64" t="str">
        <f>IFERROR(__xludf.DUMMYFUNCTION("""COMPUTED_VALUE"""),"CAÍDA DE ÁRBOL")</f>
        <v>CAÍDA DE ÁRBOL</v>
      </c>
      <c r="R195" s="64" t="str">
        <f>IFERROR(__xludf.DUMMYFUNCTION("""COMPUTED_VALUE"""),"DESPRENDIMIENTO DE EJE")</f>
        <v>DESPRENDIMIENTO DE EJE</v>
      </c>
      <c r="S195" s="64" t="str">
        <f>IFERROR(__xludf.DUMMYFUNCTION("""COMPUTED_VALUE"""),"PERSONA ATROPELLADA")</f>
        <v>PERSONA ATROPELLADA</v>
      </c>
    </row>
    <row r="196">
      <c r="B196" s="64" t="s">
        <v>54</v>
      </c>
      <c r="C196" s="64" t="str">
        <f>IFERROR(__xludf.DUMMYFUNCTION(" TRANSPOSE( unique ( QUERY(DATOPRO,""select Col2 where Col1 = '""&amp;B196&amp;""'"")))"),"PINCHAZO")</f>
        <v>PINCHAZO</v>
      </c>
      <c r="D196" s="64" t="str">
        <f>IFERROR(__xludf.DUMMYFUNCTION("""COMPUTED_VALUE"""),"TRABAJOS DE CARRETERA")</f>
        <v>TRABAJOS DE CARRETERA</v>
      </c>
      <c r="E196" s="64" t="str">
        <f>IFERROR(__xludf.DUMMYFUNCTION("""COMPUTED_VALUE"""),"CONSIGNACIÓN")</f>
        <v>CONSIGNACIÓN</v>
      </c>
      <c r="F196" s="64" t="str">
        <f>IFERROR(__xludf.DUMMYFUNCTION("""COMPUTED_VALUE"""),"DERRAME")</f>
        <v>DERRAME</v>
      </c>
      <c r="G196" s="64" t="str">
        <f>IFERROR(__xludf.DUMMYFUNCTION("""COMPUTED_VALUE"""),"CALENTAMIENTO")</f>
        <v>CALENTAMIENTO</v>
      </c>
      <c r="H196" s="64" t="str">
        <f>IFERROR(__xludf.DUMMYFUNCTION("""COMPUTED_VALUE"""),"ESCOLTANDO")</f>
        <v>ESCOLTANDO</v>
      </c>
      <c r="I196" s="64" t="str">
        <f>IFERROR(__xludf.DUMMYFUNCTION("""COMPUTED_VALUE"""),"FALTA DE COMBUSTIBLE")</f>
        <v>FALTA DE COMBUSTIBLE</v>
      </c>
      <c r="J196" s="64" t="str">
        <f>IFERROR(__xludf.DUMMYFUNCTION("""COMPUTED_VALUE"""),"DESPERFECTOS MECÁNICOS")</f>
        <v>DESPERFECTOS MECÁNICOS</v>
      </c>
      <c r="K196" s="64" t="str">
        <f>IFERROR(__xludf.DUMMYFUNCTION("""COMPUTED_VALUE"""),"LLAMADA DE ATENCIÓN")</f>
        <v>LLAMADA DE ATENCIÓN</v>
      </c>
      <c r="L196" s="64" t="str">
        <f>IFERROR(__xludf.DUMMYFUNCTION("""COMPUTED_VALUE"""),"OPERATIVOS")</f>
        <v>OPERATIVOS</v>
      </c>
      <c r="M196" s="64" t="str">
        <f>IFERROR(__xludf.DUMMYFUNCTION("""COMPUTED_VALUE"""),"SANCIÓN")</f>
        <v>SANCIÓN</v>
      </c>
      <c r="N196" s="64" t="str">
        <f>IFERROR(__xludf.DUMMYFUNCTION("""COMPUTED_VALUE"""),"SISTEMA ELECTRICO")</f>
        <v>SISTEMA ELECTRICO</v>
      </c>
      <c r="O196" s="64" t="str">
        <f>IFERROR(__xludf.DUMMYFUNCTION("""COMPUTED_VALUE"""),"ASISTENCIA AL USUARIO")</f>
        <v>ASISTENCIA AL USUARIO</v>
      </c>
      <c r="P196" s="64" t="str">
        <f>IFERROR(__xludf.DUMMYFUNCTION("""COMPUTED_VALUE"""),"DOBLE REMOLQUE")</f>
        <v>DOBLE REMOLQUE</v>
      </c>
      <c r="Q196" s="64" t="str">
        <f>IFERROR(__xludf.DUMMYFUNCTION("""COMPUTED_VALUE"""),"SINAPRESE")</f>
        <v>SINAPRESE</v>
      </c>
      <c r="R196" s="64" t="str">
        <f>IFERROR(__xludf.DUMMYFUNCTION("""COMPUTED_VALUE"""),"APOYO ATLETISMO")</f>
        <v>APOYO ATLETISMO</v>
      </c>
      <c r="S196" s="64" t="str">
        <f>IFERROR(__xludf.DUMMYFUNCTION("""COMPUTED_VALUE"""),"APOYO A CICLISMO")</f>
        <v>APOYO A CICLISMO</v>
      </c>
      <c r="T196" s="64" t="str">
        <f>IFERROR(__xludf.DUMMYFUNCTION("""COMPUTED_VALUE"""),"DESCARGA DE BATERÍA")</f>
        <v>DESCARGA DE BATERÍA</v>
      </c>
      <c r="U196" s="64" t="str">
        <f>IFERROR(__xludf.DUMMYFUNCTION("""COMPUTED_VALUE"""),"PROBLEMAS DE SALUD")</f>
        <v>PROBLEMAS DE SALUD</v>
      </c>
      <c r="V196" s="64" t="str">
        <f>IFERROR(__xludf.DUMMYFUNCTION("""COMPUTED_VALUE"""),"OLVIDO LA LLAVE")</f>
        <v>OLVIDO LA LLAVE</v>
      </c>
      <c r="W196" s="64" t="str">
        <f>IFERROR(__xludf.DUMMYFUNCTION("""COMPUTED_VALUE"""),"CARGA SOBREDIMENSIONADA")</f>
        <v>CARGA SOBREDIMENSIONADA</v>
      </c>
      <c r="X196" s="64" t="str">
        <f>IFERROR(__xludf.DUMMYFUNCTION("""COMPUTED_VALUE"""),"VEHÍCULO ABANDONADO")</f>
        <v>VEHÍCULO ABANDONADO</v>
      </c>
      <c r="Y196" s="64" t="str">
        <f>IFERROR(__xludf.DUMMYFUNCTION("""COMPUTED_VALUE"""),"DESPRENDIMIENTO")</f>
        <v>DESPRENDIMIENTO</v>
      </c>
      <c r="Z196" s="64" t="str">
        <f>IFERROR(__xludf.DUMMYFUNCTION("""COMPUTED_VALUE"""),"CAÍDA DE POSTE")</f>
        <v>CAÍDA DE POSTE</v>
      </c>
      <c r="AA196" s="64" t="str">
        <f>IFERROR(__xludf.DUMMYFUNCTION("""COMPUTED_VALUE"""),"CAÍDA DE RAMA")</f>
        <v>CAÍDA DE RAMA</v>
      </c>
      <c r="AB196" s="64" t="str">
        <f>IFERROR(__xludf.DUMMYFUNCTION("""COMPUTED_VALUE"""),"OPERATIVO DGT")</f>
        <v>OPERATIVO DGT</v>
      </c>
      <c r="AC196" s="64" t="str">
        <f>IFERROR(__xludf.DUMMYFUNCTION("""COMPUTED_VALUE"""),"OPERATIVO PMT")</f>
        <v>OPERATIVO PMT</v>
      </c>
      <c r="AD196" s="64" t="str">
        <f>IFERROR(__xludf.DUMMYFUNCTION("""COMPUTED_VALUE"""),"APOYO A DIGEF")</f>
        <v>APOYO A DIGEF</v>
      </c>
      <c r="AE196" s="64" t="str">
        <f>IFERROR(__xludf.DUMMYFUNCTION("""COMPUTED_VALUE"""),"OPERATIVO PNC TRANSITO")</f>
        <v>OPERATIVO PNC TRANSITO</v>
      </c>
      <c r="AF196" s="64" t="str">
        <f>IFERROR(__xludf.DUMMYFUNCTION("""COMPUTED_VALUE"""),"SOBRECARGA ")</f>
        <v>SOBRECARGA </v>
      </c>
      <c r="AG196" s="64" t="str">
        <f>IFERROR(__xludf.DUMMYFUNCTION("""COMPUTED_VALUE"""),"OPERATIVO EN CONJUNTO")</f>
        <v>OPERATIVO EN CONJUNTO</v>
      </c>
      <c r="AH196" s="64" t="str">
        <f>IFERROR(__xludf.DUMMYFUNCTION("""COMPUTED_VALUE"""),"PUESTO DE ATENCION AL USUARIO")</f>
        <v>PUESTO DE ATENCION AL USUARIO</v>
      </c>
      <c r="AI196" s="64" t="str">
        <f>IFERROR(__xludf.DUMMYFUNCTION("""COMPUTED_VALUE"""),"INCENDIO EN RUTA")</f>
        <v>INCENDIO EN RUTA</v>
      </c>
      <c r="AJ196" s="64" t="str">
        <f>IFERROR(__xludf.DUMMYFUNCTION("""COMPUTED_VALUE"""),"APOYO ANTORCHA ")</f>
        <v>APOYO ANTORCHA </v>
      </c>
    </row>
    <row r="197">
      <c r="B197" s="64" t="s">
        <v>54</v>
      </c>
      <c r="C197" s="64" t="str">
        <f>IFERROR(__xludf.DUMMYFUNCTION(" TRANSPOSE( unique ( QUERY(DATOPRO,""select Col2 where Col1 = '""&amp;B197&amp;""'"")))"),"PINCHAZO")</f>
        <v>PINCHAZO</v>
      </c>
      <c r="D197" s="64" t="str">
        <f>IFERROR(__xludf.DUMMYFUNCTION("""COMPUTED_VALUE"""),"TRABAJOS DE CARRETERA")</f>
        <v>TRABAJOS DE CARRETERA</v>
      </c>
      <c r="E197" s="64" t="str">
        <f>IFERROR(__xludf.DUMMYFUNCTION("""COMPUTED_VALUE"""),"CONSIGNACIÓN")</f>
        <v>CONSIGNACIÓN</v>
      </c>
      <c r="F197" s="64" t="str">
        <f>IFERROR(__xludf.DUMMYFUNCTION("""COMPUTED_VALUE"""),"DERRAME")</f>
        <v>DERRAME</v>
      </c>
      <c r="G197" s="64" t="str">
        <f>IFERROR(__xludf.DUMMYFUNCTION("""COMPUTED_VALUE"""),"CALENTAMIENTO")</f>
        <v>CALENTAMIENTO</v>
      </c>
      <c r="H197" s="64" t="str">
        <f>IFERROR(__xludf.DUMMYFUNCTION("""COMPUTED_VALUE"""),"ESCOLTANDO")</f>
        <v>ESCOLTANDO</v>
      </c>
      <c r="I197" s="64" t="str">
        <f>IFERROR(__xludf.DUMMYFUNCTION("""COMPUTED_VALUE"""),"FALTA DE COMBUSTIBLE")</f>
        <v>FALTA DE COMBUSTIBLE</v>
      </c>
      <c r="J197" s="64" t="str">
        <f>IFERROR(__xludf.DUMMYFUNCTION("""COMPUTED_VALUE"""),"DESPERFECTOS MECÁNICOS")</f>
        <v>DESPERFECTOS MECÁNICOS</v>
      </c>
      <c r="K197" s="64" t="str">
        <f>IFERROR(__xludf.DUMMYFUNCTION("""COMPUTED_VALUE"""),"LLAMADA DE ATENCIÓN")</f>
        <v>LLAMADA DE ATENCIÓN</v>
      </c>
      <c r="L197" s="64" t="str">
        <f>IFERROR(__xludf.DUMMYFUNCTION("""COMPUTED_VALUE"""),"OPERATIVOS")</f>
        <v>OPERATIVOS</v>
      </c>
      <c r="M197" s="64" t="str">
        <f>IFERROR(__xludf.DUMMYFUNCTION("""COMPUTED_VALUE"""),"SANCIÓN")</f>
        <v>SANCIÓN</v>
      </c>
      <c r="N197" s="64" t="str">
        <f>IFERROR(__xludf.DUMMYFUNCTION("""COMPUTED_VALUE"""),"SISTEMA ELECTRICO")</f>
        <v>SISTEMA ELECTRICO</v>
      </c>
      <c r="O197" s="64" t="str">
        <f>IFERROR(__xludf.DUMMYFUNCTION("""COMPUTED_VALUE"""),"ASISTENCIA AL USUARIO")</f>
        <v>ASISTENCIA AL USUARIO</v>
      </c>
      <c r="P197" s="64" t="str">
        <f>IFERROR(__xludf.DUMMYFUNCTION("""COMPUTED_VALUE"""),"DOBLE REMOLQUE")</f>
        <v>DOBLE REMOLQUE</v>
      </c>
      <c r="Q197" s="64" t="str">
        <f>IFERROR(__xludf.DUMMYFUNCTION("""COMPUTED_VALUE"""),"SINAPRESE")</f>
        <v>SINAPRESE</v>
      </c>
      <c r="R197" s="64" t="str">
        <f>IFERROR(__xludf.DUMMYFUNCTION("""COMPUTED_VALUE"""),"APOYO ATLETISMO")</f>
        <v>APOYO ATLETISMO</v>
      </c>
      <c r="S197" s="64" t="str">
        <f>IFERROR(__xludf.DUMMYFUNCTION("""COMPUTED_VALUE"""),"APOYO A CICLISMO")</f>
        <v>APOYO A CICLISMO</v>
      </c>
      <c r="T197" s="64" t="str">
        <f>IFERROR(__xludf.DUMMYFUNCTION("""COMPUTED_VALUE"""),"DESCARGA DE BATERÍA")</f>
        <v>DESCARGA DE BATERÍA</v>
      </c>
      <c r="U197" s="64" t="str">
        <f>IFERROR(__xludf.DUMMYFUNCTION("""COMPUTED_VALUE"""),"PROBLEMAS DE SALUD")</f>
        <v>PROBLEMAS DE SALUD</v>
      </c>
      <c r="V197" s="64" t="str">
        <f>IFERROR(__xludf.DUMMYFUNCTION("""COMPUTED_VALUE"""),"OLVIDO LA LLAVE")</f>
        <v>OLVIDO LA LLAVE</v>
      </c>
      <c r="W197" s="64" t="str">
        <f>IFERROR(__xludf.DUMMYFUNCTION("""COMPUTED_VALUE"""),"CARGA SOBREDIMENSIONADA")</f>
        <v>CARGA SOBREDIMENSIONADA</v>
      </c>
      <c r="X197" s="64" t="str">
        <f>IFERROR(__xludf.DUMMYFUNCTION("""COMPUTED_VALUE"""),"VEHÍCULO ABANDONADO")</f>
        <v>VEHÍCULO ABANDONADO</v>
      </c>
      <c r="Y197" s="64" t="str">
        <f>IFERROR(__xludf.DUMMYFUNCTION("""COMPUTED_VALUE"""),"DESPRENDIMIENTO")</f>
        <v>DESPRENDIMIENTO</v>
      </c>
      <c r="Z197" s="64" t="str">
        <f>IFERROR(__xludf.DUMMYFUNCTION("""COMPUTED_VALUE"""),"CAÍDA DE POSTE")</f>
        <v>CAÍDA DE POSTE</v>
      </c>
      <c r="AA197" s="64" t="str">
        <f>IFERROR(__xludf.DUMMYFUNCTION("""COMPUTED_VALUE"""),"CAÍDA DE RAMA")</f>
        <v>CAÍDA DE RAMA</v>
      </c>
      <c r="AB197" s="64" t="str">
        <f>IFERROR(__xludf.DUMMYFUNCTION("""COMPUTED_VALUE"""),"OPERATIVO DGT")</f>
        <v>OPERATIVO DGT</v>
      </c>
      <c r="AC197" s="64" t="str">
        <f>IFERROR(__xludf.DUMMYFUNCTION("""COMPUTED_VALUE"""),"OPERATIVO PMT")</f>
        <v>OPERATIVO PMT</v>
      </c>
      <c r="AD197" s="64" t="str">
        <f>IFERROR(__xludf.DUMMYFUNCTION("""COMPUTED_VALUE"""),"APOYO A DIGEF")</f>
        <v>APOYO A DIGEF</v>
      </c>
      <c r="AE197" s="64" t="str">
        <f>IFERROR(__xludf.DUMMYFUNCTION("""COMPUTED_VALUE"""),"OPERATIVO PNC TRANSITO")</f>
        <v>OPERATIVO PNC TRANSITO</v>
      </c>
      <c r="AF197" s="64" t="str">
        <f>IFERROR(__xludf.DUMMYFUNCTION("""COMPUTED_VALUE"""),"SOBRECARGA ")</f>
        <v>SOBRECARGA </v>
      </c>
      <c r="AG197" s="64" t="str">
        <f>IFERROR(__xludf.DUMMYFUNCTION("""COMPUTED_VALUE"""),"OPERATIVO EN CONJUNTO")</f>
        <v>OPERATIVO EN CONJUNTO</v>
      </c>
      <c r="AH197" s="64" t="str">
        <f>IFERROR(__xludf.DUMMYFUNCTION("""COMPUTED_VALUE"""),"PUESTO DE ATENCION AL USUARIO")</f>
        <v>PUESTO DE ATENCION AL USUARIO</v>
      </c>
      <c r="AI197" s="64" t="str">
        <f>IFERROR(__xludf.DUMMYFUNCTION("""COMPUTED_VALUE"""),"INCENDIO EN RUTA")</f>
        <v>INCENDIO EN RUTA</v>
      </c>
      <c r="AJ197" s="64" t="str">
        <f>IFERROR(__xludf.DUMMYFUNCTION("""COMPUTED_VALUE"""),"APOYO ANTORCHA ")</f>
        <v>APOYO ANTORCHA </v>
      </c>
    </row>
    <row r="198">
      <c r="B198" s="64" t="s">
        <v>54</v>
      </c>
      <c r="C198" s="64" t="str">
        <f>IFERROR(__xludf.DUMMYFUNCTION(" TRANSPOSE( unique ( QUERY(DATOPRO,""select Col2 where Col1 = '""&amp;B198&amp;""'"")))"),"PINCHAZO")</f>
        <v>PINCHAZO</v>
      </c>
      <c r="D198" s="64" t="str">
        <f>IFERROR(__xludf.DUMMYFUNCTION("""COMPUTED_VALUE"""),"TRABAJOS DE CARRETERA")</f>
        <v>TRABAJOS DE CARRETERA</v>
      </c>
      <c r="E198" s="64" t="str">
        <f>IFERROR(__xludf.DUMMYFUNCTION("""COMPUTED_VALUE"""),"CONSIGNACIÓN")</f>
        <v>CONSIGNACIÓN</v>
      </c>
      <c r="F198" s="64" t="str">
        <f>IFERROR(__xludf.DUMMYFUNCTION("""COMPUTED_VALUE"""),"DERRAME")</f>
        <v>DERRAME</v>
      </c>
      <c r="G198" s="64" t="str">
        <f>IFERROR(__xludf.DUMMYFUNCTION("""COMPUTED_VALUE"""),"CALENTAMIENTO")</f>
        <v>CALENTAMIENTO</v>
      </c>
      <c r="H198" s="64" t="str">
        <f>IFERROR(__xludf.DUMMYFUNCTION("""COMPUTED_VALUE"""),"ESCOLTANDO")</f>
        <v>ESCOLTANDO</v>
      </c>
      <c r="I198" s="64" t="str">
        <f>IFERROR(__xludf.DUMMYFUNCTION("""COMPUTED_VALUE"""),"FALTA DE COMBUSTIBLE")</f>
        <v>FALTA DE COMBUSTIBLE</v>
      </c>
      <c r="J198" s="64" t="str">
        <f>IFERROR(__xludf.DUMMYFUNCTION("""COMPUTED_VALUE"""),"DESPERFECTOS MECÁNICOS")</f>
        <v>DESPERFECTOS MECÁNICOS</v>
      </c>
      <c r="K198" s="64" t="str">
        <f>IFERROR(__xludf.DUMMYFUNCTION("""COMPUTED_VALUE"""),"LLAMADA DE ATENCIÓN")</f>
        <v>LLAMADA DE ATENCIÓN</v>
      </c>
      <c r="L198" s="64" t="str">
        <f>IFERROR(__xludf.DUMMYFUNCTION("""COMPUTED_VALUE"""),"OPERATIVOS")</f>
        <v>OPERATIVOS</v>
      </c>
      <c r="M198" s="64" t="str">
        <f>IFERROR(__xludf.DUMMYFUNCTION("""COMPUTED_VALUE"""),"SANCIÓN")</f>
        <v>SANCIÓN</v>
      </c>
      <c r="N198" s="64" t="str">
        <f>IFERROR(__xludf.DUMMYFUNCTION("""COMPUTED_VALUE"""),"SISTEMA ELECTRICO")</f>
        <v>SISTEMA ELECTRICO</v>
      </c>
      <c r="O198" s="64" t="str">
        <f>IFERROR(__xludf.DUMMYFUNCTION("""COMPUTED_VALUE"""),"ASISTENCIA AL USUARIO")</f>
        <v>ASISTENCIA AL USUARIO</v>
      </c>
      <c r="P198" s="64" t="str">
        <f>IFERROR(__xludf.DUMMYFUNCTION("""COMPUTED_VALUE"""),"DOBLE REMOLQUE")</f>
        <v>DOBLE REMOLQUE</v>
      </c>
      <c r="Q198" s="64" t="str">
        <f>IFERROR(__xludf.DUMMYFUNCTION("""COMPUTED_VALUE"""),"SINAPRESE")</f>
        <v>SINAPRESE</v>
      </c>
      <c r="R198" s="64" t="str">
        <f>IFERROR(__xludf.DUMMYFUNCTION("""COMPUTED_VALUE"""),"APOYO ATLETISMO")</f>
        <v>APOYO ATLETISMO</v>
      </c>
      <c r="S198" s="64" t="str">
        <f>IFERROR(__xludf.DUMMYFUNCTION("""COMPUTED_VALUE"""),"APOYO A CICLISMO")</f>
        <v>APOYO A CICLISMO</v>
      </c>
      <c r="T198" s="64" t="str">
        <f>IFERROR(__xludf.DUMMYFUNCTION("""COMPUTED_VALUE"""),"DESCARGA DE BATERÍA")</f>
        <v>DESCARGA DE BATERÍA</v>
      </c>
      <c r="U198" s="64" t="str">
        <f>IFERROR(__xludf.DUMMYFUNCTION("""COMPUTED_VALUE"""),"PROBLEMAS DE SALUD")</f>
        <v>PROBLEMAS DE SALUD</v>
      </c>
      <c r="V198" s="64" t="str">
        <f>IFERROR(__xludf.DUMMYFUNCTION("""COMPUTED_VALUE"""),"OLVIDO LA LLAVE")</f>
        <v>OLVIDO LA LLAVE</v>
      </c>
      <c r="W198" s="64" t="str">
        <f>IFERROR(__xludf.DUMMYFUNCTION("""COMPUTED_VALUE"""),"CARGA SOBREDIMENSIONADA")</f>
        <v>CARGA SOBREDIMENSIONADA</v>
      </c>
      <c r="X198" s="64" t="str">
        <f>IFERROR(__xludf.DUMMYFUNCTION("""COMPUTED_VALUE"""),"VEHÍCULO ABANDONADO")</f>
        <v>VEHÍCULO ABANDONADO</v>
      </c>
      <c r="Y198" s="64" t="str">
        <f>IFERROR(__xludf.DUMMYFUNCTION("""COMPUTED_VALUE"""),"DESPRENDIMIENTO")</f>
        <v>DESPRENDIMIENTO</v>
      </c>
      <c r="Z198" s="64" t="str">
        <f>IFERROR(__xludf.DUMMYFUNCTION("""COMPUTED_VALUE"""),"CAÍDA DE POSTE")</f>
        <v>CAÍDA DE POSTE</v>
      </c>
      <c r="AA198" s="64" t="str">
        <f>IFERROR(__xludf.DUMMYFUNCTION("""COMPUTED_VALUE"""),"CAÍDA DE RAMA")</f>
        <v>CAÍDA DE RAMA</v>
      </c>
      <c r="AB198" s="64" t="str">
        <f>IFERROR(__xludf.DUMMYFUNCTION("""COMPUTED_VALUE"""),"OPERATIVO DGT")</f>
        <v>OPERATIVO DGT</v>
      </c>
      <c r="AC198" s="64" t="str">
        <f>IFERROR(__xludf.DUMMYFUNCTION("""COMPUTED_VALUE"""),"OPERATIVO PMT")</f>
        <v>OPERATIVO PMT</v>
      </c>
      <c r="AD198" s="64" t="str">
        <f>IFERROR(__xludf.DUMMYFUNCTION("""COMPUTED_VALUE"""),"APOYO A DIGEF")</f>
        <v>APOYO A DIGEF</v>
      </c>
      <c r="AE198" s="64" t="str">
        <f>IFERROR(__xludf.DUMMYFUNCTION("""COMPUTED_VALUE"""),"OPERATIVO PNC TRANSITO")</f>
        <v>OPERATIVO PNC TRANSITO</v>
      </c>
      <c r="AF198" s="64" t="str">
        <f>IFERROR(__xludf.DUMMYFUNCTION("""COMPUTED_VALUE"""),"SOBRECARGA ")</f>
        <v>SOBRECARGA </v>
      </c>
      <c r="AG198" s="64" t="str">
        <f>IFERROR(__xludf.DUMMYFUNCTION("""COMPUTED_VALUE"""),"OPERATIVO EN CONJUNTO")</f>
        <v>OPERATIVO EN CONJUNTO</v>
      </c>
      <c r="AH198" s="64" t="str">
        <f>IFERROR(__xludf.DUMMYFUNCTION("""COMPUTED_VALUE"""),"PUESTO DE ATENCION AL USUARIO")</f>
        <v>PUESTO DE ATENCION AL USUARIO</v>
      </c>
      <c r="AI198" s="64" t="str">
        <f>IFERROR(__xludf.DUMMYFUNCTION("""COMPUTED_VALUE"""),"INCENDIO EN RUTA")</f>
        <v>INCENDIO EN RUTA</v>
      </c>
      <c r="AJ198" s="64" t="str">
        <f>IFERROR(__xludf.DUMMYFUNCTION("""COMPUTED_VALUE"""),"APOYO ANTORCHA ")</f>
        <v>APOYO ANTORCHA </v>
      </c>
    </row>
    <row r="199">
      <c r="B199" s="64" t="s">
        <v>54</v>
      </c>
      <c r="C199" s="64" t="str">
        <f>IFERROR(__xludf.DUMMYFUNCTION(" TRANSPOSE( unique ( QUERY(DATOPRO,""select Col2 where Col1 = '""&amp;B199&amp;""'"")))"),"PINCHAZO")</f>
        <v>PINCHAZO</v>
      </c>
      <c r="D199" s="64" t="str">
        <f>IFERROR(__xludf.DUMMYFUNCTION("""COMPUTED_VALUE"""),"TRABAJOS DE CARRETERA")</f>
        <v>TRABAJOS DE CARRETERA</v>
      </c>
      <c r="E199" s="64" t="str">
        <f>IFERROR(__xludf.DUMMYFUNCTION("""COMPUTED_VALUE"""),"CONSIGNACIÓN")</f>
        <v>CONSIGNACIÓN</v>
      </c>
      <c r="F199" s="64" t="str">
        <f>IFERROR(__xludf.DUMMYFUNCTION("""COMPUTED_VALUE"""),"DERRAME")</f>
        <v>DERRAME</v>
      </c>
      <c r="G199" s="64" t="str">
        <f>IFERROR(__xludf.DUMMYFUNCTION("""COMPUTED_VALUE"""),"CALENTAMIENTO")</f>
        <v>CALENTAMIENTO</v>
      </c>
      <c r="H199" s="64" t="str">
        <f>IFERROR(__xludf.DUMMYFUNCTION("""COMPUTED_VALUE"""),"ESCOLTANDO")</f>
        <v>ESCOLTANDO</v>
      </c>
      <c r="I199" s="64" t="str">
        <f>IFERROR(__xludf.DUMMYFUNCTION("""COMPUTED_VALUE"""),"FALTA DE COMBUSTIBLE")</f>
        <v>FALTA DE COMBUSTIBLE</v>
      </c>
      <c r="J199" s="64" t="str">
        <f>IFERROR(__xludf.DUMMYFUNCTION("""COMPUTED_VALUE"""),"DESPERFECTOS MECÁNICOS")</f>
        <v>DESPERFECTOS MECÁNICOS</v>
      </c>
      <c r="K199" s="64" t="str">
        <f>IFERROR(__xludf.DUMMYFUNCTION("""COMPUTED_VALUE"""),"LLAMADA DE ATENCIÓN")</f>
        <v>LLAMADA DE ATENCIÓN</v>
      </c>
      <c r="L199" s="64" t="str">
        <f>IFERROR(__xludf.DUMMYFUNCTION("""COMPUTED_VALUE"""),"OPERATIVOS")</f>
        <v>OPERATIVOS</v>
      </c>
      <c r="M199" s="64" t="str">
        <f>IFERROR(__xludf.DUMMYFUNCTION("""COMPUTED_VALUE"""),"SANCIÓN")</f>
        <v>SANCIÓN</v>
      </c>
      <c r="N199" s="64" t="str">
        <f>IFERROR(__xludf.DUMMYFUNCTION("""COMPUTED_VALUE"""),"SISTEMA ELECTRICO")</f>
        <v>SISTEMA ELECTRICO</v>
      </c>
      <c r="O199" s="64" t="str">
        <f>IFERROR(__xludf.DUMMYFUNCTION("""COMPUTED_VALUE"""),"ASISTENCIA AL USUARIO")</f>
        <v>ASISTENCIA AL USUARIO</v>
      </c>
      <c r="P199" s="64" t="str">
        <f>IFERROR(__xludf.DUMMYFUNCTION("""COMPUTED_VALUE"""),"DOBLE REMOLQUE")</f>
        <v>DOBLE REMOLQUE</v>
      </c>
      <c r="Q199" s="64" t="str">
        <f>IFERROR(__xludf.DUMMYFUNCTION("""COMPUTED_VALUE"""),"SINAPRESE")</f>
        <v>SINAPRESE</v>
      </c>
      <c r="R199" s="64" t="str">
        <f>IFERROR(__xludf.DUMMYFUNCTION("""COMPUTED_VALUE"""),"APOYO ATLETISMO")</f>
        <v>APOYO ATLETISMO</v>
      </c>
      <c r="S199" s="64" t="str">
        <f>IFERROR(__xludf.DUMMYFUNCTION("""COMPUTED_VALUE"""),"APOYO A CICLISMO")</f>
        <v>APOYO A CICLISMO</v>
      </c>
      <c r="T199" s="64" t="str">
        <f>IFERROR(__xludf.DUMMYFUNCTION("""COMPUTED_VALUE"""),"DESCARGA DE BATERÍA")</f>
        <v>DESCARGA DE BATERÍA</v>
      </c>
      <c r="U199" s="64" t="str">
        <f>IFERROR(__xludf.DUMMYFUNCTION("""COMPUTED_VALUE"""),"PROBLEMAS DE SALUD")</f>
        <v>PROBLEMAS DE SALUD</v>
      </c>
      <c r="V199" s="64" t="str">
        <f>IFERROR(__xludf.DUMMYFUNCTION("""COMPUTED_VALUE"""),"OLVIDO LA LLAVE")</f>
        <v>OLVIDO LA LLAVE</v>
      </c>
      <c r="W199" s="64" t="str">
        <f>IFERROR(__xludf.DUMMYFUNCTION("""COMPUTED_VALUE"""),"CARGA SOBREDIMENSIONADA")</f>
        <v>CARGA SOBREDIMENSIONADA</v>
      </c>
      <c r="X199" s="64" t="str">
        <f>IFERROR(__xludf.DUMMYFUNCTION("""COMPUTED_VALUE"""),"VEHÍCULO ABANDONADO")</f>
        <v>VEHÍCULO ABANDONADO</v>
      </c>
      <c r="Y199" s="64" t="str">
        <f>IFERROR(__xludf.DUMMYFUNCTION("""COMPUTED_VALUE"""),"DESPRENDIMIENTO")</f>
        <v>DESPRENDIMIENTO</v>
      </c>
      <c r="Z199" s="64" t="str">
        <f>IFERROR(__xludf.DUMMYFUNCTION("""COMPUTED_VALUE"""),"CAÍDA DE POSTE")</f>
        <v>CAÍDA DE POSTE</v>
      </c>
      <c r="AA199" s="64" t="str">
        <f>IFERROR(__xludf.DUMMYFUNCTION("""COMPUTED_VALUE"""),"CAÍDA DE RAMA")</f>
        <v>CAÍDA DE RAMA</v>
      </c>
      <c r="AB199" s="64" t="str">
        <f>IFERROR(__xludf.DUMMYFUNCTION("""COMPUTED_VALUE"""),"OPERATIVO DGT")</f>
        <v>OPERATIVO DGT</v>
      </c>
      <c r="AC199" s="64" t="str">
        <f>IFERROR(__xludf.DUMMYFUNCTION("""COMPUTED_VALUE"""),"OPERATIVO PMT")</f>
        <v>OPERATIVO PMT</v>
      </c>
      <c r="AD199" s="64" t="str">
        <f>IFERROR(__xludf.DUMMYFUNCTION("""COMPUTED_VALUE"""),"APOYO A DIGEF")</f>
        <v>APOYO A DIGEF</v>
      </c>
      <c r="AE199" s="64" t="str">
        <f>IFERROR(__xludf.DUMMYFUNCTION("""COMPUTED_VALUE"""),"OPERATIVO PNC TRANSITO")</f>
        <v>OPERATIVO PNC TRANSITO</v>
      </c>
      <c r="AF199" s="64" t="str">
        <f>IFERROR(__xludf.DUMMYFUNCTION("""COMPUTED_VALUE"""),"SOBRECARGA ")</f>
        <v>SOBRECARGA </v>
      </c>
      <c r="AG199" s="64" t="str">
        <f>IFERROR(__xludf.DUMMYFUNCTION("""COMPUTED_VALUE"""),"OPERATIVO EN CONJUNTO")</f>
        <v>OPERATIVO EN CONJUNTO</v>
      </c>
      <c r="AH199" s="64" t="str">
        <f>IFERROR(__xludf.DUMMYFUNCTION("""COMPUTED_VALUE"""),"PUESTO DE ATENCION AL USUARIO")</f>
        <v>PUESTO DE ATENCION AL USUARIO</v>
      </c>
      <c r="AI199" s="64" t="str">
        <f>IFERROR(__xludf.DUMMYFUNCTION("""COMPUTED_VALUE"""),"INCENDIO EN RUTA")</f>
        <v>INCENDIO EN RUTA</v>
      </c>
      <c r="AJ199" s="64" t="str">
        <f>IFERROR(__xludf.DUMMYFUNCTION("""COMPUTED_VALUE"""),"APOYO ANTORCHA ")</f>
        <v>APOYO ANTORCHA </v>
      </c>
    </row>
    <row r="200">
      <c r="B200" s="64" t="s">
        <v>54</v>
      </c>
      <c r="C200" s="64" t="str">
        <f>IFERROR(__xludf.DUMMYFUNCTION(" TRANSPOSE( unique ( QUERY(DATOPRO,""select Col2 where Col1 = '""&amp;B200&amp;""'"")))"),"PINCHAZO")</f>
        <v>PINCHAZO</v>
      </c>
      <c r="D200" s="64" t="str">
        <f>IFERROR(__xludf.DUMMYFUNCTION("""COMPUTED_VALUE"""),"TRABAJOS DE CARRETERA")</f>
        <v>TRABAJOS DE CARRETERA</v>
      </c>
      <c r="E200" s="64" t="str">
        <f>IFERROR(__xludf.DUMMYFUNCTION("""COMPUTED_VALUE"""),"CONSIGNACIÓN")</f>
        <v>CONSIGNACIÓN</v>
      </c>
      <c r="F200" s="64" t="str">
        <f>IFERROR(__xludf.DUMMYFUNCTION("""COMPUTED_VALUE"""),"DERRAME")</f>
        <v>DERRAME</v>
      </c>
      <c r="G200" s="64" t="str">
        <f>IFERROR(__xludf.DUMMYFUNCTION("""COMPUTED_VALUE"""),"CALENTAMIENTO")</f>
        <v>CALENTAMIENTO</v>
      </c>
      <c r="H200" s="64" t="str">
        <f>IFERROR(__xludf.DUMMYFUNCTION("""COMPUTED_VALUE"""),"ESCOLTANDO")</f>
        <v>ESCOLTANDO</v>
      </c>
      <c r="I200" s="64" t="str">
        <f>IFERROR(__xludf.DUMMYFUNCTION("""COMPUTED_VALUE"""),"FALTA DE COMBUSTIBLE")</f>
        <v>FALTA DE COMBUSTIBLE</v>
      </c>
      <c r="J200" s="64" t="str">
        <f>IFERROR(__xludf.DUMMYFUNCTION("""COMPUTED_VALUE"""),"DESPERFECTOS MECÁNICOS")</f>
        <v>DESPERFECTOS MECÁNICOS</v>
      </c>
      <c r="K200" s="64" t="str">
        <f>IFERROR(__xludf.DUMMYFUNCTION("""COMPUTED_VALUE"""),"LLAMADA DE ATENCIÓN")</f>
        <v>LLAMADA DE ATENCIÓN</v>
      </c>
      <c r="L200" s="64" t="str">
        <f>IFERROR(__xludf.DUMMYFUNCTION("""COMPUTED_VALUE"""),"OPERATIVOS")</f>
        <v>OPERATIVOS</v>
      </c>
      <c r="M200" s="64" t="str">
        <f>IFERROR(__xludf.DUMMYFUNCTION("""COMPUTED_VALUE"""),"SANCIÓN")</f>
        <v>SANCIÓN</v>
      </c>
      <c r="N200" s="64" t="str">
        <f>IFERROR(__xludf.DUMMYFUNCTION("""COMPUTED_VALUE"""),"SISTEMA ELECTRICO")</f>
        <v>SISTEMA ELECTRICO</v>
      </c>
      <c r="O200" s="64" t="str">
        <f>IFERROR(__xludf.DUMMYFUNCTION("""COMPUTED_VALUE"""),"ASISTENCIA AL USUARIO")</f>
        <v>ASISTENCIA AL USUARIO</v>
      </c>
      <c r="P200" s="64" t="str">
        <f>IFERROR(__xludf.DUMMYFUNCTION("""COMPUTED_VALUE"""),"DOBLE REMOLQUE")</f>
        <v>DOBLE REMOLQUE</v>
      </c>
      <c r="Q200" s="64" t="str">
        <f>IFERROR(__xludf.DUMMYFUNCTION("""COMPUTED_VALUE"""),"SINAPRESE")</f>
        <v>SINAPRESE</v>
      </c>
      <c r="R200" s="64" t="str">
        <f>IFERROR(__xludf.DUMMYFUNCTION("""COMPUTED_VALUE"""),"APOYO ATLETISMO")</f>
        <v>APOYO ATLETISMO</v>
      </c>
      <c r="S200" s="64" t="str">
        <f>IFERROR(__xludf.DUMMYFUNCTION("""COMPUTED_VALUE"""),"APOYO A CICLISMO")</f>
        <v>APOYO A CICLISMO</v>
      </c>
      <c r="T200" s="64" t="str">
        <f>IFERROR(__xludf.DUMMYFUNCTION("""COMPUTED_VALUE"""),"DESCARGA DE BATERÍA")</f>
        <v>DESCARGA DE BATERÍA</v>
      </c>
      <c r="U200" s="64" t="str">
        <f>IFERROR(__xludf.DUMMYFUNCTION("""COMPUTED_VALUE"""),"PROBLEMAS DE SALUD")</f>
        <v>PROBLEMAS DE SALUD</v>
      </c>
      <c r="V200" s="64" t="str">
        <f>IFERROR(__xludf.DUMMYFUNCTION("""COMPUTED_VALUE"""),"OLVIDO LA LLAVE")</f>
        <v>OLVIDO LA LLAVE</v>
      </c>
      <c r="W200" s="64" t="str">
        <f>IFERROR(__xludf.DUMMYFUNCTION("""COMPUTED_VALUE"""),"CARGA SOBREDIMENSIONADA")</f>
        <v>CARGA SOBREDIMENSIONADA</v>
      </c>
      <c r="X200" s="64" t="str">
        <f>IFERROR(__xludf.DUMMYFUNCTION("""COMPUTED_VALUE"""),"VEHÍCULO ABANDONADO")</f>
        <v>VEHÍCULO ABANDONADO</v>
      </c>
      <c r="Y200" s="64" t="str">
        <f>IFERROR(__xludf.DUMMYFUNCTION("""COMPUTED_VALUE"""),"DESPRENDIMIENTO")</f>
        <v>DESPRENDIMIENTO</v>
      </c>
      <c r="Z200" s="64" t="str">
        <f>IFERROR(__xludf.DUMMYFUNCTION("""COMPUTED_VALUE"""),"CAÍDA DE POSTE")</f>
        <v>CAÍDA DE POSTE</v>
      </c>
      <c r="AA200" s="64" t="str">
        <f>IFERROR(__xludf.DUMMYFUNCTION("""COMPUTED_VALUE"""),"CAÍDA DE RAMA")</f>
        <v>CAÍDA DE RAMA</v>
      </c>
      <c r="AB200" s="64" t="str">
        <f>IFERROR(__xludf.DUMMYFUNCTION("""COMPUTED_VALUE"""),"OPERATIVO DGT")</f>
        <v>OPERATIVO DGT</v>
      </c>
      <c r="AC200" s="64" t="str">
        <f>IFERROR(__xludf.DUMMYFUNCTION("""COMPUTED_VALUE"""),"OPERATIVO PMT")</f>
        <v>OPERATIVO PMT</v>
      </c>
      <c r="AD200" s="64" t="str">
        <f>IFERROR(__xludf.DUMMYFUNCTION("""COMPUTED_VALUE"""),"APOYO A DIGEF")</f>
        <v>APOYO A DIGEF</v>
      </c>
      <c r="AE200" s="64" t="str">
        <f>IFERROR(__xludf.DUMMYFUNCTION("""COMPUTED_VALUE"""),"OPERATIVO PNC TRANSITO")</f>
        <v>OPERATIVO PNC TRANSITO</v>
      </c>
      <c r="AF200" s="64" t="str">
        <f>IFERROR(__xludf.DUMMYFUNCTION("""COMPUTED_VALUE"""),"SOBRECARGA ")</f>
        <v>SOBRECARGA </v>
      </c>
      <c r="AG200" s="64" t="str">
        <f>IFERROR(__xludf.DUMMYFUNCTION("""COMPUTED_VALUE"""),"OPERATIVO EN CONJUNTO")</f>
        <v>OPERATIVO EN CONJUNTO</v>
      </c>
      <c r="AH200" s="64" t="str">
        <f>IFERROR(__xludf.DUMMYFUNCTION("""COMPUTED_VALUE"""),"PUESTO DE ATENCION AL USUARIO")</f>
        <v>PUESTO DE ATENCION AL USUARIO</v>
      </c>
      <c r="AI200" s="64" t="str">
        <f>IFERROR(__xludf.DUMMYFUNCTION("""COMPUTED_VALUE"""),"INCENDIO EN RUTA")</f>
        <v>INCENDIO EN RUTA</v>
      </c>
      <c r="AJ200" s="64" t="str">
        <f>IFERROR(__xludf.DUMMYFUNCTION("""COMPUTED_VALUE"""),"APOYO ANTORCHA ")</f>
        <v>APOYO ANTORCHA </v>
      </c>
    </row>
    <row r="201">
      <c r="B201" s="64" t="s">
        <v>54</v>
      </c>
      <c r="C201" s="64" t="str">
        <f>IFERROR(__xludf.DUMMYFUNCTION(" TRANSPOSE( unique ( QUERY(DATOPRO,""select Col2 where Col1 = '""&amp;B201&amp;""'"")))"),"PINCHAZO")</f>
        <v>PINCHAZO</v>
      </c>
      <c r="D201" s="64" t="str">
        <f>IFERROR(__xludf.DUMMYFUNCTION("""COMPUTED_VALUE"""),"TRABAJOS DE CARRETERA")</f>
        <v>TRABAJOS DE CARRETERA</v>
      </c>
      <c r="E201" s="64" t="str">
        <f>IFERROR(__xludf.DUMMYFUNCTION("""COMPUTED_VALUE"""),"CONSIGNACIÓN")</f>
        <v>CONSIGNACIÓN</v>
      </c>
      <c r="F201" s="64" t="str">
        <f>IFERROR(__xludf.DUMMYFUNCTION("""COMPUTED_VALUE"""),"DERRAME")</f>
        <v>DERRAME</v>
      </c>
      <c r="G201" s="64" t="str">
        <f>IFERROR(__xludf.DUMMYFUNCTION("""COMPUTED_VALUE"""),"CALENTAMIENTO")</f>
        <v>CALENTAMIENTO</v>
      </c>
      <c r="H201" s="64" t="str">
        <f>IFERROR(__xludf.DUMMYFUNCTION("""COMPUTED_VALUE"""),"ESCOLTANDO")</f>
        <v>ESCOLTANDO</v>
      </c>
      <c r="I201" s="64" t="str">
        <f>IFERROR(__xludf.DUMMYFUNCTION("""COMPUTED_VALUE"""),"FALTA DE COMBUSTIBLE")</f>
        <v>FALTA DE COMBUSTIBLE</v>
      </c>
      <c r="J201" s="64" t="str">
        <f>IFERROR(__xludf.DUMMYFUNCTION("""COMPUTED_VALUE"""),"DESPERFECTOS MECÁNICOS")</f>
        <v>DESPERFECTOS MECÁNICOS</v>
      </c>
      <c r="K201" s="64" t="str">
        <f>IFERROR(__xludf.DUMMYFUNCTION("""COMPUTED_VALUE"""),"LLAMADA DE ATENCIÓN")</f>
        <v>LLAMADA DE ATENCIÓN</v>
      </c>
      <c r="L201" s="64" t="str">
        <f>IFERROR(__xludf.DUMMYFUNCTION("""COMPUTED_VALUE"""),"OPERATIVOS")</f>
        <v>OPERATIVOS</v>
      </c>
      <c r="M201" s="64" t="str">
        <f>IFERROR(__xludf.DUMMYFUNCTION("""COMPUTED_VALUE"""),"SANCIÓN")</f>
        <v>SANCIÓN</v>
      </c>
      <c r="N201" s="64" t="str">
        <f>IFERROR(__xludf.DUMMYFUNCTION("""COMPUTED_VALUE"""),"SISTEMA ELECTRICO")</f>
        <v>SISTEMA ELECTRICO</v>
      </c>
      <c r="O201" s="64" t="str">
        <f>IFERROR(__xludf.DUMMYFUNCTION("""COMPUTED_VALUE"""),"ASISTENCIA AL USUARIO")</f>
        <v>ASISTENCIA AL USUARIO</v>
      </c>
      <c r="P201" s="64" t="str">
        <f>IFERROR(__xludf.DUMMYFUNCTION("""COMPUTED_VALUE"""),"DOBLE REMOLQUE")</f>
        <v>DOBLE REMOLQUE</v>
      </c>
      <c r="Q201" s="64" t="str">
        <f>IFERROR(__xludf.DUMMYFUNCTION("""COMPUTED_VALUE"""),"SINAPRESE")</f>
        <v>SINAPRESE</v>
      </c>
      <c r="R201" s="64" t="str">
        <f>IFERROR(__xludf.DUMMYFUNCTION("""COMPUTED_VALUE"""),"APOYO ATLETISMO")</f>
        <v>APOYO ATLETISMO</v>
      </c>
      <c r="S201" s="64" t="str">
        <f>IFERROR(__xludf.DUMMYFUNCTION("""COMPUTED_VALUE"""),"APOYO A CICLISMO")</f>
        <v>APOYO A CICLISMO</v>
      </c>
      <c r="T201" s="64" t="str">
        <f>IFERROR(__xludf.DUMMYFUNCTION("""COMPUTED_VALUE"""),"DESCARGA DE BATERÍA")</f>
        <v>DESCARGA DE BATERÍA</v>
      </c>
      <c r="U201" s="64" t="str">
        <f>IFERROR(__xludf.DUMMYFUNCTION("""COMPUTED_VALUE"""),"PROBLEMAS DE SALUD")</f>
        <v>PROBLEMAS DE SALUD</v>
      </c>
      <c r="V201" s="64" t="str">
        <f>IFERROR(__xludf.DUMMYFUNCTION("""COMPUTED_VALUE"""),"OLVIDO LA LLAVE")</f>
        <v>OLVIDO LA LLAVE</v>
      </c>
      <c r="W201" s="64" t="str">
        <f>IFERROR(__xludf.DUMMYFUNCTION("""COMPUTED_VALUE"""),"CARGA SOBREDIMENSIONADA")</f>
        <v>CARGA SOBREDIMENSIONADA</v>
      </c>
      <c r="X201" s="64" t="str">
        <f>IFERROR(__xludf.DUMMYFUNCTION("""COMPUTED_VALUE"""),"VEHÍCULO ABANDONADO")</f>
        <v>VEHÍCULO ABANDONADO</v>
      </c>
      <c r="Y201" s="64" t="str">
        <f>IFERROR(__xludf.DUMMYFUNCTION("""COMPUTED_VALUE"""),"DESPRENDIMIENTO")</f>
        <v>DESPRENDIMIENTO</v>
      </c>
      <c r="Z201" s="64" t="str">
        <f>IFERROR(__xludf.DUMMYFUNCTION("""COMPUTED_VALUE"""),"CAÍDA DE POSTE")</f>
        <v>CAÍDA DE POSTE</v>
      </c>
      <c r="AA201" s="64" t="str">
        <f>IFERROR(__xludf.DUMMYFUNCTION("""COMPUTED_VALUE"""),"CAÍDA DE RAMA")</f>
        <v>CAÍDA DE RAMA</v>
      </c>
      <c r="AB201" s="64" t="str">
        <f>IFERROR(__xludf.DUMMYFUNCTION("""COMPUTED_VALUE"""),"OPERATIVO DGT")</f>
        <v>OPERATIVO DGT</v>
      </c>
      <c r="AC201" s="64" t="str">
        <f>IFERROR(__xludf.DUMMYFUNCTION("""COMPUTED_VALUE"""),"OPERATIVO PMT")</f>
        <v>OPERATIVO PMT</v>
      </c>
      <c r="AD201" s="64" t="str">
        <f>IFERROR(__xludf.DUMMYFUNCTION("""COMPUTED_VALUE"""),"APOYO A DIGEF")</f>
        <v>APOYO A DIGEF</v>
      </c>
      <c r="AE201" s="64" t="str">
        <f>IFERROR(__xludf.DUMMYFUNCTION("""COMPUTED_VALUE"""),"OPERATIVO PNC TRANSITO")</f>
        <v>OPERATIVO PNC TRANSITO</v>
      </c>
      <c r="AF201" s="64" t="str">
        <f>IFERROR(__xludf.DUMMYFUNCTION("""COMPUTED_VALUE"""),"SOBRECARGA ")</f>
        <v>SOBRECARGA </v>
      </c>
      <c r="AG201" s="64" t="str">
        <f>IFERROR(__xludf.DUMMYFUNCTION("""COMPUTED_VALUE"""),"OPERATIVO EN CONJUNTO")</f>
        <v>OPERATIVO EN CONJUNTO</v>
      </c>
      <c r="AH201" s="64" t="str">
        <f>IFERROR(__xludf.DUMMYFUNCTION("""COMPUTED_VALUE"""),"PUESTO DE ATENCION AL USUARIO")</f>
        <v>PUESTO DE ATENCION AL USUARIO</v>
      </c>
      <c r="AI201" s="64" t="str">
        <f>IFERROR(__xludf.DUMMYFUNCTION("""COMPUTED_VALUE"""),"INCENDIO EN RUTA")</f>
        <v>INCENDIO EN RUTA</v>
      </c>
      <c r="AJ201" s="64" t="str">
        <f>IFERROR(__xludf.DUMMYFUNCTION("""COMPUTED_VALUE"""),"APOYO ANTORCHA ")</f>
        <v>APOYO ANTORCHA </v>
      </c>
    </row>
    <row r="202">
      <c r="B202" s="64" t="s">
        <v>54</v>
      </c>
      <c r="C202" s="64" t="str">
        <f>IFERROR(__xludf.DUMMYFUNCTION(" TRANSPOSE( unique ( QUERY(DATOPRO,""select Col2 where Col1 = '""&amp;B202&amp;""'"")))"),"PINCHAZO")</f>
        <v>PINCHAZO</v>
      </c>
      <c r="D202" s="64" t="str">
        <f>IFERROR(__xludf.DUMMYFUNCTION("""COMPUTED_VALUE"""),"TRABAJOS DE CARRETERA")</f>
        <v>TRABAJOS DE CARRETERA</v>
      </c>
      <c r="E202" s="64" t="str">
        <f>IFERROR(__xludf.DUMMYFUNCTION("""COMPUTED_VALUE"""),"CONSIGNACIÓN")</f>
        <v>CONSIGNACIÓN</v>
      </c>
      <c r="F202" s="64" t="str">
        <f>IFERROR(__xludf.DUMMYFUNCTION("""COMPUTED_VALUE"""),"DERRAME")</f>
        <v>DERRAME</v>
      </c>
      <c r="G202" s="64" t="str">
        <f>IFERROR(__xludf.DUMMYFUNCTION("""COMPUTED_VALUE"""),"CALENTAMIENTO")</f>
        <v>CALENTAMIENTO</v>
      </c>
      <c r="H202" s="64" t="str">
        <f>IFERROR(__xludf.DUMMYFUNCTION("""COMPUTED_VALUE"""),"ESCOLTANDO")</f>
        <v>ESCOLTANDO</v>
      </c>
      <c r="I202" s="64" t="str">
        <f>IFERROR(__xludf.DUMMYFUNCTION("""COMPUTED_VALUE"""),"FALTA DE COMBUSTIBLE")</f>
        <v>FALTA DE COMBUSTIBLE</v>
      </c>
      <c r="J202" s="64" t="str">
        <f>IFERROR(__xludf.DUMMYFUNCTION("""COMPUTED_VALUE"""),"DESPERFECTOS MECÁNICOS")</f>
        <v>DESPERFECTOS MECÁNICOS</v>
      </c>
      <c r="K202" s="64" t="str">
        <f>IFERROR(__xludf.DUMMYFUNCTION("""COMPUTED_VALUE"""),"LLAMADA DE ATENCIÓN")</f>
        <v>LLAMADA DE ATENCIÓN</v>
      </c>
      <c r="L202" s="64" t="str">
        <f>IFERROR(__xludf.DUMMYFUNCTION("""COMPUTED_VALUE"""),"OPERATIVOS")</f>
        <v>OPERATIVOS</v>
      </c>
      <c r="M202" s="64" t="str">
        <f>IFERROR(__xludf.DUMMYFUNCTION("""COMPUTED_VALUE"""),"SANCIÓN")</f>
        <v>SANCIÓN</v>
      </c>
      <c r="N202" s="64" t="str">
        <f>IFERROR(__xludf.DUMMYFUNCTION("""COMPUTED_VALUE"""),"SISTEMA ELECTRICO")</f>
        <v>SISTEMA ELECTRICO</v>
      </c>
      <c r="O202" s="64" t="str">
        <f>IFERROR(__xludf.DUMMYFUNCTION("""COMPUTED_VALUE"""),"ASISTENCIA AL USUARIO")</f>
        <v>ASISTENCIA AL USUARIO</v>
      </c>
      <c r="P202" s="64" t="str">
        <f>IFERROR(__xludf.DUMMYFUNCTION("""COMPUTED_VALUE"""),"DOBLE REMOLQUE")</f>
        <v>DOBLE REMOLQUE</v>
      </c>
      <c r="Q202" s="64" t="str">
        <f>IFERROR(__xludf.DUMMYFUNCTION("""COMPUTED_VALUE"""),"SINAPRESE")</f>
        <v>SINAPRESE</v>
      </c>
      <c r="R202" s="64" t="str">
        <f>IFERROR(__xludf.DUMMYFUNCTION("""COMPUTED_VALUE"""),"APOYO ATLETISMO")</f>
        <v>APOYO ATLETISMO</v>
      </c>
      <c r="S202" s="64" t="str">
        <f>IFERROR(__xludf.DUMMYFUNCTION("""COMPUTED_VALUE"""),"APOYO A CICLISMO")</f>
        <v>APOYO A CICLISMO</v>
      </c>
      <c r="T202" s="64" t="str">
        <f>IFERROR(__xludf.DUMMYFUNCTION("""COMPUTED_VALUE"""),"DESCARGA DE BATERÍA")</f>
        <v>DESCARGA DE BATERÍA</v>
      </c>
      <c r="U202" s="64" t="str">
        <f>IFERROR(__xludf.DUMMYFUNCTION("""COMPUTED_VALUE"""),"PROBLEMAS DE SALUD")</f>
        <v>PROBLEMAS DE SALUD</v>
      </c>
      <c r="V202" s="64" t="str">
        <f>IFERROR(__xludf.DUMMYFUNCTION("""COMPUTED_VALUE"""),"OLVIDO LA LLAVE")</f>
        <v>OLVIDO LA LLAVE</v>
      </c>
      <c r="W202" s="64" t="str">
        <f>IFERROR(__xludf.DUMMYFUNCTION("""COMPUTED_VALUE"""),"CARGA SOBREDIMENSIONADA")</f>
        <v>CARGA SOBREDIMENSIONADA</v>
      </c>
      <c r="X202" s="64" t="str">
        <f>IFERROR(__xludf.DUMMYFUNCTION("""COMPUTED_VALUE"""),"VEHÍCULO ABANDONADO")</f>
        <v>VEHÍCULO ABANDONADO</v>
      </c>
      <c r="Y202" s="64" t="str">
        <f>IFERROR(__xludf.DUMMYFUNCTION("""COMPUTED_VALUE"""),"DESPRENDIMIENTO")</f>
        <v>DESPRENDIMIENTO</v>
      </c>
      <c r="Z202" s="64" t="str">
        <f>IFERROR(__xludf.DUMMYFUNCTION("""COMPUTED_VALUE"""),"CAÍDA DE POSTE")</f>
        <v>CAÍDA DE POSTE</v>
      </c>
      <c r="AA202" s="64" t="str">
        <f>IFERROR(__xludf.DUMMYFUNCTION("""COMPUTED_VALUE"""),"CAÍDA DE RAMA")</f>
        <v>CAÍDA DE RAMA</v>
      </c>
      <c r="AB202" s="64" t="str">
        <f>IFERROR(__xludf.DUMMYFUNCTION("""COMPUTED_VALUE"""),"OPERATIVO DGT")</f>
        <v>OPERATIVO DGT</v>
      </c>
      <c r="AC202" s="64" t="str">
        <f>IFERROR(__xludf.DUMMYFUNCTION("""COMPUTED_VALUE"""),"OPERATIVO PMT")</f>
        <v>OPERATIVO PMT</v>
      </c>
      <c r="AD202" s="64" t="str">
        <f>IFERROR(__xludf.DUMMYFUNCTION("""COMPUTED_VALUE"""),"APOYO A DIGEF")</f>
        <v>APOYO A DIGEF</v>
      </c>
      <c r="AE202" s="64" t="str">
        <f>IFERROR(__xludf.DUMMYFUNCTION("""COMPUTED_VALUE"""),"OPERATIVO PNC TRANSITO")</f>
        <v>OPERATIVO PNC TRANSITO</v>
      </c>
      <c r="AF202" s="64" t="str">
        <f>IFERROR(__xludf.DUMMYFUNCTION("""COMPUTED_VALUE"""),"SOBRECARGA ")</f>
        <v>SOBRECARGA </v>
      </c>
      <c r="AG202" s="64" t="str">
        <f>IFERROR(__xludf.DUMMYFUNCTION("""COMPUTED_VALUE"""),"OPERATIVO EN CONJUNTO")</f>
        <v>OPERATIVO EN CONJUNTO</v>
      </c>
      <c r="AH202" s="64" t="str">
        <f>IFERROR(__xludf.DUMMYFUNCTION("""COMPUTED_VALUE"""),"PUESTO DE ATENCION AL USUARIO")</f>
        <v>PUESTO DE ATENCION AL USUARIO</v>
      </c>
      <c r="AI202" s="64" t="str">
        <f>IFERROR(__xludf.DUMMYFUNCTION("""COMPUTED_VALUE"""),"INCENDIO EN RUTA")</f>
        <v>INCENDIO EN RUTA</v>
      </c>
      <c r="AJ202" s="64" t="str">
        <f>IFERROR(__xludf.DUMMYFUNCTION("""COMPUTED_VALUE"""),"APOYO ANTORCHA ")</f>
        <v>APOYO ANTORCHA </v>
      </c>
    </row>
    <row r="203">
      <c r="B203" s="64" t="s">
        <v>54</v>
      </c>
      <c r="C203" s="64" t="str">
        <f>IFERROR(__xludf.DUMMYFUNCTION(" TRANSPOSE( unique ( QUERY(DATOPRO,""select Col2 where Col1 = '""&amp;B203&amp;""'"")))"),"PINCHAZO")</f>
        <v>PINCHAZO</v>
      </c>
      <c r="D203" s="64" t="str">
        <f>IFERROR(__xludf.DUMMYFUNCTION("""COMPUTED_VALUE"""),"TRABAJOS DE CARRETERA")</f>
        <v>TRABAJOS DE CARRETERA</v>
      </c>
      <c r="E203" s="64" t="str">
        <f>IFERROR(__xludf.DUMMYFUNCTION("""COMPUTED_VALUE"""),"CONSIGNACIÓN")</f>
        <v>CONSIGNACIÓN</v>
      </c>
      <c r="F203" s="64" t="str">
        <f>IFERROR(__xludf.DUMMYFUNCTION("""COMPUTED_VALUE"""),"DERRAME")</f>
        <v>DERRAME</v>
      </c>
      <c r="G203" s="64" t="str">
        <f>IFERROR(__xludf.DUMMYFUNCTION("""COMPUTED_VALUE"""),"CALENTAMIENTO")</f>
        <v>CALENTAMIENTO</v>
      </c>
      <c r="H203" s="64" t="str">
        <f>IFERROR(__xludf.DUMMYFUNCTION("""COMPUTED_VALUE"""),"ESCOLTANDO")</f>
        <v>ESCOLTANDO</v>
      </c>
      <c r="I203" s="64" t="str">
        <f>IFERROR(__xludf.DUMMYFUNCTION("""COMPUTED_VALUE"""),"FALTA DE COMBUSTIBLE")</f>
        <v>FALTA DE COMBUSTIBLE</v>
      </c>
      <c r="J203" s="64" t="str">
        <f>IFERROR(__xludf.DUMMYFUNCTION("""COMPUTED_VALUE"""),"DESPERFECTOS MECÁNICOS")</f>
        <v>DESPERFECTOS MECÁNICOS</v>
      </c>
      <c r="K203" s="64" t="str">
        <f>IFERROR(__xludf.DUMMYFUNCTION("""COMPUTED_VALUE"""),"LLAMADA DE ATENCIÓN")</f>
        <v>LLAMADA DE ATENCIÓN</v>
      </c>
      <c r="L203" s="64" t="str">
        <f>IFERROR(__xludf.DUMMYFUNCTION("""COMPUTED_VALUE"""),"OPERATIVOS")</f>
        <v>OPERATIVOS</v>
      </c>
      <c r="M203" s="64" t="str">
        <f>IFERROR(__xludf.DUMMYFUNCTION("""COMPUTED_VALUE"""),"SANCIÓN")</f>
        <v>SANCIÓN</v>
      </c>
      <c r="N203" s="64" t="str">
        <f>IFERROR(__xludf.DUMMYFUNCTION("""COMPUTED_VALUE"""),"SISTEMA ELECTRICO")</f>
        <v>SISTEMA ELECTRICO</v>
      </c>
      <c r="O203" s="64" t="str">
        <f>IFERROR(__xludf.DUMMYFUNCTION("""COMPUTED_VALUE"""),"ASISTENCIA AL USUARIO")</f>
        <v>ASISTENCIA AL USUARIO</v>
      </c>
      <c r="P203" s="64" t="str">
        <f>IFERROR(__xludf.DUMMYFUNCTION("""COMPUTED_VALUE"""),"DOBLE REMOLQUE")</f>
        <v>DOBLE REMOLQUE</v>
      </c>
      <c r="Q203" s="64" t="str">
        <f>IFERROR(__xludf.DUMMYFUNCTION("""COMPUTED_VALUE"""),"SINAPRESE")</f>
        <v>SINAPRESE</v>
      </c>
      <c r="R203" s="64" t="str">
        <f>IFERROR(__xludf.DUMMYFUNCTION("""COMPUTED_VALUE"""),"APOYO ATLETISMO")</f>
        <v>APOYO ATLETISMO</v>
      </c>
      <c r="S203" s="64" t="str">
        <f>IFERROR(__xludf.DUMMYFUNCTION("""COMPUTED_VALUE"""),"APOYO A CICLISMO")</f>
        <v>APOYO A CICLISMO</v>
      </c>
      <c r="T203" s="64" t="str">
        <f>IFERROR(__xludf.DUMMYFUNCTION("""COMPUTED_VALUE"""),"DESCARGA DE BATERÍA")</f>
        <v>DESCARGA DE BATERÍA</v>
      </c>
      <c r="U203" s="64" t="str">
        <f>IFERROR(__xludf.DUMMYFUNCTION("""COMPUTED_VALUE"""),"PROBLEMAS DE SALUD")</f>
        <v>PROBLEMAS DE SALUD</v>
      </c>
      <c r="V203" s="64" t="str">
        <f>IFERROR(__xludf.DUMMYFUNCTION("""COMPUTED_VALUE"""),"OLVIDO LA LLAVE")</f>
        <v>OLVIDO LA LLAVE</v>
      </c>
      <c r="W203" s="64" t="str">
        <f>IFERROR(__xludf.DUMMYFUNCTION("""COMPUTED_VALUE"""),"CARGA SOBREDIMENSIONADA")</f>
        <v>CARGA SOBREDIMENSIONADA</v>
      </c>
      <c r="X203" s="64" t="str">
        <f>IFERROR(__xludf.DUMMYFUNCTION("""COMPUTED_VALUE"""),"VEHÍCULO ABANDONADO")</f>
        <v>VEHÍCULO ABANDONADO</v>
      </c>
      <c r="Y203" s="64" t="str">
        <f>IFERROR(__xludf.DUMMYFUNCTION("""COMPUTED_VALUE"""),"DESPRENDIMIENTO")</f>
        <v>DESPRENDIMIENTO</v>
      </c>
      <c r="Z203" s="64" t="str">
        <f>IFERROR(__xludf.DUMMYFUNCTION("""COMPUTED_VALUE"""),"CAÍDA DE POSTE")</f>
        <v>CAÍDA DE POSTE</v>
      </c>
      <c r="AA203" s="64" t="str">
        <f>IFERROR(__xludf.DUMMYFUNCTION("""COMPUTED_VALUE"""),"CAÍDA DE RAMA")</f>
        <v>CAÍDA DE RAMA</v>
      </c>
      <c r="AB203" s="64" t="str">
        <f>IFERROR(__xludf.DUMMYFUNCTION("""COMPUTED_VALUE"""),"OPERATIVO DGT")</f>
        <v>OPERATIVO DGT</v>
      </c>
      <c r="AC203" s="64" t="str">
        <f>IFERROR(__xludf.DUMMYFUNCTION("""COMPUTED_VALUE"""),"OPERATIVO PMT")</f>
        <v>OPERATIVO PMT</v>
      </c>
      <c r="AD203" s="64" t="str">
        <f>IFERROR(__xludf.DUMMYFUNCTION("""COMPUTED_VALUE"""),"APOYO A DIGEF")</f>
        <v>APOYO A DIGEF</v>
      </c>
      <c r="AE203" s="64" t="str">
        <f>IFERROR(__xludf.DUMMYFUNCTION("""COMPUTED_VALUE"""),"OPERATIVO PNC TRANSITO")</f>
        <v>OPERATIVO PNC TRANSITO</v>
      </c>
      <c r="AF203" s="64" t="str">
        <f>IFERROR(__xludf.DUMMYFUNCTION("""COMPUTED_VALUE"""),"SOBRECARGA ")</f>
        <v>SOBRECARGA </v>
      </c>
      <c r="AG203" s="64" t="str">
        <f>IFERROR(__xludf.DUMMYFUNCTION("""COMPUTED_VALUE"""),"OPERATIVO EN CONJUNTO")</f>
        <v>OPERATIVO EN CONJUNTO</v>
      </c>
      <c r="AH203" s="64" t="str">
        <f>IFERROR(__xludf.DUMMYFUNCTION("""COMPUTED_VALUE"""),"PUESTO DE ATENCION AL USUARIO")</f>
        <v>PUESTO DE ATENCION AL USUARIO</v>
      </c>
      <c r="AI203" s="64" t="str">
        <f>IFERROR(__xludf.DUMMYFUNCTION("""COMPUTED_VALUE"""),"INCENDIO EN RUTA")</f>
        <v>INCENDIO EN RUTA</v>
      </c>
      <c r="AJ203" s="64" t="str">
        <f>IFERROR(__xludf.DUMMYFUNCTION("""COMPUTED_VALUE"""),"APOYO ANTORCHA ")</f>
        <v>APOYO ANTORCHA </v>
      </c>
    </row>
    <row r="204">
      <c r="B204" s="64" t="s">
        <v>54</v>
      </c>
      <c r="C204" s="64" t="str">
        <f>IFERROR(__xludf.DUMMYFUNCTION(" TRANSPOSE( unique ( QUERY(DATOPRO,""select Col2 where Col1 = '""&amp;B204&amp;""'"")))"),"PINCHAZO")</f>
        <v>PINCHAZO</v>
      </c>
      <c r="D204" s="64" t="str">
        <f>IFERROR(__xludf.DUMMYFUNCTION("""COMPUTED_VALUE"""),"TRABAJOS DE CARRETERA")</f>
        <v>TRABAJOS DE CARRETERA</v>
      </c>
      <c r="E204" s="64" t="str">
        <f>IFERROR(__xludf.DUMMYFUNCTION("""COMPUTED_VALUE"""),"CONSIGNACIÓN")</f>
        <v>CONSIGNACIÓN</v>
      </c>
      <c r="F204" s="64" t="str">
        <f>IFERROR(__xludf.DUMMYFUNCTION("""COMPUTED_VALUE"""),"DERRAME")</f>
        <v>DERRAME</v>
      </c>
      <c r="G204" s="64" t="str">
        <f>IFERROR(__xludf.DUMMYFUNCTION("""COMPUTED_VALUE"""),"CALENTAMIENTO")</f>
        <v>CALENTAMIENTO</v>
      </c>
      <c r="H204" s="64" t="str">
        <f>IFERROR(__xludf.DUMMYFUNCTION("""COMPUTED_VALUE"""),"ESCOLTANDO")</f>
        <v>ESCOLTANDO</v>
      </c>
      <c r="I204" s="64" t="str">
        <f>IFERROR(__xludf.DUMMYFUNCTION("""COMPUTED_VALUE"""),"FALTA DE COMBUSTIBLE")</f>
        <v>FALTA DE COMBUSTIBLE</v>
      </c>
      <c r="J204" s="64" t="str">
        <f>IFERROR(__xludf.DUMMYFUNCTION("""COMPUTED_VALUE"""),"DESPERFECTOS MECÁNICOS")</f>
        <v>DESPERFECTOS MECÁNICOS</v>
      </c>
      <c r="K204" s="64" t="str">
        <f>IFERROR(__xludf.DUMMYFUNCTION("""COMPUTED_VALUE"""),"LLAMADA DE ATENCIÓN")</f>
        <v>LLAMADA DE ATENCIÓN</v>
      </c>
      <c r="L204" s="64" t="str">
        <f>IFERROR(__xludf.DUMMYFUNCTION("""COMPUTED_VALUE"""),"OPERATIVOS")</f>
        <v>OPERATIVOS</v>
      </c>
      <c r="M204" s="64" t="str">
        <f>IFERROR(__xludf.DUMMYFUNCTION("""COMPUTED_VALUE"""),"SANCIÓN")</f>
        <v>SANCIÓN</v>
      </c>
      <c r="N204" s="64" t="str">
        <f>IFERROR(__xludf.DUMMYFUNCTION("""COMPUTED_VALUE"""),"SISTEMA ELECTRICO")</f>
        <v>SISTEMA ELECTRICO</v>
      </c>
      <c r="O204" s="64" t="str">
        <f>IFERROR(__xludf.DUMMYFUNCTION("""COMPUTED_VALUE"""),"ASISTENCIA AL USUARIO")</f>
        <v>ASISTENCIA AL USUARIO</v>
      </c>
      <c r="P204" s="64" t="str">
        <f>IFERROR(__xludf.DUMMYFUNCTION("""COMPUTED_VALUE"""),"DOBLE REMOLQUE")</f>
        <v>DOBLE REMOLQUE</v>
      </c>
      <c r="Q204" s="64" t="str">
        <f>IFERROR(__xludf.DUMMYFUNCTION("""COMPUTED_VALUE"""),"SINAPRESE")</f>
        <v>SINAPRESE</v>
      </c>
      <c r="R204" s="64" t="str">
        <f>IFERROR(__xludf.DUMMYFUNCTION("""COMPUTED_VALUE"""),"APOYO ATLETISMO")</f>
        <v>APOYO ATLETISMO</v>
      </c>
      <c r="S204" s="64" t="str">
        <f>IFERROR(__xludf.DUMMYFUNCTION("""COMPUTED_VALUE"""),"APOYO A CICLISMO")</f>
        <v>APOYO A CICLISMO</v>
      </c>
      <c r="T204" s="64" t="str">
        <f>IFERROR(__xludf.DUMMYFUNCTION("""COMPUTED_VALUE"""),"DESCARGA DE BATERÍA")</f>
        <v>DESCARGA DE BATERÍA</v>
      </c>
      <c r="U204" s="64" t="str">
        <f>IFERROR(__xludf.DUMMYFUNCTION("""COMPUTED_VALUE"""),"PROBLEMAS DE SALUD")</f>
        <v>PROBLEMAS DE SALUD</v>
      </c>
      <c r="V204" s="64" t="str">
        <f>IFERROR(__xludf.DUMMYFUNCTION("""COMPUTED_VALUE"""),"OLVIDO LA LLAVE")</f>
        <v>OLVIDO LA LLAVE</v>
      </c>
      <c r="W204" s="64" t="str">
        <f>IFERROR(__xludf.DUMMYFUNCTION("""COMPUTED_VALUE"""),"CARGA SOBREDIMENSIONADA")</f>
        <v>CARGA SOBREDIMENSIONADA</v>
      </c>
      <c r="X204" s="64" t="str">
        <f>IFERROR(__xludf.DUMMYFUNCTION("""COMPUTED_VALUE"""),"VEHÍCULO ABANDONADO")</f>
        <v>VEHÍCULO ABANDONADO</v>
      </c>
      <c r="Y204" s="64" t="str">
        <f>IFERROR(__xludf.DUMMYFUNCTION("""COMPUTED_VALUE"""),"DESPRENDIMIENTO")</f>
        <v>DESPRENDIMIENTO</v>
      </c>
      <c r="Z204" s="64" t="str">
        <f>IFERROR(__xludf.DUMMYFUNCTION("""COMPUTED_VALUE"""),"CAÍDA DE POSTE")</f>
        <v>CAÍDA DE POSTE</v>
      </c>
      <c r="AA204" s="64" t="str">
        <f>IFERROR(__xludf.DUMMYFUNCTION("""COMPUTED_VALUE"""),"CAÍDA DE RAMA")</f>
        <v>CAÍDA DE RAMA</v>
      </c>
      <c r="AB204" s="64" t="str">
        <f>IFERROR(__xludf.DUMMYFUNCTION("""COMPUTED_VALUE"""),"OPERATIVO DGT")</f>
        <v>OPERATIVO DGT</v>
      </c>
      <c r="AC204" s="64" t="str">
        <f>IFERROR(__xludf.DUMMYFUNCTION("""COMPUTED_VALUE"""),"OPERATIVO PMT")</f>
        <v>OPERATIVO PMT</v>
      </c>
      <c r="AD204" s="64" t="str">
        <f>IFERROR(__xludf.DUMMYFUNCTION("""COMPUTED_VALUE"""),"APOYO A DIGEF")</f>
        <v>APOYO A DIGEF</v>
      </c>
      <c r="AE204" s="64" t="str">
        <f>IFERROR(__xludf.DUMMYFUNCTION("""COMPUTED_VALUE"""),"OPERATIVO PNC TRANSITO")</f>
        <v>OPERATIVO PNC TRANSITO</v>
      </c>
      <c r="AF204" s="64" t="str">
        <f>IFERROR(__xludf.DUMMYFUNCTION("""COMPUTED_VALUE"""),"SOBRECARGA ")</f>
        <v>SOBRECARGA </v>
      </c>
      <c r="AG204" s="64" t="str">
        <f>IFERROR(__xludf.DUMMYFUNCTION("""COMPUTED_VALUE"""),"OPERATIVO EN CONJUNTO")</f>
        <v>OPERATIVO EN CONJUNTO</v>
      </c>
      <c r="AH204" s="64" t="str">
        <f>IFERROR(__xludf.DUMMYFUNCTION("""COMPUTED_VALUE"""),"PUESTO DE ATENCION AL USUARIO")</f>
        <v>PUESTO DE ATENCION AL USUARIO</v>
      </c>
      <c r="AI204" s="64" t="str">
        <f>IFERROR(__xludf.DUMMYFUNCTION("""COMPUTED_VALUE"""),"INCENDIO EN RUTA")</f>
        <v>INCENDIO EN RUTA</v>
      </c>
      <c r="AJ204" s="64" t="str">
        <f>IFERROR(__xludf.DUMMYFUNCTION("""COMPUTED_VALUE"""),"APOYO ANTORCHA ")</f>
        <v>APOYO ANTORCHA </v>
      </c>
    </row>
    <row r="205">
      <c r="B205" s="64" t="s">
        <v>54</v>
      </c>
      <c r="C205" s="64" t="str">
        <f>IFERROR(__xludf.DUMMYFUNCTION(" TRANSPOSE( unique ( QUERY(DATOPRO,""select Col2 where Col1 = '""&amp;B205&amp;""'"")))"),"PINCHAZO")</f>
        <v>PINCHAZO</v>
      </c>
      <c r="D205" s="64" t="str">
        <f>IFERROR(__xludf.DUMMYFUNCTION("""COMPUTED_VALUE"""),"TRABAJOS DE CARRETERA")</f>
        <v>TRABAJOS DE CARRETERA</v>
      </c>
      <c r="E205" s="64" t="str">
        <f>IFERROR(__xludf.DUMMYFUNCTION("""COMPUTED_VALUE"""),"CONSIGNACIÓN")</f>
        <v>CONSIGNACIÓN</v>
      </c>
      <c r="F205" s="64" t="str">
        <f>IFERROR(__xludf.DUMMYFUNCTION("""COMPUTED_VALUE"""),"DERRAME")</f>
        <v>DERRAME</v>
      </c>
      <c r="G205" s="64" t="str">
        <f>IFERROR(__xludf.DUMMYFUNCTION("""COMPUTED_VALUE"""),"CALENTAMIENTO")</f>
        <v>CALENTAMIENTO</v>
      </c>
      <c r="H205" s="64" t="str">
        <f>IFERROR(__xludf.DUMMYFUNCTION("""COMPUTED_VALUE"""),"ESCOLTANDO")</f>
        <v>ESCOLTANDO</v>
      </c>
      <c r="I205" s="64" t="str">
        <f>IFERROR(__xludf.DUMMYFUNCTION("""COMPUTED_VALUE"""),"FALTA DE COMBUSTIBLE")</f>
        <v>FALTA DE COMBUSTIBLE</v>
      </c>
      <c r="J205" s="64" t="str">
        <f>IFERROR(__xludf.DUMMYFUNCTION("""COMPUTED_VALUE"""),"DESPERFECTOS MECÁNICOS")</f>
        <v>DESPERFECTOS MECÁNICOS</v>
      </c>
      <c r="K205" s="64" t="str">
        <f>IFERROR(__xludf.DUMMYFUNCTION("""COMPUTED_VALUE"""),"LLAMADA DE ATENCIÓN")</f>
        <v>LLAMADA DE ATENCIÓN</v>
      </c>
      <c r="L205" s="64" t="str">
        <f>IFERROR(__xludf.DUMMYFUNCTION("""COMPUTED_VALUE"""),"OPERATIVOS")</f>
        <v>OPERATIVOS</v>
      </c>
      <c r="M205" s="64" t="str">
        <f>IFERROR(__xludf.DUMMYFUNCTION("""COMPUTED_VALUE"""),"SANCIÓN")</f>
        <v>SANCIÓN</v>
      </c>
      <c r="N205" s="64" t="str">
        <f>IFERROR(__xludf.DUMMYFUNCTION("""COMPUTED_VALUE"""),"SISTEMA ELECTRICO")</f>
        <v>SISTEMA ELECTRICO</v>
      </c>
      <c r="O205" s="64" t="str">
        <f>IFERROR(__xludf.DUMMYFUNCTION("""COMPUTED_VALUE"""),"ASISTENCIA AL USUARIO")</f>
        <v>ASISTENCIA AL USUARIO</v>
      </c>
      <c r="P205" s="64" t="str">
        <f>IFERROR(__xludf.DUMMYFUNCTION("""COMPUTED_VALUE"""),"DOBLE REMOLQUE")</f>
        <v>DOBLE REMOLQUE</v>
      </c>
      <c r="Q205" s="64" t="str">
        <f>IFERROR(__xludf.DUMMYFUNCTION("""COMPUTED_VALUE"""),"SINAPRESE")</f>
        <v>SINAPRESE</v>
      </c>
      <c r="R205" s="64" t="str">
        <f>IFERROR(__xludf.DUMMYFUNCTION("""COMPUTED_VALUE"""),"APOYO ATLETISMO")</f>
        <v>APOYO ATLETISMO</v>
      </c>
      <c r="S205" s="64" t="str">
        <f>IFERROR(__xludf.DUMMYFUNCTION("""COMPUTED_VALUE"""),"APOYO A CICLISMO")</f>
        <v>APOYO A CICLISMO</v>
      </c>
      <c r="T205" s="64" t="str">
        <f>IFERROR(__xludf.DUMMYFUNCTION("""COMPUTED_VALUE"""),"DESCARGA DE BATERÍA")</f>
        <v>DESCARGA DE BATERÍA</v>
      </c>
      <c r="U205" s="64" t="str">
        <f>IFERROR(__xludf.DUMMYFUNCTION("""COMPUTED_VALUE"""),"PROBLEMAS DE SALUD")</f>
        <v>PROBLEMAS DE SALUD</v>
      </c>
      <c r="V205" s="64" t="str">
        <f>IFERROR(__xludf.DUMMYFUNCTION("""COMPUTED_VALUE"""),"OLVIDO LA LLAVE")</f>
        <v>OLVIDO LA LLAVE</v>
      </c>
      <c r="W205" s="64" t="str">
        <f>IFERROR(__xludf.DUMMYFUNCTION("""COMPUTED_VALUE"""),"CARGA SOBREDIMENSIONADA")</f>
        <v>CARGA SOBREDIMENSIONADA</v>
      </c>
      <c r="X205" s="64" t="str">
        <f>IFERROR(__xludf.DUMMYFUNCTION("""COMPUTED_VALUE"""),"VEHÍCULO ABANDONADO")</f>
        <v>VEHÍCULO ABANDONADO</v>
      </c>
      <c r="Y205" s="64" t="str">
        <f>IFERROR(__xludf.DUMMYFUNCTION("""COMPUTED_VALUE"""),"DESPRENDIMIENTO")</f>
        <v>DESPRENDIMIENTO</v>
      </c>
      <c r="Z205" s="64" t="str">
        <f>IFERROR(__xludf.DUMMYFUNCTION("""COMPUTED_VALUE"""),"CAÍDA DE POSTE")</f>
        <v>CAÍDA DE POSTE</v>
      </c>
      <c r="AA205" s="64" t="str">
        <f>IFERROR(__xludf.DUMMYFUNCTION("""COMPUTED_VALUE"""),"CAÍDA DE RAMA")</f>
        <v>CAÍDA DE RAMA</v>
      </c>
      <c r="AB205" s="64" t="str">
        <f>IFERROR(__xludf.DUMMYFUNCTION("""COMPUTED_VALUE"""),"OPERATIVO DGT")</f>
        <v>OPERATIVO DGT</v>
      </c>
      <c r="AC205" s="64" t="str">
        <f>IFERROR(__xludf.DUMMYFUNCTION("""COMPUTED_VALUE"""),"OPERATIVO PMT")</f>
        <v>OPERATIVO PMT</v>
      </c>
      <c r="AD205" s="64" t="str">
        <f>IFERROR(__xludf.DUMMYFUNCTION("""COMPUTED_VALUE"""),"APOYO A DIGEF")</f>
        <v>APOYO A DIGEF</v>
      </c>
      <c r="AE205" s="64" t="str">
        <f>IFERROR(__xludf.DUMMYFUNCTION("""COMPUTED_VALUE"""),"OPERATIVO PNC TRANSITO")</f>
        <v>OPERATIVO PNC TRANSITO</v>
      </c>
      <c r="AF205" s="64" t="str">
        <f>IFERROR(__xludf.DUMMYFUNCTION("""COMPUTED_VALUE"""),"SOBRECARGA ")</f>
        <v>SOBRECARGA </v>
      </c>
      <c r="AG205" s="64" t="str">
        <f>IFERROR(__xludf.DUMMYFUNCTION("""COMPUTED_VALUE"""),"OPERATIVO EN CONJUNTO")</f>
        <v>OPERATIVO EN CONJUNTO</v>
      </c>
      <c r="AH205" s="64" t="str">
        <f>IFERROR(__xludf.DUMMYFUNCTION("""COMPUTED_VALUE"""),"PUESTO DE ATENCION AL USUARIO")</f>
        <v>PUESTO DE ATENCION AL USUARIO</v>
      </c>
      <c r="AI205" s="64" t="str">
        <f>IFERROR(__xludf.DUMMYFUNCTION("""COMPUTED_VALUE"""),"INCENDIO EN RUTA")</f>
        <v>INCENDIO EN RUTA</v>
      </c>
      <c r="AJ205" s="64" t="str">
        <f>IFERROR(__xludf.DUMMYFUNCTION("""COMPUTED_VALUE"""),"APOYO ANTORCHA ")</f>
        <v>APOYO ANTORCHA </v>
      </c>
    </row>
    <row r="206">
      <c r="B206" s="64" t="s">
        <v>54</v>
      </c>
      <c r="C206" s="64" t="str">
        <f>IFERROR(__xludf.DUMMYFUNCTION(" TRANSPOSE( unique ( QUERY(DATOPRO,""select Col2 where Col1 = '""&amp;B206&amp;""'"")))"),"PINCHAZO")</f>
        <v>PINCHAZO</v>
      </c>
      <c r="D206" s="64" t="str">
        <f>IFERROR(__xludf.DUMMYFUNCTION("""COMPUTED_VALUE"""),"TRABAJOS DE CARRETERA")</f>
        <v>TRABAJOS DE CARRETERA</v>
      </c>
      <c r="E206" s="64" t="str">
        <f>IFERROR(__xludf.DUMMYFUNCTION("""COMPUTED_VALUE"""),"CONSIGNACIÓN")</f>
        <v>CONSIGNACIÓN</v>
      </c>
      <c r="F206" s="64" t="str">
        <f>IFERROR(__xludf.DUMMYFUNCTION("""COMPUTED_VALUE"""),"DERRAME")</f>
        <v>DERRAME</v>
      </c>
      <c r="G206" s="64" t="str">
        <f>IFERROR(__xludf.DUMMYFUNCTION("""COMPUTED_VALUE"""),"CALENTAMIENTO")</f>
        <v>CALENTAMIENTO</v>
      </c>
      <c r="H206" s="64" t="str">
        <f>IFERROR(__xludf.DUMMYFUNCTION("""COMPUTED_VALUE"""),"ESCOLTANDO")</f>
        <v>ESCOLTANDO</v>
      </c>
      <c r="I206" s="64" t="str">
        <f>IFERROR(__xludf.DUMMYFUNCTION("""COMPUTED_VALUE"""),"FALTA DE COMBUSTIBLE")</f>
        <v>FALTA DE COMBUSTIBLE</v>
      </c>
      <c r="J206" s="64" t="str">
        <f>IFERROR(__xludf.DUMMYFUNCTION("""COMPUTED_VALUE"""),"DESPERFECTOS MECÁNICOS")</f>
        <v>DESPERFECTOS MECÁNICOS</v>
      </c>
      <c r="K206" s="64" t="str">
        <f>IFERROR(__xludf.DUMMYFUNCTION("""COMPUTED_VALUE"""),"LLAMADA DE ATENCIÓN")</f>
        <v>LLAMADA DE ATENCIÓN</v>
      </c>
      <c r="L206" s="64" t="str">
        <f>IFERROR(__xludf.DUMMYFUNCTION("""COMPUTED_VALUE"""),"OPERATIVOS")</f>
        <v>OPERATIVOS</v>
      </c>
      <c r="M206" s="64" t="str">
        <f>IFERROR(__xludf.DUMMYFUNCTION("""COMPUTED_VALUE"""),"SANCIÓN")</f>
        <v>SANCIÓN</v>
      </c>
      <c r="N206" s="64" t="str">
        <f>IFERROR(__xludf.DUMMYFUNCTION("""COMPUTED_VALUE"""),"SISTEMA ELECTRICO")</f>
        <v>SISTEMA ELECTRICO</v>
      </c>
      <c r="O206" s="64" t="str">
        <f>IFERROR(__xludf.DUMMYFUNCTION("""COMPUTED_VALUE"""),"ASISTENCIA AL USUARIO")</f>
        <v>ASISTENCIA AL USUARIO</v>
      </c>
      <c r="P206" s="64" t="str">
        <f>IFERROR(__xludf.DUMMYFUNCTION("""COMPUTED_VALUE"""),"DOBLE REMOLQUE")</f>
        <v>DOBLE REMOLQUE</v>
      </c>
      <c r="Q206" s="64" t="str">
        <f>IFERROR(__xludf.DUMMYFUNCTION("""COMPUTED_VALUE"""),"SINAPRESE")</f>
        <v>SINAPRESE</v>
      </c>
      <c r="R206" s="64" t="str">
        <f>IFERROR(__xludf.DUMMYFUNCTION("""COMPUTED_VALUE"""),"APOYO ATLETISMO")</f>
        <v>APOYO ATLETISMO</v>
      </c>
      <c r="S206" s="64" t="str">
        <f>IFERROR(__xludf.DUMMYFUNCTION("""COMPUTED_VALUE"""),"APOYO A CICLISMO")</f>
        <v>APOYO A CICLISMO</v>
      </c>
      <c r="T206" s="64" t="str">
        <f>IFERROR(__xludf.DUMMYFUNCTION("""COMPUTED_VALUE"""),"DESCARGA DE BATERÍA")</f>
        <v>DESCARGA DE BATERÍA</v>
      </c>
      <c r="U206" s="64" t="str">
        <f>IFERROR(__xludf.DUMMYFUNCTION("""COMPUTED_VALUE"""),"PROBLEMAS DE SALUD")</f>
        <v>PROBLEMAS DE SALUD</v>
      </c>
      <c r="V206" s="64" t="str">
        <f>IFERROR(__xludf.DUMMYFUNCTION("""COMPUTED_VALUE"""),"OLVIDO LA LLAVE")</f>
        <v>OLVIDO LA LLAVE</v>
      </c>
      <c r="W206" s="64" t="str">
        <f>IFERROR(__xludf.DUMMYFUNCTION("""COMPUTED_VALUE"""),"CARGA SOBREDIMENSIONADA")</f>
        <v>CARGA SOBREDIMENSIONADA</v>
      </c>
      <c r="X206" s="64" t="str">
        <f>IFERROR(__xludf.DUMMYFUNCTION("""COMPUTED_VALUE"""),"VEHÍCULO ABANDONADO")</f>
        <v>VEHÍCULO ABANDONADO</v>
      </c>
      <c r="Y206" s="64" t="str">
        <f>IFERROR(__xludf.DUMMYFUNCTION("""COMPUTED_VALUE"""),"DESPRENDIMIENTO")</f>
        <v>DESPRENDIMIENTO</v>
      </c>
      <c r="Z206" s="64" t="str">
        <f>IFERROR(__xludf.DUMMYFUNCTION("""COMPUTED_VALUE"""),"CAÍDA DE POSTE")</f>
        <v>CAÍDA DE POSTE</v>
      </c>
      <c r="AA206" s="64" t="str">
        <f>IFERROR(__xludf.DUMMYFUNCTION("""COMPUTED_VALUE"""),"CAÍDA DE RAMA")</f>
        <v>CAÍDA DE RAMA</v>
      </c>
      <c r="AB206" s="64" t="str">
        <f>IFERROR(__xludf.DUMMYFUNCTION("""COMPUTED_VALUE"""),"OPERATIVO DGT")</f>
        <v>OPERATIVO DGT</v>
      </c>
      <c r="AC206" s="64" t="str">
        <f>IFERROR(__xludf.DUMMYFUNCTION("""COMPUTED_VALUE"""),"OPERATIVO PMT")</f>
        <v>OPERATIVO PMT</v>
      </c>
      <c r="AD206" s="64" t="str">
        <f>IFERROR(__xludf.DUMMYFUNCTION("""COMPUTED_VALUE"""),"APOYO A DIGEF")</f>
        <v>APOYO A DIGEF</v>
      </c>
      <c r="AE206" s="64" t="str">
        <f>IFERROR(__xludf.DUMMYFUNCTION("""COMPUTED_VALUE"""),"OPERATIVO PNC TRANSITO")</f>
        <v>OPERATIVO PNC TRANSITO</v>
      </c>
      <c r="AF206" s="64" t="str">
        <f>IFERROR(__xludf.DUMMYFUNCTION("""COMPUTED_VALUE"""),"SOBRECARGA ")</f>
        <v>SOBRECARGA </v>
      </c>
      <c r="AG206" s="64" t="str">
        <f>IFERROR(__xludf.DUMMYFUNCTION("""COMPUTED_VALUE"""),"OPERATIVO EN CONJUNTO")</f>
        <v>OPERATIVO EN CONJUNTO</v>
      </c>
      <c r="AH206" s="64" t="str">
        <f>IFERROR(__xludf.DUMMYFUNCTION("""COMPUTED_VALUE"""),"PUESTO DE ATENCION AL USUARIO")</f>
        <v>PUESTO DE ATENCION AL USUARIO</v>
      </c>
      <c r="AI206" s="64" t="str">
        <f>IFERROR(__xludf.DUMMYFUNCTION("""COMPUTED_VALUE"""),"INCENDIO EN RUTA")</f>
        <v>INCENDIO EN RUTA</v>
      </c>
      <c r="AJ206" s="64" t="str">
        <f>IFERROR(__xludf.DUMMYFUNCTION("""COMPUTED_VALUE"""),"APOYO ANTORCHA ")</f>
        <v>APOYO ANTORCHA </v>
      </c>
    </row>
    <row r="207">
      <c r="B207" s="64"/>
      <c r="C207" s="64" t="str">
        <f>IFERROR(__xludf.DUMMYFUNCTION(" TRANSPOSE( unique ( QUERY(DATOPRO,""select Col2 where Col1 = '""&amp;B207&amp;""'"")))"),"")</f>
        <v/>
      </c>
    </row>
    <row r="208">
      <c r="B208" s="64" t="s">
        <v>38</v>
      </c>
      <c r="C208" s="64" t="str">
        <f>IFERROR(__xludf.DUMMYFUNCTION(" TRANSPOSE( unique ( QUERY(DATOPRO,""select Col2 where Col1 = '""&amp;B208&amp;""'"")))"),"ATAQUE ARMADO")</f>
        <v>ATAQUE ARMADO</v>
      </c>
      <c r="D208" s="64" t="str">
        <f>IFERROR(__xludf.DUMMYFUNCTION("""COMPUTED_VALUE"""),"DESBALANCE DE CARGA")</f>
        <v>DESBALANCE DE CARGA</v>
      </c>
      <c r="E208" s="64" t="str">
        <f>IFERROR(__xludf.DUMMYFUNCTION("""COMPUTED_VALUE"""),"PERSONA FALLECIDA")</f>
        <v>PERSONA FALLECIDA</v>
      </c>
      <c r="F208" s="64" t="str">
        <f>IFERROR(__xludf.DUMMYFUNCTION("""COMPUTED_VALUE"""),"DESPRENDIMIENTO DE NEUMATICO")</f>
        <v>DESPRENDIMIENTO DE NEUMATICO</v>
      </c>
      <c r="G208" s="64" t="str">
        <f>IFERROR(__xludf.DUMMYFUNCTION("""COMPUTED_VALUE"""),"SALIDA DE PISTA")</f>
        <v>SALIDA DE PISTA</v>
      </c>
      <c r="H208" s="64" t="str">
        <f>IFERROR(__xludf.DUMMYFUNCTION("""COMPUTED_VALUE"""),"DESPRENDIMIENTO DE CONTENEDOR")</f>
        <v>DESPRENDIMIENTO DE CONTENEDOR</v>
      </c>
      <c r="I208" s="64" t="str">
        <f>IFERROR(__xludf.DUMMYFUNCTION("""COMPUTED_VALUE"""),"CAÍDA DE CARGA")</f>
        <v>CAÍDA DE CARGA</v>
      </c>
      <c r="J208" s="64" t="str">
        <f>IFERROR(__xludf.DUMMYFUNCTION("""COMPUTED_VALUE"""),"CHOQUE")</f>
        <v>CHOQUE</v>
      </c>
      <c r="K208" s="64" t="str">
        <f>IFERROR(__xludf.DUMMYFUNCTION("""COMPUTED_VALUE"""),"COLISIÓN")</f>
        <v>COLISIÓN</v>
      </c>
      <c r="L208" s="64" t="str">
        <f>IFERROR(__xludf.DUMMYFUNCTION("""COMPUTED_VALUE"""),"COLISIÓN MÚLTIPLE")</f>
        <v>COLISIÓN MÚLTIPLE</v>
      </c>
      <c r="M208" s="64" t="str">
        <f>IFERROR(__xludf.DUMMYFUNCTION("""COMPUTED_VALUE"""),"DERRAPE")</f>
        <v>DERRAPE</v>
      </c>
      <c r="N208" s="64" t="str">
        <f>IFERROR(__xludf.DUMMYFUNCTION("""COMPUTED_VALUE"""),"VEHÍCULO INCENDIADO")</f>
        <v>VEHÍCULO INCENDIADO</v>
      </c>
      <c r="O208" s="64" t="str">
        <f>IFERROR(__xludf.DUMMYFUNCTION("""COMPUTED_VALUE"""),"VUELCO")</f>
        <v>VUELCO</v>
      </c>
      <c r="P208" s="64" t="str">
        <f>IFERROR(__xludf.DUMMYFUNCTION("""COMPUTED_VALUE"""),"DESPRENDIMIENTO")</f>
        <v>DESPRENDIMIENTO</v>
      </c>
      <c r="Q208" s="64" t="str">
        <f>IFERROR(__xludf.DUMMYFUNCTION("""COMPUTED_VALUE"""),"CAÍDA DE ÁRBOL")</f>
        <v>CAÍDA DE ÁRBOL</v>
      </c>
      <c r="R208" s="64" t="str">
        <f>IFERROR(__xludf.DUMMYFUNCTION("""COMPUTED_VALUE"""),"DESPRENDIMIENTO DE EJE")</f>
        <v>DESPRENDIMIENTO DE EJE</v>
      </c>
      <c r="S208" s="64" t="str">
        <f>IFERROR(__xludf.DUMMYFUNCTION("""COMPUTED_VALUE"""),"PERSONA ATROPELLADA")</f>
        <v>PERSONA ATROPELLADA</v>
      </c>
    </row>
    <row r="209">
      <c r="B209" s="64" t="s">
        <v>54</v>
      </c>
      <c r="C209" s="64" t="str">
        <f>IFERROR(__xludf.DUMMYFUNCTION(" TRANSPOSE( unique ( QUERY(DATOPRO,""select Col2 where Col1 = '""&amp;B209&amp;""'"")))"),"PINCHAZO")</f>
        <v>PINCHAZO</v>
      </c>
      <c r="D209" s="64" t="str">
        <f>IFERROR(__xludf.DUMMYFUNCTION("""COMPUTED_VALUE"""),"TRABAJOS DE CARRETERA")</f>
        <v>TRABAJOS DE CARRETERA</v>
      </c>
      <c r="E209" s="64" t="str">
        <f>IFERROR(__xludf.DUMMYFUNCTION("""COMPUTED_VALUE"""),"CONSIGNACIÓN")</f>
        <v>CONSIGNACIÓN</v>
      </c>
      <c r="F209" s="64" t="str">
        <f>IFERROR(__xludf.DUMMYFUNCTION("""COMPUTED_VALUE"""),"DERRAME")</f>
        <v>DERRAME</v>
      </c>
      <c r="G209" s="64" t="str">
        <f>IFERROR(__xludf.DUMMYFUNCTION("""COMPUTED_VALUE"""),"CALENTAMIENTO")</f>
        <v>CALENTAMIENTO</v>
      </c>
      <c r="H209" s="64" t="str">
        <f>IFERROR(__xludf.DUMMYFUNCTION("""COMPUTED_VALUE"""),"ESCOLTANDO")</f>
        <v>ESCOLTANDO</v>
      </c>
      <c r="I209" s="64" t="str">
        <f>IFERROR(__xludf.DUMMYFUNCTION("""COMPUTED_VALUE"""),"FALTA DE COMBUSTIBLE")</f>
        <v>FALTA DE COMBUSTIBLE</v>
      </c>
      <c r="J209" s="64" t="str">
        <f>IFERROR(__xludf.DUMMYFUNCTION("""COMPUTED_VALUE"""),"DESPERFECTOS MECÁNICOS")</f>
        <v>DESPERFECTOS MECÁNICOS</v>
      </c>
      <c r="K209" s="64" t="str">
        <f>IFERROR(__xludf.DUMMYFUNCTION("""COMPUTED_VALUE"""),"LLAMADA DE ATENCIÓN")</f>
        <v>LLAMADA DE ATENCIÓN</v>
      </c>
      <c r="L209" s="64" t="str">
        <f>IFERROR(__xludf.DUMMYFUNCTION("""COMPUTED_VALUE"""),"OPERATIVOS")</f>
        <v>OPERATIVOS</v>
      </c>
      <c r="M209" s="64" t="str">
        <f>IFERROR(__xludf.DUMMYFUNCTION("""COMPUTED_VALUE"""),"SANCIÓN")</f>
        <v>SANCIÓN</v>
      </c>
      <c r="N209" s="64" t="str">
        <f>IFERROR(__xludf.DUMMYFUNCTION("""COMPUTED_VALUE"""),"SISTEMA ELECTRICO")</f>
        <v>SISTEMA ELECTRICO</v>
      </c>
      <c r="O209" s="64" t="str">
        <f>IFERROR(__xludf.DUMMYFUNCTION("""COMPUTED_VALUE"""),"ASISTENCIA AL USUARIO")</f>
        <v>ASISTENCIA AL USUARIO</v>
      </c>
      <c r="P209" s="64" t="str">
        <f>IFERROR(__xludf.DUMMYFUNCTION("""COMPUTED_VALUE"""),"DOBLE REMOLQUE")</f>
        <v>DOBLE REMOLQUE</v>
      </c>
      <c r="Q209" s="64" t="str">
        <f>IFERROR(__xludf.DUMMYFUNCTION("""COMPUTED_VALUE"""),"SINAPRESE")</f>
        <v>SINAPRESE</v>
      </c>
      <c r="R209" s="64" t="str">
        <f>IFERROR(__xludf.DUMMYFUNCTION("""COMPUTED_VALUE"""),"APOYO ATLETISMO")</f>
        <v>APOYO ATLETISMO</v>
      </c>
      <c r="S209" s="64" t="str">
        <f>IFERROR(__xludf.DUMMYFUNCTION("""COMPUTED_VALUE"""),"APOYO A CICLISMO")</f>
        <v>APOYO A CICLISMO</v>
      </c>
      <c r="T209" s="64" t="str">
        <f>IFERROR(__xludf.DUMMYFUNCTION("""COMPUTED_VALUE"""),"DESCARGA DE BATERÍA")</f>
        <v>DESCARGA DE BATERÍA</v>
      </c>
      <c r="U209" s="64" t="str">
        <f>IFERROR(__xludf.DUMMYFUNCTION("""COMPUTED_VALUE"""),"PROBLEMAS DE SALUD")</f>
        <v>PROBLEMAS DE SALUD</v>
      </c>
      <c r="V209" s="64" t="str">
        <f>IFERROR(__xludf.DUMMYFUNCTION("""COMPUTED_VALUE"""),"OLVIDO LA LLAVE")</f>
        <v>OLVIDO LA LLAVE</v>
      </c>
      <c r="W209" s="64" t="str">
        <f>IFERROR(__xludf.DUMMYFUNCTION("""COMPUTED_VALUE"""),"CARGA SOBREDIMENSIONADA")</f>
        <v>CARGA SOBREDIMENSIONADA</v>
      </c>
      <c r="X209" s="64" t="str">
        <f>IFERROR(__xludf.DUMMYFUNCTION("""COMPUTED_VALUE"""),"VEHÍCULO ABANDONADO")</f>
        <v>VEHÍCULO ABANDONADO</v>
      </c>
      <c r="Y209" s="64" t="str">
        <f>IFERROR(__xludf.DUMMYFUNCTION("""COMPUTED_VALUE"""),"DESPRENDIMIENTO")</f>
        <v>DESPRENDIMIENTO</v>
      </c>
      <c r="Z209" s="64" t="str">
        <f>IFERROR(__xludf.DUMMYFUNCTION("""COMPUTED_VALUE"""),"CAÍDA DE POSTE")</f>
        <v>CAÍDA DE POSTE</v>
      </c>
      <c r="AA209" s="64" t="str">
        <f>IFERROR(__xludf.DUMMYFUNCTION("""COMPUTED_VALUE"""),"CAÍDA DE RAMA")</f>
        <v>CAÍDA DE RAMA</v>
      </c>
      <c r="AB209" s="64" t="str">
        <f>IFERROR(__xludf.DUMMYFUNCTION("""COMPUTED_VALUE"""),"OPERATIVO DGT")</f>
        <v>OPERATIVO DGT</v>
      </c>
      <c r="AC209" s="64" t="str">
        <f>IFERROR(__xludf.DUMMYFUNCTION("""COMPUTED_VALUE"""),"OPERATIVO PMT")</f>
        <v>OPERATIVO PMT</v>
      </c>
      <c r="AD209" s="64" t="str">
        <f>IFERROR(__xludf.DUMMYFUNCTION("""COMPUTED_VALUE"""),"APOYO A DIGEF")</f>
        <v>APOYO A DIGEF</v>
      </c>
      <c r="AE209" s="64" t="str">
        <f>IFERROR(__xludf.DUMMYFUNCTION("""COMPUTED_VALUE"""),"OPERATIVO PNC TRANSITO")</f>
        <v>OPERATIVO PNC TRANSITO</v>
      </c>
      <c r="AF209" s="64" t="str">
        <f>IFERROR(__xludf.DUMMYFUNCTION("""COMPUTED_VALUE"""),"SOBRECARGA ")</f>
        <v>SOBRECARGA </v>
      </c>
      <c r="AG209" s="64" t="str">
        <f>IFERROR(__xludf.DUMMYFUNCTION("""COMPUTED_VALUE"""),"OPERATIVO EN CONJUNTO")</f>
        <v>OPERATIVO EN CONJUNTO</v>
      </c>
      <c r="AH209" s="64" t="str">
        <f>IFERROR(__xludf.DUMMYFUNCTION("""COMPUTED_VALUE"""),"PUESTO DE ATENCION AL USUARIO")</f>
        <v>PUESTO DE ATENCION AL USUARIO</v>
      </c>
      <c r="AI209" s="64" t="str">
        <f>IFERROR(__xludf.DUMMYFUNCTION("""COMPUTED_VALUE"""),"INCENDIO EN RUTA")</f>
        <v>INCENDIO EN RUTA</v>
      </c>
      <c r="AJ209" s="64" t="str">
        <f>IFERROR(__xludf.DUMMYFUNCTION("""COMPUTED_VALUE"""),"APOYO ANTORCHA ")</f>
        <v>APOYO ANTORCHA </v>
      </c>
    </row>
    <row r="210">
      <c r="B210" s="64" t="s">
        <v>54</v>
      </c>
      <c r="C210" s="64" t="str">
        <f>IFERROR(__xludf.DUMMYFUNCTION(" TRANSPOSE( unique ( QUERY(DATOPRO,""select Col2 where Col1 = '""&amp;B210&amp;""'"")))"),"PINCHAZO")</f>
        <v>PINCHAZO</v>
      </c>
      <c r="D210" s="64" t="str">
        <f>IFERROR(__xludf.DUMMYFUNCTION("""COMPUTED_VALUE"""),"TRABAJOS DE CARRETERA")</f>
        <v>TRABAJOS DE CARRETERA</v>
      </c>
      <c r="E210" s="64" t="str">
        <f>IFERROR(__xludf.DUMMYFUNCTION("""COMPUTED_VALUE"""),"CONSIGNACIÓN")</f>
        <v>CONSIGNACIÓN</v>
      </c>
      <c r="F210" s="64" t="str">
        <f>IFERROR(__xludf.DUMMYFUNCTION("""COMPUTED_VALUE"""),"DERRAME")</f>
        <v>DERRAME</v>
      </c>
      <c r="G210" s="64" t="str">
        <f>IFERROR(__xludf.DUMMYFUNCTION("""COMPUTED_VALUE"""),"CALENTAMIENTO")</f>
        <v>CALENTAMIENTO</v>
      </c>
      <c r="H210" s="64" t="str">
        <f>IFERROR(__xludf.DUMMYFUNCTION("""COMPUTED_VALUE"""),"ESCOLTANDO")</f>
        <v>ESCOLTANDO</v>
      </c>
      <c r="I210" s="64" t="str">
        <f>IFERROR(__xludf.DUMMYFUNCTION("""COMPUTED_VALUE"""),"FALTA DE COMBUSTIBLE")</f>
        <v>FALTA DE COMBUSTIBLE</v>
      </c>
      <c r="J210" s="64" t="str">
        <f>IFERROR(__xludf.DUMMYFUNCTION("""COMPUTED_VALUE"""),"DESPERFECTOS MECÁNICOS")</f>
        <v>DESPERFECTOS MECÁNICOS</v>
      </c>
      <c r="K210" s="64" t="str">
        <f>IFERROR(__xludf.DUMMYFUNCTION("""COMPUTED_VALUE"""),"LLAMADA DE ATENCIÓN")</f>
        <v>LLAMADA DE ATENCIÓN</v>
      </c>
      <c r="L210" s="64" t="str">
        <f>IFERROR(__xludf.DUMMYFUNCTION("""COMPUTED_VALUE"""),"OPERATIVOS")</f>
        <v>OPERATIVOS</v>
      </c>
      <c r="M210" s="64" t="str">
        <f>IFERROR(__xludf.DUMMYFUNCTION("""COMPUTED_VALUE"""),"SANCIÓN")</f>
        <v>SANCIÓN</v>
      </c>
      <c r="N210" s="64" t="str">
        <f>IFERROR(__xludf.DUMMYFUNCTION("""COMPUTED_VALUE"""),"SISTEMA ELECTRICO")</f>
        <v>SISTEMA ELECTRICO</v>
      </c>
      <c r="O210" s="64" t="str">
        <f>IFERROR(__xludf.DUMMYFUNCTION("""COMPUTED_VALUE"""),"ASISTENCIA AL USUARIO")</f>
        <v>ASISTENCIA AL USUARIO</v>
      </c>
      <c r="P210" s="64" t="str">
        <f>IFERROR(__xludf.DUMMYFUNCTION("""COMPUTED_VALUE"""),"DOBLE REMOLQUE")</f>
        <v>DOBLE REMOLQUE</v>
      </c>
      <c r="Q210" s="64" t="str">
        <f>IFERROR(__xludf.DUMMYFUNCTION("""COMPUTED_VALUE"""),"SINAPRESE")</f>
        <v>SINAPRESE</v>
      </c>
      <c r="R210" s="64" t="str">
        <f>IFERROR(__xludf.DUMMYFUNCTION("""COMPUTED_VALUE"""),"APOYO ATLETISMO")</f>
        <v>APOYO ATLETISMO</v>
      </c>
      <c r="S210" s="64" t="str">
        <f>IFERROR(__xludf.DUMMYFUNCTION("""COMPUTED_VALUE"""),"APOYO A CICLISMO")</f>
        <v>APOYO A CICLISMO</v>
      </c>
      <c r="T210" s="64" t="str">
        <f>IFERROR(__xludf.DUMMYFUNCTION("""COMPUTED_VALUE"""),"DESCARGA DE BATERÍA")</f>
        <v>DESCARGA DE BATERÍA</v>
      </c>
      <c r="U210" s="64" t="str">
        <f>IFERROR(__xludf.DUMMYFUNCTION("""COMPUTED_VALUE"""),"PROBLEMAS DE SALUD")</f>
        <v>PROBLEMAS DE SALUD</v>
      </c>
      <c r="V210" s="64" t="str">
        <f>IFERROR(__xludf.DUMMYFUNCTION("""COMPUTED_VALUE"""),"OLVIDO LA LLAVE")</f>
        <v>OLVIDO LA LLAVE</v>
      </c>
      <c r="W210" s="64" t="str">
        <f>IFERROR(__xludf.DUMMYFUNCTION("""COMPUTED_VALUE"""),"CARGA SOBREDIMENSIONADA")</f>
        <v>CARGA SOBREDIMENSIONADA</v>
      </c>
      <c r="X210" s="64" t="str">
        <f>IFERROR(__xludf.DUMMYFUNCTION("""COMPUTED_VALUE"""),"VEHÍCULO ABANDONADO")</f>
        <v>VEHÍCULO ABANDONADO</v>
      </c>
      <c r="Y210" s="64" t="str">
        <f>IFERROR(__xludf.DUMMYFUNCTION("""COMPUTED_VALUE"""),"DESPRENDIMIENTO")</f>
        <v>DESPRENDIMIENTO</v>
      </c>
      <c r="Z210" s="64" t="str">
        <f>IFERROR(__xludf.DUMMYFUNCTION("""COMPUTED_VALUE"""),"CAÍDA DE POSTE")</f>
        <v>CAÍDA DE POSTE</v>
      </c>
      <c r="AA210" s="64" t="str">
        <f>IFERROR(__xludf.DUMMYFUNCTION("""COMPUTED_VALUE"""),"CAÍDA DE RAMA")</f>
        <v>CAÍDA DE RAMA</v>
      </c>
      <c r="AB210" s="64" t="str">
        <f>IFERROR(__xludf.DUMMYFUNCTION("""COMPUTED_VALUE"""),"OPERATIVO DGT")</f>
        <v>OPERATIVO DGT</v>
      </c>
      <c r="AC210" s="64" t="str">
        <f>IFERROR(__xludf.DUMMYFUNCTION("""COMPUTED_VALUE"""),"OPERATIVO PMT")</f>
        <v>OPERATIVO PMT</v>
      </c>
      <c r="AD210" s="64" t="str">
        <f>IFERROR(__xludf.DUMMYFUNCTION("""COMPUTED_VALUE"""),"APOYO A DIGEF")</f>
        <v>APOYO A DIGEF</v>
      </c>
      <c r="AE210" s="64" t="str">
        <f>IFERROR(__xludf.DUMMYFUNCTION("""COMPUTED_VALUE"""),"OPERATIVO PNC TRANSITO")</f>
        <v>OPERATIVO PNC TRANSITO</v>
      </c>
      <c r="AF210" s="64" t="str">
        <f>IFERROR(__xludf.DUMMYFUNCTION("""COMPUTED_VALUE"""),"SOBRECARGA ")</f>
        <v>SOBRECARGA </v>
      </c>
      <c r="AG210" s="64" t="str">
        <f>IFERROR(__xludf.DUMMYFUNCTION("""COMPUTED_VALUE"""),"OPERATIVO EN CONJUNTO")</f>
        <v>OPERATIVO EN CONJUNTO</v>
      </c>
      <c r="AH210" s="64" t="str">
        <f>IFERROR(__xludf.DUMMYFUNCTION("""COMPUTED_VALUE"""),"PUESTO DE ATENCION AL USUARIO")</f>
        <v>PUESTO DE ATENCION AL USUARIO</v>
      </c>
      <c r="AI210" s="64" t="str">
        <f>IFERROR(__xludf.DUMMYFUNCTION("""COMPUTED_VALUE"""),"INCENDIO EN RUTA")</f>
        <v>INCENDIO EN RUTA</v>
      </c>
      <c r="AJ210" s="64" t="str">
        <f>IFERROR(__xludf.DUMMYFUNCTION("""COMPUTED_VALUE"""),"APOYO ANTORCHA ")</f>
        <v>APOYO ANTORCHA </v>
      </c>
    </row>
    <row r="211">
      <c r="B211" s="64"/>
      <c r="C211" s="64" t="str">
        <f>IFERROR(__xludf.DUMMYFUNCTION(" TRANSPOSE( unique ( QUERY(DATOPRO,""select Col2 where Col1 = '""&amp;B211&amp;""'"")))"),"")</f>
        <v/>
      </c>
    </row>
    <row r="212">
      <c r="B212" s="64" t="s">
        <v>38</v>
      </c>
      <c r="C212" s="64" t="str">
        <f>IFERROR(__xludf.DUMMYFUNCTION(" TRANSPOSE( unique ( QUERY(DATOPRO,""select Col2 where Col1 = '""&amp;B212&amp;""'"")))"),"ATAQUE ARMADO")</f>
        <v>ATAQUE ARMADO</v>
      </c>
      <c r="D212" s="64" t="str">
        <f>IFERROR(__xludf.DUMMYFUNCTION("""COMPUTED_VALUE"""),"DESBALANCE DE CARGA")</f>
        <v>DESBALANCE DE CARGA</v>
      </c>
      <c r="E212" s="64" t="str">
        <f>IFERROR(__xludf.DUMMYFUNCTION("""COMPUTED_VALUE"""),"PERSONA FALLECIDA")</f>
        <v>PERSONA FALLECIDA</v>
      </c>
      <c r="F212" s="64" t="str">
        <f>IFERROR(__xludf.DUMMYFUNCTION("""COMPUTED_VALUE"""),"DESPRENDIMIENTO DE NEUMATICO")</f>
        <v>DESPRENDIMIENTO DE NEUMATICO</v>
      </c>
      <c r="G212" s="64" t="str">
        <f>IFERROR(__xludf.DUMMYFUNCTION("""COMPUTED_VALUE"""),"SALIDA DE PISTA")</f>
        <v>SALIDA DE PISTA</v>
      </c>
      <c r="H212" s="64" t="str">
        <f>IFERROR(__xludf.DUMMYFUNCTION("""COMPUTED_VALUE"""),"DESPRENDIMIENTO DE CONTENEDOR")</f>
        <v>DESPRENDIMIENTO DE CONTENEDOR</v>
      </c>
      <c r="I212" s="64" t="str">
        <f>IFERROR(__xludf.DUMMYFUNCTION("""COMPUTED_VALUE"""),"CAÍDA DE CARGA")</f>
        <v>CAÍDA DE CARGA</v>
      </c>
      <c r="J212" s="64" t="str">
        <f>IFERROR(__xludf.DUMMYFUNCTION("""COMPUTED_VALUE"""),"CHOQUE")</f>
        <v>CHOQUE</v>
      </c>
      <c r="K212" s="64" t="str">
        <f>IFERROR(__xludf.DUMMYFUNCTION("""COMPUTED_VALUE"""),"COLISIÓN")</f>
        <v>COLISIÓN</v>
      </c>
      <c r="L212" s="64" t="str">
        <f>IFERROR(__xludf.DUMMYFUNCTION("""COMPUTED_VALUE"""),"COLISIÓN MÚLTIPLE")</f>
        <v>COLISIÓN MÚLTIPLE</v>
      </c>
      <c r="M212" s="64" t="str">
        <f>IFERROR(__xludf.DUMMYFUNCTION("""COMPUTED_VALUE"""),"DERRAPE")</f>
        <v>DERRAPE</v>
      </c>
      <c r="N212" s="64" t="str">
        <f>IFERROR(__xludf.DUMMYFUNCTION("""COMPUTED_VALUE"""),"VEHÍCULO INCENDIADO")</f>
        <v>VEHÍCULO INCENDIADO</v>
      </c>
      <c r="O212" s="64" t="str">
        <f>IFERROR(__xludf.DUMMYFUNCTION("""COMPUTED_VALUE"""),"VUELCO")</f>
        <v>VUELCO</v>
      </c>
      <c r="P212" s="64" t="str">
        <f>IFERROR(__xludf.DUMMYFUNCTION("""COMPUTED_VALUE"""),"DESPRENDIMIENTO")</f>
        <v>DESPRENDIMIENTO</v>
      </c>
      <c r="Q212" s="64" t="str">
        <f>IFERROR(__xludf.DUMMYFUNCTION("""COMPUTED_VALUE"""),"CAÍDA DE ÁRBOL")</f>
        <v>CAÍDA DE ÁRBOL</v>
      </c>
      <c r="R212" s="64" t="str">
        <f>IFERROR(__xludf.DUMMYFUNCTION("""COMPUTED_VALUE"""),"DESPRENDIMIENTO DE EJE")</f>
        <v>DESPRENDIMIENTO DE EJE</v>
      </c>
      <c r="S212" s="64" t="str">
        <f>IFERROR(__xludf.DUMMYFUNCTION("""COMPUTED_VALUE"""),"PERSONA ATROPELLADA")</f>
        <v>PERSONA ATROPELLADA</v>
      </c>
    </row>
    <row r="213">
      <c r="B213" s="64" t="s">
        <v>54</v>
      </c>
      <c r="C213" s="64" t="str">
        <f>IFERROR(__xludf.DUMMYFUNCTION(" TRANSPOSE( unique ( QUERY(DATOPRO,""select Col2 where Col1 = '""&amp;B213&amp;""'"")))"),"PINCHAZO")</f>
        <v>PINCHAZO</v>
      </c>
      <c r="D213" s="64" t="str">
        <f>IFERROR(__xludf.DUMMYFUNCTION("""COMPUTED_VALUE"""),"TRABAJOS DE CARRETERA")</f>
        <v>TRABAJOS DE CARRETERA</v>
      </c>
      <c r="E213" s="64" t="str">
        <f>IFERROR(__xludf.DUMMYFUNCTION("""COMPUTED_VALUE"""),"CONSIGNACIÓN")</f>
        <v>CONSIGNACIÓN</v>
      </c>
      <c r="F213" s="64" t="str">
        <f>IFERROR(__xludf.DUMMYFUNCTION("""COMPUTED_VALUE"""),"DERRAME")</f>
        <v>DERRAME</v>
      </c>
      <c r="G213" s="64" t="str">
        <f>IFERROR(__xludf.DUMMYFUNCTION("""COMPUTED_VALUE"""),"CALENTAMIENTO")</f>
        <v>CALENTAMIENTO</v>
      </c>
      <c r="H213" s="64" t="str">
        <f>IFERROR(__xludf.DUMMYFUNCTION("""COMPUTED_VALUE"""),"ESCOLTANDO")</f>
        <v>ESCOLTANDO</v>
      </c>
      <c r="I213" s="64" t="str">
        <f>IFERROR(__xludf.DUMMYFUNCTION("""COMPUTED_VALUE"""),"FALTA DE COMBUSTIBLE")</f>
        <v>FALTA DE COMBUSTIBLE</v>
      </c>
      <c r="J213" s="64" t="str">
        <f>IFERROR(__xludf.DUMMYFUNCTION("""COMPUTED_VALUE"""),"DESPERFECTOS MECÁNICOS")</f>
        <v>DESPERFECTOS MECÁNICOS</v>
      </c>
      <c r="K213" s="64" t="str">
        <f>IFERROR(__xludf.DUMMYFUNCTION("""COMPUTED_VALUE"""),"LLAMADA DE ATENCIÓN")</f>
        <v>LLAMADA DE ATENCIÓN</v>
      </c>
      <c r="L213" s="64" t="str">
        <f>IFERROR(__xludf.DUMMYFUNCTION("""COMPUTED_VALUE"""),"OPERATIVOS")</f>
        <v>OPERATIVOS</v>
      </c>
      <c r="M213" s="64" t="str">
        <f>IFERROR(__xludf.DUMMYFUNCTION("""COMPUTED_VALUE"""),"SANCIÓN")</f>
        <v>SANCIÓN</v>
      </c>
      <c r="N213" s="64" t="str">
        <f>IFERROR(__xludf.DUMMYFUNCTION("""COMPUTED_VALUE"""),"SISTEMA ELECTRICO")</f>
        <v>SISTEMA ELECTRICO</v>
      </c>
      <c r="O213" s="64" t="str">
        <f>IFERROR(__xludf.DUMMYFUNCTION("""COMPUTED_VALUE"""),"ASISTENCIA AL USUARIO")</f>
        <v>ASISTENCIA AL USUARIO</v>
      </c>
      <c r="P213" s="64" t="str">
        <f>IFERROR(__xludf.DUMMYFUNCTION("""COMPUTED_VALUE"""),"DOBLE REMOLQUE")</f>
        <v>DOBLE REMOLQUE</v>
      </c>
      <c r="Q213" s="64" t="str">
        <f>IFERROR(__xludf.DUMMYFUNCTION("""COMPUTED_VALUE"""),"SINAPRESE")</f>
        <v>SINAPRESE</v>
      </c>
      <c r="R213" s="64" t="str">
        <f>IFERROR(__xludf.DUMMYFUNCTION("""COMPUTED_VALUE"""),"APOYO ATLETISMO")</f>
        <v>APOYO ATLETISMO</v>
      </c>
      <c r="S213" s="64" t="str">
        <f>IFERROR(__xludf.DUMMYFUNCTION("""COMPUTED_VALUE"""),"APOYO A CICLISMO")</f>
        <v>APOYO A CICLISMO</v>
      </c>
      <c r="T213" s="64" t="str">
        <f>IFERROR(__xludf.DUMMYFUNCTION("""COMPUTED_VALUE"""),"DESCARGA DE BATERÍA")</f>
        <v>DESCARGA DE BATERÍA</v>
      </c>
      <c r="U213" s="64" t="str">
        <f>IFERROR(__xludf.DUMMYFUNCTION("""COMPUTED_VALUE"""),"PROBLEMAS DE SALUD")</f>
        <v>PROBLEMAS DE SALUD</v>
      </c>
      <c r="V213" s="64" t="str">
        <f>IFERROR(__xludf.DUMMYFUNCTION("""COMPUTED_VALUE"""),"OLVIDO LA LLAVE")</f>
        <v>OLVIDO LA LLAVE</v>
      </c>
      <c r="W213" s="64" t="str">
        <f>IFERROR(__xludf.DUMMYFUNCTION("""COMPUTED_VALUE"""),"CARGA SOBREDIMENSIONADA")</f>
        <v>CARGA SOBREDIMENSIONADA</v>
      </c>
      <c r="X213" s="64" t="str">
        <f>IFERROR(__xludf.DUMMYFUNCTION("""COMPUTED_VALUE"""),"VEHÍCULO ABANDONADO")</f>
        <v>VEHÍCULO ABANDONADO</v>
      </c>
      <c r="Y213" s="64" t="str">
        <f>IFERROR(__xludf.DUMMYFUNCTION("""COMPUTED_VALUE"""),"DESPRENDIMIENTO")</f>
        <v>DESPRENDIMIENTO</v>
      </c>
      <c r="Z213" s="64" t="str">
        <f>IFERROR(__xludf.DUMMYFUNCTION("""COMPUTED_VALUE"""),"CAÍDA DE POSTE")</f>
        <v>CAÍDA DE POSTE</v>
      </c>
      <c r="AA213" s="64" t="str">
        <f>IFERROR(__xludf.DUMMYFUNCTION("""COMPUTED_VALUE"""),"CAÍDA DE RAMA")</f>
        <v>CAÍDA DE RAMA</v>
      </c>
      <c r="AB213" s="64" t="str">
        <f>IFERROR(__xludf.DUMMYFUNCTION("""COMPUTED_VALUE"""),"OPERATIVO DGT")</f>
        <v>OPERATIVO DGT</v>
      </c>
      <c r="AC213" s="64" t="str">
        <f>IFERROR(__xludf.DUMMYFUNCTION("""COMPUTED_VALUE"""),"OPERATIVO PMT")</f>
        <v>OPERATIVO PMT</v>
      </c>
      <c r="AD213" s="64" t="str">
        <f>IFERROR(__xludf.DUMMYFUNCTION("""COMPUTED_VALUE"""),"APOYO A DIGEF")</f>
        <v>APOYO A DIGEF</v>
      </c>
      <c r="AE213" s="64" t="str">
        <f>IFERROR(__xludf.DUMMYFUNCTION("""COMPUTED_VALUE"""),"OPERATIVO PNC TRANSITO")</f>
        <v>OPERATIVO PNC TRANSITO</v>
      </c>
      <c r="AF213" s="64" t="str">
        <f>IFERROR(__xludf.DUMMYFUNCTION("""COMPUTED_VALUE"""),"SOBRECARGA ")</f>
        <v>SOBRECARGA </v>
      </c>
      <c r="AG213" s="64" t="str">
        <f>IFERROR(__xludf.DUMMYFUNCTION("""COMPUTED_VALUE"""),"OPERATIVO EN CONJUNTO")</f>
        <v>OPERATIVO EN CONJUNTO</v>
      </c>
      <c r="AH213" s="64" t="str">
        <f>IFERROR(__xludf.DUMMYFUNCTION("""COMPUTED_VALUE"""),"PUESTO DE ATENCION AL USUARIO")</f>
        <v>PUESTO DE ATENCION AL USUARIO</v>
      </c>
      <c r="AI213" s="64" t="str">
        <f>IFERROR(__xludf.DUMMYFUNCTION("""COMPUTED_VALUE"""),"INCENDIO EN RUTA")</f>
        <v>INCENDIO EN RUTA</v>
      </c>
      <c r="AJ213" s="64" t="str">
        <f>IFERROR(__xludf.DUMMYFUNCTION("""COMPUTED_VALUE"""),"APOYO ANTORCHA ")</f>
        <v>APOYO ANTORCHA </v>
      </c>
    </row>
    <row r="214">
      <c r="B214" s="64"/>
      <c r="C214" s="64" t="str">
        <f>IFERROR(__xludf.DUMMYFUNCTION(" TRANSPOSE( unique ( QUERY(DATOPRO,""select Col2 where Col1 = '""&amp;B214&amp;""'"")))"),"")</f>
        <v/>
      </c>
    </row>
    <row r="215">
      <c r="B215" s="64"/>
      <c r="C215" s="64" t="str">
        <f>IFERROR(__xludf.DUMMYFUNCTION(" TRANSPOSE( unique ( QUERY(DATOPRO,""select Col2 where Col1 = '""&amp;B215&amp;""'"")))"),"")</f>
        <v/>
      </c>
    </row>
    <row r="216">
      <c r="B216" s="64"/>
      <c r="C216" s="64" t="str">
        <f>IFERROR(__xludf.DUMMYFUNCTION(" TRANSPOSE( unique ( QUERY(DATOPRO,""select Col2 where Col1 = '""&amp;B216&amp;""'"")))"),"")</f>
        <v/>
      </c>
    </row>
    <row r="217">
      <c r="B217" s="64"/>
      <c r="C217" s="64" t="str">
        <f>IFERROR(__xludf.DUMMYFUNCTION(" TRANSPOSE( unique ( QUERY(DATOPRO,""select Col2 where Col1 = '""&amp;B217&amp;""'"")))"),"")</f>
        <v/>
      </c>
    </row>
    <row r="218">
      <c r="B218" s="64" t="s">
        <v>38</v>
      </c>
      <c r="C218" s="64" t="str">
        <f>IFERROR(__xludf.DUMMYFUNCTION(" TRANSPOSE( unique ( QUERY(DATOPRO,""select Col2 where Col1 = '""&amp;B218&amp;""'"")))"),"ATAQUE ARMADO")</f>
        <v>ATAQUE ARMADO</v>
      </c>
      <c r="D218" s="64" t="str">
        <f>IFERROR(__xludf.DUMMYFUNCTION("""COMPUTED_VALUE"""),"DESBALANCE DE CARGA")</f>
        <v>DESBALANCE DE CARGA</v>
      </c>
      <c r="E218" s="64" t="str">
        <f>IFERROR(__xludf.DUMMYFUNCTION("""COMPUTED_VALUE"""),"PERSONA FALLECIDA")</f>
        <v>PERSONA FALLECIDA</v>
      </c>
      <c r="F218" s="64" t="str">
        <f>IFERROR(__xludf.DUMMYFUNCTION("""COMPUTED_VALUE"""),"DESPRENDIMIENTO DE NEUMATICO")</f>
        <v>DESPRENDIMIENTO DE NEUMATICO</v>
      </c>
      <c r="G218" s="64" t="str">
        <f>IFERROR(__xludf.DUMMYFUNCTION("""COMPUTED_VALUE"""),"SALIDA DE PISTA")</f>
        <v>SALIDA DE PISTA</v>
      </c>
      <c r="H218" s="64" t="str">
        <f>IFERROR(__xludf.DUMMYFUNCTION("""COMPUTED_VALUE"""),"DESPRENDIMIENTO DE CONTENEDOR")</f>
        <v>DESPRENDIMIENTO DE CONTENEDOR</v>
      </c>
      <c r="I218" s="64" t="str">
        <f>IFERROR(__xludf.DUMMYFUNCTION("""COMPUTED_VALUE"""),"CAÍDA DE CARGA")</f>
        <v>CAÍDA DE CARGA</v>
      </c>
      <c r="J218" s="64" t="str">
        <f>IFERROR(__xludf.DUMMYFUNCTION("""COMPUTED_VALUE"""),"CHOQUE")</f>
        <v>CHOQUE</v>
      </c>
      <c r="K218" s="64" t="str">
        <f>IFERROR(__xludf.DUMMYFUNCTION("""COMPUTED_VALUE"""),"COLISIÓN")</f>
        <v>COLISIÓN</v>
      </c>
      <c r="L218" s="64" t="str">
        <f>IFERROR(__xludf.DUMMYFUNCTION("""COMPUTED_VALUE"""),"COLISIÓN MÚLTIPLE")</f>
        <v>COLISIÓN MÚLTIPLE</v>
      </c>
      <c r="M218" s="64" t="str">
        <f>IFERROR(__xludf.DUMMYFUNCTION("""COMPUTED_VALUE"""),"DERRAPE")</f>
        <v>DERRAPE</v>
      </c>
      <c r="N218" s="64" t="str">
        <f>IFERROR(__xludf.DUMMYFUNCTION("""COMPUTED_VALUE"""),"VEHÍCULO INCENDIADO")</f>
        <v>VEHÍCULO INCENDIADO</v>
      </c>
      <c r="O218" s="64" t="str">
        <f>IFERROR(__xludf.DUMMYFUNCTION("""COMPUTED_VALUE"""),"VUELCO")</f>
        <v>VUELCO</v>
      </c>
      <c r="P218" s="64" t="str">
        <f>IFERROR(__xludf.DUMMYFUNCTION("""COMPUTED_VALUE"""),"DESPRENDIMIENTO")</f>
        <v>DESPRENDIMIENTO</v>
      </c>
      <c r="Q218" s="64" t="str">
        <f>IFERROR(__xludf.DUMMYFUNCTION("""COMPUTED_VALUE"""),"CAÍDA DE ÁRBOL")</f>
        <v>CAÍDA DE ÁRBOL</v>
      </c>
      <c r="R218" s="64" t="str">
        <f>IFERROR(__xludf.DUMMYFUNCTION("""COMPUTED_VALUE"""),"DESPRENDIMIENTO DE EJE")</f>
        <v>DESPRENDIMIENTO DE EJE</v>
      </c>
      <c r="S218" s="64" t="str">
        <f>IFERROR(__xludf.DUMMYFUNCTION("""COMPUTED_VALUE"""),"PERSONA ATROPELLADA")</f>
        <v>PERSONA ATROPELLADA</v>
      </c>
    </row>
    <row r="219">
      <c r="B219" s="64" t="s">
        <v>54</v>
      </c>
      <c r="C219" s="64" t="str">
        <f>IFERROR(__xludf.DUMMYFUNCTION(" TRANSPOSE( unique ( QUERY(DATOPRO,""select Col2 where Col1 = '""&amp;B219&amp;""'"")))"),"PINCHAZO")</f>
        <v>PINCHAZO</v>
      </c>
      <c r="D219" s="64" t="str">
        <f>IFERROR(__xludf.DUMMYFUNCTION("""COMPUTED_VALUE"""),"TRABAJOS DE CARRETERA")</f>
        <v>TRABAJOS DE CARRETERA</v>
      </c>
      <c r="E219" s="64" t="str">
        <f>IFERROR(__xludf.DUMMYFUNCTION("""COMPUTED_VALUE"""),"CONSIGNACIÓN")</f>
        <v>CONSIGNACIÓN</v>
      </c>
      <c r="F219" s="64" t="str">
        <f>IFERROR(__xludf.DUMMYFUNCTION("""COMPUTED_VALUE"""),"DERRAME")</f>
        <v>DERRAME</v>
      </c>
      <c r="G219" s="64" t="str">
        <f>IFERROR(__xludf.DUMMYFUNCTION("""COMPUTED_VALUE"""),"CALENTAMIENTO")</f>
        <v>CALENTAMIENTO</v>
      </c>
      <c r="H219" s="64" t="str">
        <f>IFERROR(__xludf.DUMMYFUNCTION("""COMPUTED_VALUE"""),"ESCOLTANDO")</f>
        <v>ESCOLTANDO</v>
      </c>
      <c r="I219" s="64" t="str">
        <f>IFERROR(__xludf.DUMMYFUNCTION("""COMPUTED_VALUE"""),"FALTA DE COMBUSTIBLE")</f>
        <v>FALTA DE COMBUSTIBLE</v>
      </c>
      <c r="J219" s="64" t="str">
        <f>IFERROR(__xludf.DUMMYFUNCTION("""COMPUTED_VALUE"""),"DESPERFECTOS MECÁNICOS")</f>
        <v>DESPERFECTOS MECÁNICOS</v>
      </c>
      <c r="K219" s="64" t="str">
        <f>IFERROR(__xludf.DUMMYFUNCTION("""COMPUTED_VALUE"""),"LLAMADA DE ATENCIÓN")</f>
        <v>LLAMADA DE ATENCIÓN</v>
      </c>
      <c r="L219" s="64" t="str">
        <f>IFERROR(__xludf.DUMMYFUNCTION("""COMPUTED_VALUE"""),"OPERATIVOS")</f>
        <v>OPERATIVOS</v>
      </c>
      <c r="M219" s="64" t="str">
        <f>IFERROR(__xludf.DUMMYFUNCTION("""COMPUTED_VALUE"""),"SANCIÓN")</f>
        <v>SANCIÓN</v>
      </c>
      <c r="N219" s="64" t="str">
        <f>IFERROR(__xludf.DUMMYFUNCTION("""COMPUTED_VALUE"""),"SISTEMA ELECTRICO")</f>
        <v>SISTEMA ELECTRICO</v>
      </c>
      <c r="O219" s="64" t="str">
        <f>IFERROR(__xludf.DUMMYFUNCTION("""COMPUTED_VALUE"""),"ASISTENCIA AL USUARIO")</f>
        <v>ASISTENCIA AL USUARIO</v>
      </c>
      <c r="P219" s="64" t="str">
        <f>IFERROR(__xludf.DUMMYFUNCTION("""COMPUTED_VALUE"""),"DOBLE REMOLQUE")</f>
        <v>DOBLE REMOLQUE</v>
      </c>
      <c r="Q219" s="64" t="str">
        <f>IFERROR(__xludf.DUMMYFUNCTION("""COMPUTED_VALUE"""),"SINAPRESE")</f>
        <v>SINAPRESE</v>
      </c>
      <c r="R219" s="64" t="str">
        <f>IFERROR(__xludf.DUMMYFUNCTION("""COMPUTED_VALUE"""),"APOYO ATLETISMO")</f>
        <v>APOYO ATLETISMO</v>
      </c>
      <c r="S219" s="64" t="str">
        <f>IFERROR(__xludf.DUMMYFUNCTION("""COMPUTED_VALUE"""),"APOYO A CICLISMO")</f>
        <v>APOYO A CICLISMO</v>
      </c>
      <c r="T219" s="64" t="str">
        <f>IFERROR(__xludf.DUMMYFUNCTION("""COMPUTED_VALUE"""),"DESCARGA DE BATERÍA")</f>
        <v>DESCARGA DE BATERÍA</v>
      </c>
      <c r="U219" s="64" t="str">
        <f>IFERROR(__xludf.DUMMYFUNCTION("""COMPUTED_VALUE"""),"PROBLEMAS DE SALUD")</f>
        <v>PROBLEMAS DE SALUD</v>
      </c>
      <c r="V219" s="64" t="str">
        <f>IFERROR(__xludf.DUMMYFUNCTION("""COMPUTED_VALUE"""),"OLVIDO LA LLAVE")</f>
        <v>OLVIDO LA LLAVE</v>
      </c>
      <c r="W219" s="64" t="str">
        <f>IFERROR(__xludf.DUMMYFUNCTION("""COMPUTED_VALUE"""),"CARGA SOBREDIMENSIONADA")</f>
        <v>CARGA SOBREDIMENSIONADA</v>
      </c>
      <c r="X219" s="64" t="str">
        <f>IFERROR(__xludf.DUMMYFUNCTION("""COMPUTED_VALUE"""),"VEHÍCULO ABANDONADO")</f>
        <v>VEHÍCULO ABANDONADO</v>
      </c>
      <c r="Y219" s="64" t="str">
        <f>IFERROR(__xludf.DUMMYFUNCTION("""COMPUTED_VALUE"""),"DESPRENDIMIENTO")</f>
        <v>DESPRENDIMIENTO</v>
      </c>
      <c r="Z219" s="64" t="str">
        <f>IFERROR(__xludf.DUMMYFUNCTION("""COMPUTED_VALUE"""),"CAÍDA DE POSTE")</f>
        <v>CAÍDA DE POSTE</v>
      </c>
      <c r="AA219" s="64" t="str">
        <f>IFERROR(__xludf.DUMMYFUNCTION("""COMPUTED_VALUE"""),"CAÍDA DE RAMA")</f>
        <v>CAÍDA DE RAMA</v>
      </c>
      <c r="AB219" s="64" t="str">
        <f>IFERROR(__xludf.DUMMYFUNCTION("""COMPUTED_VALUE"""),"OPERATIVO DGT")</f>
        <v>OPERATIVO DGT</v>
      </c>
      <c r="AC219" s="64" t="str">
        <f>IFERROR(__xludf.DUMMYFUNCTION("""COMPUTED_VALUE"""),"OPERATIVO PMT")</f>
        <v>OPERATIVO PMT</v>
      </c>
      <c r="AD219" s="64" t="str">
        <f>IFERROR(__xludf.DUMMYFUNCTION("""COMPUTED_VALUE"""),"APOYO A DIGEF")</f>
        <v>APOYO A DIGEF</v>
      </c>
      <c r="AE219" s="64" t="str">
        <f>IFERROR(__xludf.DUMMYFUNCTION("""COMPUTED_VALUE"""),"OPERATIVO PNC TRANSITO")</f>
        <v>OPERATIVO PNC TRANSITO</v>
      </c>
      <c r="AF219" s="64" t="str">
        <f>IFERROR(__xludf.DUMMYFUNCTION("""COMPUTED_VALUE"""),"SOBRECARGA ")</f>
        <v>SOBRECARGA </v>
      </c>
      <c r="AG219" s="64" t="str">
        <f>IFERROR(__xludf.DUMMYFUNCTION("""COMPUTED_VALUE"""),"OPERATIVO EN CONJUNTO")</f>
        <v>OPERATIVO EN CONJUNTO</v>
      </c>
      <c r="AH219" s="64" t="str">
        <f>IFERROR(__xludf.DUMMYFUNCTION("""COMPUTED_VALUE"""),"PUESTO DE ATENCION AL USUARIO")</f>
        <v>PUESTO DE ATENCION AL USUARIO</v>
      </c>
      <c r="AI219" s="64" t="str">
        <f>IFERROR(__xludf.DUMMYFUNCTION("""COMPUTED_VALUE"""),"INCENDIO EN RUTA")</f>
        <v>INCENDIO EN RUTA</v>
      </c>
      <c r="AJ219" s="64" t="str">
        <f>IFERROR(__xludf.DUMMYFUNCTION("""COMPUTED_VALUE"""),"APOYO ANTORCHA ")</f>
        <v>APOYO ANTORCHA </v>
      </c>
    </row>
    <row r="220">
      <c r="B220" s="64"/>
      <c r="C220" s="64" t="str">
        <f>IFERROR(__xludf.DUMMYFUNCTION(" TRANSPOSE( unique ( QUERY(DATOPRO,""select Col2 where Col1 = '""&amp;B220&amp;""'"")))"),"")</f>
        <v/>
      </c>
    </row>
    <row r="221">
      <c r="B221" s="64"/>
      <c r="C221" s="64" t="str">
        <f>IFERROR(__xludf.DUMMYFUNCTION(" TRANSPOSE( unique ( QUERY(DATOPRO,""select Col2 where Col1 = '""&amp;B221&amp;""'"")))"),"")</f>
        <v/>
      </c>
    </row>
    <row r="222">
      <c r="B222" s="64"/>
      <c r="C222" s="64" t="str">
        <f>IFERROR(__xludf.DUMMYFUNCTION(" TRANSPOSE( unique ( QUERY(DATOPRO,""select Col2 where Col1 = '""&amp;B222&amp;""'"")))"),"")</f>
        <v/>
      </c>
    </row>
    <row r="223">
      <c r="B223" s="64" t="s">
        <v>38</v>
      </c>
      <c r="C223" s="64" t="str">
        <f>IFERROR(__xludf.DUMMYFUNCTION(" TRANSPOSE( unique ( QUERY(DATOPRO,""select Col2 where Col1 = '""&amp;B223&amp;""'"")))"),"ATAQUE ARMADO")</f>
        <v>ATAQUE ARMADO</v>
      </c>
      <c r="D223" s="64" t="str">
        <f>IFERROR(__xludf.DUMMYFUNCTION("""COMPUTED_VALUE"""),"DESBALANCE DE CARGA")</f>
        <v>DESBALANCE DE CARGA</v>
      </c>
      <c r="E223" s="64" t="str">
        <f>IFERROR(__xludf.DUMMYFUNCTION("""COMPUTED_VALUE"""),"PERSONA FALLECIDA")</f>
        <v>PERSONA FALLECIDA</v>
      </c>
      <c r="F223" s="64" t="str">
        <f>IFERROR(__xludf.DUMMYFUNCTION("""COMPUTED_VALUE"""),"DESPRENDIMIENTO DE NEUMATICO")</f>
        <v>DESPRENDIMIENTO DE NEUMATICO</v>
      </c>
      <c r="G223" s="64" t="str">
        <f>IFERROR(__xludf.DUMMYFUNCTION("""COMPUTED_VALUE"""),"SALIDA DE PISTA")</f>
        <v>SALIDA DE PISTA</v>
      </c>
      <c r="H223" s="64" t="str">
        <f>IFERROR(__xludf.DUMMYFUNCTION("""COMPUTED_VALUE"""),"DESPRENDIMIENTO DE CONTENEDOR")</f>
        <v>DESPRENDIMIENTO DE CONTENEDOR</v>
      </c>
      <c r="I223" s="64" t="str">
        <f>IFERROR(__xludf.DUMMYFUNCTION("""COMPUTED_VALUE"""),"CAÍDA DE CARGA")</f>
        <v>CAÍDA DE CARGA</v>
      </c>
      <c r="J223" s="64" t="str">
        <f>IFERROR(__xludf.DUMMYFUNCTION("""COMPUTED_VALUE"""),"CHOQUE")</f>
        <v>CHOQUE</v>
      </c>
      <c r="K223" s="64" t="str">
        <f>IFERROR(__xludf.DUMMYFUNCTION("""COMPUTED_VALUE"""),"COLISIÓN")</f>
        <v>COLISIÓN</v>
      </c>
      <c r="L223" s="64" t="str">
        <f>IFERROR(__xludf.DUMMYFUNCTION("""COMPUTED_VALUE"""),"COLISIÓN MÚLTIPLE")</f>
        <v>COLISIÓN MÚLTIPLE</v>
      </c>
      <c r="M223" s="64" t="str">
        <f>IFERROR(__xludf.DUMMYFUNCTION("""COMPUTED_VALUE"""),"DERRAPE")</f>
        <v>DERRAPE</v>
      </c>
      <c r="N223" s="64" t="str">
        <f>IFERROR(__xludf.DUMMYFUNCTION("""COMPUTED_VALUE"""),"VEHÍCULO INCENDIADO")</f>
        <v>VEHÍCULO INCENDIADO</v>
      </c>
      <c r="O223" s="64" t="str">
        <f>IFERROR(__xludf.DUMMYFUNCTION("""COMPUTED_VALUE"""),"VUELCO")</f>
        <v>VUELCO</v>
      </c>
      <c r="P223" s="64" t="str">
        <f>IFERROR(__xludf.DUMMYFUNCTION("""COMPUTED_VALUE"""),"DESPRENDIMIENTO")</f>
        <v>DESPRENDIMIENTO</v>
      </c>
      <c r="Q223" s="64" t="str">
        <f>IFERROR(__xludf.DUMMYFUNCTION("""COMPUTED_VALUE"""),"CAÍDA DE ÁRBOL")</f>
        <v>CAÍDA DE ÁRBOL</v>
      </c>
      <c r="R223" s="64" t="str">
        <f>IFERROR(__xludf.DUMMYFUNCTION("""COMPUTED_VALUE"""),"DESPRENDIMIENTO DE EJE")</f>
        <v>DESPRENDIMIENTO DE EJE</v>
      </c>
      <c r="S223" s="64" t="str">
        <f>IFERROR(__xludf.DUMMYFUNCTION("""COMPUTED_VALUE"""),"PERSONA ATROPELLADA")</f>
        <v>PERSONA ATROPELLADA</v>
      </c>
    </row>
    <row r="224">
      <c r="B224" s="64" t="s">
        <v>54</v>
      </c>
      <c r="C224" s="64" t="str">
        <f>IFERROR(__xludf.DUMMYFUNCTION(" TRANSPOSE( unique ( QUERY(DATOPRO,""select Col2 where Col1 = '""&amp;B224&amp;""'"")))"),"PINCHAZO")</f>
        <v>PINCHAZO</v>
      </c>
      <c r="D224" s="64" t="str">
        <f>IFERROR(__xludf.DUMMYFUNCTION("""COMPUTED_VALUE"""),"TRABAJOS DE CARRETERA")</f>
        <v>TRABAJOS DE CARRETERA</v>
      </c>
      <c r="E224" s="64" t="str">
        <f>IFERROR(__xludf.DUMMYFUNCTION("""COMPUTED_VALUE"""),"CONSIGNACIÓN")</f>
        <v>CONSIGNACIÓN</v>
      </c>
      <c r="F224" s="64" t="str">
        <f>IFERROR(__xludf.DUMMYFUNCTION("""COMPUTED_VALUE"""),"DERRAME")</f>
        <v>DERRAME</v>
      </c>
      <c r="G224" s="64" t="str">
        <f>IFERROR(__xludf.DUMMYFUNCTION("""COMPUTED_VALUE"""),"CALENTAMIENTO")</f>
        <v>CALENTAMIENTO</v>
      </c>
      <c r="H224" s="64" t="str">
        <f>IFERROR(__xludf.DUMMYFUNCTION("""COMPUTED_VALUE"""),"ESCOLTANDO")</f>
        <v>ESCOLTANDO</v>
      </c>
      <c r="I224" s="64" t="str">
        <f>IFERROR(__xludf.DUMMYFUNCTION("""COMPUTED_VALUE"""),"FALTA DE COMBUSTIBLE")</f>
        <v>FALTA DE COMBUSTIBLE</v>
      </c>
      <c r="J224" s="64" t="str">
        <f>IFERROR(__xludf.DUMMYFUNCTION("""COMPUTED_VALUE"""),"DESPERFECTOS MECÁNICOS")</f>
        <v>DESPERFECTOS MECÁNICOS</v>
      </c>
      <c r="K224" s="64" t="str">
        <f>IFERROR(__xludf.DUMMYFUNCTION("""COMPUTED_VALUE"""),"LLAMADA DE ATENCIÓN")</f>
        <v>LLAMADA DE ATENCIÓN</v>
      </c>
      <c r="L224" s="64" t="str">
        <f>IFERROR(__xludf.DUMMYFUNCTION("""COMPUTED_VALUE"""),"OPERATIVOS")</f>
        <v>OPERATIVOS</v>
      </c>
      <c r="M224" s="64" t="str">
        <f>IFERROR(__xludf.DUMMYFUNCTION("""COMPUTED_VALUE"""),"SANCIÓN")</f>
        <v>SANCIÓN</v>
      </c>
      <c r="N224" s="64" t="str">
        <f>IFERROR(__xludf.DUMMYFUNCTION("""COMPUTED_VALUE"""),"SISTEMA ELECTRICO")</f>
        <v>SISTEMA ELECTRICO</v>
      </c>
      <c r="O224" s="64" t="str">
        <f>IFERROR(__xludf.DUMMYFUNCTION("""COMPUTED_VALUE"""),"ASISTENCIA AL USUARIO")</f>
        <v>ASISTENCIA AL USUARIO</v>
      </c>
      <c r="P224" s="64" t="str">
        <f>IFERROR(__xludf.DUMMYFUNCTION("""COMPUTED_VALUE"""),"DOBLE REMOLQUE")</f>
        <v>DOBLE REMOLQUE</v>
      </c>
      <c r="Q224" s="64" t="str">
        <f>IFERROR(__xludf.DUMMYFUNCTION("""COMPUTED_VALUE"""),"SINAPRESE")</f>
        <v>SINAPRESE</v>
      </c>
      <c r="R224" s="64" t="str">
        <f>IFERROR(__xludf.DUMMYFUNCTION("""COMPUTED_VALUE"""),"APOYO ATLETISMO")</f>
        <v>APOYO ATLETISMO</v>
      </c>
      <c r="S224" s="64" t="str">
        <f>IFERROR(__xludf.DUMMYFUNCTION("""COMPUTED_VALUE"""),"APOYO A CICLISMO")</f>
        <v>APOYO A CICLISMO</v>
      </c>
      <c r="T224" s="64" t="str">
        <f>IFERROR(__xludf.DUMMYFUNCTION("""COMPUTED_VALUE"""),"DESCARGA DE BATERÍA")</f>
        <v>DESCARGA DE BATERÍA</v>
      </c>
      <c r="U224" s="64" t="str">
        <f>IFERROR(__xludf.DUMMYFUNCTION("""COMPUTED_VALUE"""),"PROBLEMAS DE SALUD")</f>
        <v>PROBLEMAS DE SALUD</v>
      </c>
      <c r="V224" s="64" t="str">
        <f>IFERROR(__xludf.DUMMYFUNCTION("""COMPUTED_VALUE"""),"OLVIDO LA LLAVE")</f>
        <v>OLVIDO LA LLAVE</v>
      </c>
      <c r="W224" s="64" t="str">
        <f>IFERROR(__xludf.DUMMYFUNCTION("""COMPUTED_VALUE"""),"CARGA SOBREDIMENSIONADA")</f>
        <v>CARGA SOBREDIMENSIONADA</v>
      </c>
      <c r="X224" s="64" t="str">
        <f>IFERROR(__xludf.DUMMYFUNCTION("""COMPUTED_VALUE"""),"VEHÍCULO ABANDONADO")</f>
        <v>VEHÍCULO ABANDONADO</v>
      </c>
      <c r="Y224" s="64" t="str">
        <f>IFERROR(__xludf.DUMMYFUNCTION("""COMPUTED_VALUE"""),"DESPRENDIMIENTO")</f>
        <v>DESPRENDIMIENTO</v>
      </c>
      <c r="Z224" s="64" t="str">
        <f>IFERROR(__xludf.DUMMYFUNCTION("""COMPUTED_VALUE"""),"CAÍDA DE POSTE")</f>
        <v>CAÍDA DE POSTE</v>
      </c>
      <c r="AA224" s="64" t="str">
        <f>IFERROR(__xludf.DUMMYFUNCTION("""COMPUTED_VALUE"""),"CAÍDA DE RAMA")</f>
        <v>CAÍDA DE RAMA</v>
      </c>
      <c r="AB224" s="64" t="str">
        <f>IFERROR(__xludf.DUMMYFUNCTION("""COMPUTED_VALUE"""),"OPERATIVO DGT")</f>
        <v>OPERATIVO DGT</v>
      </c>
      <c r="AC224" s="64" t="str">
        <f>IFERROR(__xludf.DUMMYFUNCTION("""COMPUTED_VALUE"""),"OPERATIVO PMT")</f>
        <v>OPERATIVO PMT</v>
      </c>
      <c r="AD224" s="64" t="str">
        <f>IFERROR(__xludf.DUMMYFUNCTION("""COMPUTED_VALUE"""),"APOYO A DIGEF")</f>
        <v>APOYO A DIGEF</v>
      </c>
      <c r="AE224" s="64" t="str">
        <f>IFERROR(__xludf.DUMMYFUNCTION("""COMPUTED_VALUE"""),"OPERATIVO PNC TRANSITO")</f>
        <v>OPERATIVO PNC TRANSITO</v>
      </c>
      <c r="AF224" s="64" t="str">
        <f>IFERROR(__xludf.DUMMYFUNCTION("""COMPUTED_VALUE"""),"SOBRECARGA ")</f>
        <v>SOBRECARGA </v>
      </c>
      <c r="AG224" s="64" t="str">
        <f>IFERROR(__xludf.DUMMYFUNCTION("""COMPUTED_VALUE"""),"OPERATIVO EN CONJUNTO")</f>
        <v>OPERATIVO EN CONJUNTO</v>
      </c>
      <c r="AH224" s="64" t="str">
        <f>IFERROR(__xludf.DUMMYFUNCTION("""COMPUTED_VALUE"""),"PUESTO DE ATENCION AL USUARIO")</f>
        <v>PUESTO DE ATENCION AL USUARIO</v>
      </c>
      <c r="AI224" s="64" t="str">
        <f>IFERROR(__xludf.DUMMYFUNCTION("""COMPUTED_VALUE"""),"INCENDIO EN RUTA")</f>
        <v>INCENDIO EN RUTA</v>
      </c>
      <c r="AJ224" s="64" t="str">
        <f>IFERROR(__xludf.DUMMYFUNCTION("""COMPUTED_VALUE"""),"APOYO ANTORCHA ")</f>
        <v>APOYO ANTORCHA </v>
      </c>
    </row>
    <row r="225">
      <c r="B225" s="64" t="s">
        <v>54</v>
      </c>
      <c r="C225" s="64" t="str">
        <f>IFERROR(__xludf.DUMMYFUNCTION(" TRANSPOSE( unique ( QUERY(DATOPRO,""select Col2 where Col1 = '""&amp;B225&amp;""'"")))"),"PINCHAZO")</f>
        <v>PINCHAZO</v>
      </c>
      <c r="D225" s="64" t="str">
        <f>IFERROR(__xludf.DUMMYFUNCTION("""COMPUTED_VALUE"""),"TRABAJOS DE CARRETERA")</f>
        <v>TRABAJOS DE CARRETERA</v>
      </c>
      <c r="E225" s="64" t="str">
        <f>IFERROR(__xludf.DUMMYFUNCTION("""COMPUTED_VALUE"""),"CONSIGNACIÓN")</f>
        <v>CONSIGNACIÓN</v>
      </c>
      <c r="F225" s="64" t="str">
        <f>IFERROR(__xludf.DUMMYFUNCTION("""COMPUTED_VALUE"""),"DERRAME")</f>
        <v>DERRAME</v>
      </c>
      <c r="G225" s="64" t="str">
        <f>IFERROR(__xludf.DUMMYFUNCTION("""COMPUTED_VALUE"""),"CALENTAMIENTO")</f>
        <v>CALENTAMIENTO</v>
      </c>
      <c r="H225" s="64" t="str">
        <f>IFERROR(__xludf.DUMMYFUNCTION("""COMPUTED_VALUE"""),"ESCOLTANDO")</f>
        <v>ESCOLTANDO</v>
      </c>
      <c r="I225" s="64" t="str">
        <f>IFERROR(__xludf.DUMMYFUNCTION("""COMPUTED_VALUE"""),"FALTA DE COMBUSTIBLE")</f>
        <v>FALTA DE COMBUSTIBLE</v>
      </c>
      <c r="J225" s="64" t="str">
        <f>IFERROR(__xludf.DUMMYFUNCTION("""COMPUTED_VALUE"""),"DESPERFECTOS MECÁNICOS")</f>
        <v>DESPERFECTOS MECÁNICOS</v>
      </c>
      <c r="K225" s="64" t="str">
        <f>IFERROR(__xludf.DUMMYFUNCTION("""COMPUTED_VALUE"""),"LLAMADA DE ATENCIÓN")</f>
        <v>LLAMADA DE ATENCIÓN</v>
      </c>
      <c r="L225" s="64" t="str">
        <f>IFERROR(__xludf.DUMMYFUNCTION("""COMPUTED_VALUE"""),"OPERATIVOS")</f>
        <v>OPERATIVOS</v>
      </c>
      <c r="M225" s="64" t="str">
        <f>IFERROR(__xludf.DUMMYFUNCTION("""COMPUTED_VALUE"""),"SANCIÓN")</f>
        <v>SANCIÓN</v>
      </c>
      <c r="N225" s="64" t="str">
        <f>IFERROR(__xludf.DUMMYFUNCTION("""COMPUTED_VALUE"""),"SISTEMA ELECTRICO")</f>
        <v>SISTEMA ELECTRICO</v>
      </c>
      <c r="O225" s="64" t="str">
        <f>IFERROR(__xludf.DUMMYFUNCTION("""COMPUTED_VALUE"""),"ASISTENCIA AL USUARIO")</f>
        <v>ASISTENCIA AL USUARIO</v>
      </c>
      <c r="P225" s="64" t="str">
        <f>IFERROR(__xludf.DUMMYFUNCTION("""COMPUTED_VALUE"""),"DOBLE REMOLQUE")</f>
        <v>DOBLE REMOLQUE</v>
      </c>
      <c r="Q225" s="64" t="str">
        <f>IFERROR(__xludf.DUMMYFUNCTION("""COMPUTED_VALUE"""),"SINAPRESE")</f>
        <v>SINAPRESE</v>
      </c>
      <c r="R225" s="64" t="str">
        <f>IFERROR(__xludf.DUMMYFUNCTION("""COMPUTED_VALUE"""),"APOYO ATLETISMO")</f>
        <v>APOYO ATLETISMO</v>
      </c>
      <c r="S225" s="64" t="str">
        <f>IFERROR(__xludf.DUMMYFUNCTION("""COMPUTED_VALUE"""),"APOYO A CICLISMO")</f>
        <v>APOYO A CICLISMO</v>
      </c>
      <c r="T225" s="64" t="str">
        <f>IFERROR(__xludf.DUMMYFUNCTION("""COMPUTED_VALUE"""),"DESCARGA DE BATERÍA")</f>
        <v>DESCARGA DE BATERÍA</v>
      </c>
      <c r="U225" s="64" t="str">
        <f>IFERROR(__xludf.DUMMYFUNCTION("""COMPUTED_VALUE"""),"PROBLEMAS DE SALUD")</f>
        <v>PROBLEMAS DE SALUD</v>
      </c>
      <c r="V225" s="64" t="str">
        <f>IFERROR(__xludf.DUMMYFUNCTION("""COMPUTED_VALUE"""),"OLVIDO LA LLAVE")</f>
        <v>OLVIDO LA LLAVE</v>
      </c>
      <c r="W225" s="64" t="str">
        <f>IFERROR(__xludf.DUMMYFUNCTION("""COMPUTED_VALUE"""),"CARGA SOBREDIMENSIONADA")</f>
        <v>CARGA SOBREDIMENSIONADA</v>
      </c>
      <c r="X225" s="64" t="str">
        <f>IFERROR(__xludf.DUMMYFUNCTION("""COMPUTED_VALUE"""),"VEHÍCULO ABANDONADO")</f>
        <v>VEHÍCULO ABANDONADO</v>
      </c>
      <c r="Y225" s="64" t="str">
        <f>IFERROR(__xludf.DUMMYFUNCTION("""COMPUTED_VALUE"""),"DESPRENDIMIENTO")</f>
        <v>DESPRENDIMIENTO</v>
      </c>
      <c r="Z225" s="64" t="str">
        <f>IFERROR(__xludf.DUMMYFUNCTION("""COMPUTED_VALUE"""),"CAÍDA DE POSTE")</f>
        <v>CAÍDA DE POSTE</v>
      </c>
      <c r="AA225" s="64" t="str">
        <f>IFERROR(__xludf.DUMMYFUNCTION("""COMPUTED_VALUE"""),"CAÍDA DE RAMA")</f>
        <v>CAÍDA DE RAMA</v>
      </c>
      <c r="AB225" s="64" t="str">
        <f>IFERROR(__xludf.DUMMYFUNCTION("""COMPUTED_VALUE"""),"OPERATIVO DGT")</f>
        <v>OPERATIVO DGT</v>
      </c>
      <c r="AC225" s="64" t="str">
        <f>IFERROR(__xludf.DUMMYFUNCTION("""COMPUTED_VALUE"""),"OPERATIVO PMT")</f>
        <v>OPERATIVO PMT</v>
      </c>
      <c r="AD225" s="64" t="str">
        <f>IFERROR(__xludf.DUMMYFUNCTION("""COMPUTED_VALUE"""),"APOYO A DIGEF")</f>
        <v>APOYO A DIGEF</v>
      </c>
      <c r="AE225" s="64" t="str">
        <f>IFERROR(__xludf.DUMMYFUNCTION("""COMPUTED_VALUE"""),"OPERATIVO PNC TRANSITO")</f>
        <v>OPERATIVO PNC TRANSITO</v>
      </c>
      <c r="AF225" s="64" t="str">
        <f>IFERROR(__xludf.DUMMYFUNCTION("""COMPUTED_VALUE"""),"SOBRECARGA ")</f>
        <v>SOBRECARGA </v>
      </c>
      <c r="AG225" s="64" t="str">
        <f>IFERROR(__xludf.DUMMYFUNCTION("""COMPUTED_VALUE"""),"OPERATIVO EN CONJUNTO")</f>
        <v>OPERATIVO EN CONJUNTO</v>
      </c>
      <c r="AH225" s="64" t="str">
        <f>IFERROR(__xludf.DUMMYFUNCTION("""COMPUTED_VALUE"""),"PUESTO DE ATENCION AL USUARIO")</f>
        <v>PUESTO DE ATENCION AL USUARIO</v>
      </c>
      <c r="AI225" s="64" t="str">
        <f>IFERROR(__xludf.DUMMYFUNCTION("""COMPUTED_VALUE"""),"INCENDIO EN RUTA")</f>
        <v>INCENDIO EN RUTA</v>
      </c>
      <c r="AJ225" s="64" t="str">
        <f>IFERROR(__xludf.DUMMYFUNCTION("""COMPUTED_VALUE"""),"APOYO ANTORCHA ")</f>
        <v>APOYO ANTORCHA </v>
      </c>
    </row>
    <row r="226">
      <c r="B226" s="64"/>
      <c r="C226" s="64" t="str">
        <f>IFERROR(__xludf.DUMMYFUNCTION(" TRANSPOSE( unique ( QUERY(DATOPRO,""select Col2 where Col1 = '""&amp;B226&amp;""'"")))"),"")</f>
        <v/>
      </c>
    </row>
    <row r="227">
      <c r="B227" s="64" t="s">
        <v>38</v>
      </c>
      <c r="C227" s="64" t="str">
        <f>IFERROR(__xludf.DUMMYFUNCTION(" TRANSPOSE( unique ( QUERY(DATOPRO,""select Col2 where Col1 = '""&amp;B227&amp;""'"")))"),"ATAQUE ARMADO")</f>
        <v>ATAQUE ARMADO</v>
      </c>
      <c r="D227" s="64" t="str">
        <f>IFERROR(__xludf.DUMMYFUNCTION("""COMPUTED_VALUE"""),"DESBALANCE DE CARGA")</f>
        <v>DESBALANCE DE CARGA</v>
      </c>
      <c r="E227" s="64" t="str">
        <f>IFERROR(__xludf.DUMMYFUNCTION("""COMPUTED_VALUE"""),"PERSONA FALLECIDA")</f>
        <v>PERSONA FALLECIDA</v>
      </c>
      <c r="F227" s="64" t="str">
        <f>IFERROR(__xludf.DUMMYFUNCTION("""COMPUTED_VALUE"""),"DESPRENDIMIENTO DE NEUMATICO")</f>
        <v>DESPRENDIMIENTO DE NEUMATICO</v>
      </c>
      <c r="G227" s="64" t="str">
        <f>IFERROR(__xludf.DUMMYFUNCTION("""COMPUTED_VALUE"""),"SALIDA DE PISTA")</f>
        <v>SALIDA DE PISTA</v>
      </c>
      <c r="H227" s="64" t="str">
        <f>IFERROR(__xludf.DUMMYFUNCTION("""COMPUTED_VALUE"""),"DESPRENDIMIENTO DE CONTENEDOR")</f>
        <v>DESPRENDIMIENTO DE CONTENEDOR</v>
      </c>
      <c r="I227" s="64" t="str">
        <f>IFERROR(__xludf.DUMMYFUNCTION("""COMPUTED_VALUE"""),"CAÍDA DE CARGA")</f>
        <v>CAÍDA DE CARGA</v>
      </c>
      <c r="J227" s="64" t="str">
        <f>IFERROR(__xludf.DUMMYFUNCTION("""COMPUTED_VALUE"""),"CHOQUE")</f>
        <v>CHOQUE</v>
      </c>
      <c r="K227" s="64" t="str">
        <f>IFERROR(__xludf.DUMMYFUNCTION("""COMPUTED_VALUE"""),"COLISIÓN")</f>
        <v>COLISIÓN</v>
      </c>
      <c r="L227" s="64" t="str">
        <f>IFERROR(__xludf.DUMMYFUNCTION("""COMPUTED_VALUE"""),"COLISIÓN MÚLTIPLE")</f>
        <v>COLISIÓN MÚLTIPLE</v>
      </c>
      <c r="M227" s="64" t="str">
        <f>IFERROR(__xludf.DUMMYFUNCTION("""COMPUTED_VALUE"""),"DERRAPE")</f>
        <v>DERRAPE</v>
      </c>
      <c r="N227" s="64" t="str">
        <f>IFERROR(__xludf.DUMMYFUNCTION("""COMPUTED_VALUE"""),"VEHÍCULO INCENDIADO")</f>
        <v>VEHÍCULO INCENDIADO</v>
      </c>
      <c r="O227" s="64" t="str">
        <f>IFERROR(__xludf.DUMMYFUNCTION("""COMPUTED_VALUE"""),"VUELCO")</f>
        <v>VUELCO</v>
      </c>
      <c r="P227" s="64" t="str">
        <f>IFERROR(__xludf.DUMMYFUNCTION("""COMPUTED_VALUE"""),"DESPRENDIMIENTO")</f>
        <v>DESPRENDIMIENTO</v>
      </c>
      <c r="Q227" s="64" t="str">
        <f>IFERROR(__xludf.DUMMYFUNCTION("""COMPUTED_VALUE"""),"CAÍDA DE ÁRBOL")</f>
        <v>CAÍDA DE ÁRBOL</v>
      </c>
      <c r="R227" s="64" t="str">
        <f>IFERROR(__xludf.DUMMYFUNCTION("""COMPUTED_VALUE"""),"DESPRENDIMIENTO DE EJE")</f>
        <v>DESPRENDIMIENTO DE EJE</v>
      </c>
      <c r="S227" s="64" t="str">
        <f>IFERROR(__xludf.DUMMYFUNCTION("""COMPUTED_VALUE"""),"PERSONA ATROPELLADA")</f>
        <v>PERSONA ATROPELLADA</v>
      </c>
    </row>
    <row r="228">
      <c r="B228" s="64" t="s">
        <v>54</v>
      </c>
      <c r="C228" s="64" t="str">
        <f>IFERROR(__xludf.DUMMYFUNCTION(" TRANSPOSE( unique ( QUERY(DATOPRO,""select Col2 where Col1 = '""&amp;B228&amp;""'"")))"),"PINCHAZO")</f>
        <v>PINCHAZO</v>
      </c>
      <c r="D228" s="64" t="str">
        <f>IFERROR(__xludf.DUMMYFUNCTION("""COMPUTED_VALUE"""),"TRABAJOS DE CARRETERA")</f>
        <v>TRABAJOS DE CARRETERA</v>
      </c>
      <c r="E228" s="64" t="str">
        <f>IFERROR(__xludf.DUMMYFUNCTION("""COMPUTED_VALUE"""),"CONSIGNACIÓN")</f>
        <v>CONSIGNACIÓN</v>
      </c>
      <c r="F228" s="64" t="str">
        <f>IFERROR(__xludf.DUMMYFUNCTION("""COMPUTED_VALUE"""),"DERRAME")</f>
        <v>DERRAME</v>
      </c>
      <c r="G228" s="64" t="str">
        <f>IFERROR(__xludf.DUMMYFUNCTION("""COMPUTED_VALUE"""),"CALENTAMIENTO")</f>
        <v>CALENTAMIENTO</v>
      </c>
      <c r="H228" s="64" t="str">
        <f>IFERROR(__xludf.DUMMYFUNCTION("""COMPUTED_VALUE"""),"ESCOLTANDO")</f>
        <v>ESCOLTANDO</v>
      </c>
      <c r="I228" s="64" t="str">
        <f>IFERROR(__xludf.DUMMYFUNCTION("""COMPUTED_VALUE"""),"FALTA DE COMBUSTIBLE")</f>
        <v>FALTA DE COMBUSTIBLE</v>
      </c>
      <c r="J228" s="64" t="str">
        <f>IFERROR(__xludf.DUMMYFUNCTION("""COMPUTED_VALUE"""),"DESPERFECTOS MECÁNICOS")</f>
        <v>DESPERFECTOS MECÁNICOS</v>
      </c>
      <c r="K228" s="64" t="str">
        <f>IFERROR(__xludf.DUMMYFUNCTION("""COMPUTED_VALUE"""),"LLAMADA DE ATENCIÓN")</f>
        <v>LLAMADA DE ATENCIÓN</v>
      </c>
      <c r="L228" s="64" t="str">
        <f>IFERROR(__xludf.DUMMYFUNCTION("""COMPUTED_VALUE"""),"OPERATIVOS")</f>
        <v>OPERATIVOS</v>
      </c>
      <c r="M228" s="64" t="str">
        <f>IFERROR(__xludf.DUMMYFUNCTION("""COMPUTED_VALUE"""),"SANCIÓN")</f>
        <v>SANCIÓN</v>
      </c>
      <c r="N228" s="64" t="str">
        <f>IFERROR(__xludf.DUMMYFUNCTION("""COMPUTED_VALUE"""),"SISTEMA ELECTRICO")</f>
        <v>SISTEMA ELECTRICO</v>
      </c>
      <c r="O228" s="64" t="str">
        <f>IFERROR(__xludf.DUMMYFUNCTION("""COMPUTED_VALUE"""),"ASISTENCIA AL USUARIO")</f>
        <v>ASISTENCIA AL USUARIO</v>
      </c>
      <c r="P228" s="64" t="str">
        <f>IFERROR(__xludf.DUMMYFUNCTION("""COMPUTED_VALUE"""),"DOBLE REMOLQUE")</f>
        <v>DOBLE REMOLQUE</v>
      </c>
      <c r="Q228" s="64" t="str">
        <f>IFERROR(__xludf.DUMMYFUNCTION("""COMPUTED_VALUE"""),"SINAPRESE")</f>
        <v>SINAPRESE</v>
      </c>
      <c r="R228" s="64" t="str">
        <f>IFERROR(__xludf.DUMMYFUNCTION("""COMPUTED_VALUE"""),"APOYO ATLETISMO")</f>
        <v>APOYO ATLETISMO</v>
      </c>
      <c r="S228" s="64" t="str">
        <f>IFERROR(__xludf.DUMMYFUNCTION("""COMPUTED_VALUE"""),"APOYO A CICLISMO")</f>
        <v>APOYO A CICLISMO</v>
      </c>
      <c r="T228" s="64" t="str">
        <f>IFERROR(__xludf.DUMMYFUNCTION("""COMPUTED_VALUE"""),"DESCARGA DE BATERÍA")</f>
        <v>DESCARGA DE BATERÍA</v>
      </c>
      <c r="U228" s="64" t="str">
        <f>IFERROR(__xludf.DUMMYFUNCTION("""COMPUTED_VALUE"""),"PROBLEMAS DE SALUD")</f>
        <v>PROBLEMAS DE SALUD</v>
      </c>
      <c r="V228" s="64" t="str">
        <f>IFERROR(__xludf.DUMMYFUNCTION("""COMPUTED_VALUE"""),"OLVIDO LA LLAVE")</f>
        <v>OLVIDO LA LLAVE</v>
      </c>
      <c r="W228" s="64" t="str">
        <f>IFERROR(__xludf.DUMMYFUNCTION("""COMPUTED_VALUE"""),"CARGA SOBREDIMENSIONADA")</f>
        <v>CARGA SOBREDIMENSIONADA</v>
      </c>
      <c r="X228" s="64" t="str">
        <f>IFERROR(__xludf.DUMMYFUNCTION("""COMPUTED_VALUE"""),"VEHÍCULO ABANDONADO")</f>
        <v>VEHÍCULO ABANDONADO</v>
      </c>
      <c r="Y228" s="64" t="str">
        <f>IFERROR(__xludf.DUMMYFUNCTION("""COMPUTED_VALUE"""),"DESPRENDIMIENTO")</f>
        <v>DESPRENDIMIENTO</v>
      </c>
      <c r="Z228" s="64" t="str">
        <f>IFERROR(__xludf.DUMMYFUNCTION("""COMPUTED_VALUE"""),"CAÍDA DE POSTE")</f>
        <v>CAÍDA DE POSTE</v>
      </c>
      <c r="AA228" s="64" t="str">
        <f>IFERROR(__xludf.DUMMYFUNCTION("""COMPUTED_VALUE"""),"CAÍDA DE RAMA")</f>
        <v>CAÍDA DE RAMA</v>
      </c>
      <c r="AB228" s="64" t="str">
        <f>IFERROR(__xludf.DUMMYFUNCTION("""COMPUTED_VALUE"""),"OPERATIVO DGT")</f>
        <v>OPERATIVO DGT</v>
      </c>
      <c r="AC228" s="64" t="str">
        <f>IFERROR(__xludf.DUMMYFUNCTION("""COMPUTED_VALUE"""),"OPERATIVO PMT")</f>
        <v>OPERATIVO PMT</v>
      </c>
      <c r="AD228" s="64" t="str">
        <f>IFERROR(__xludf.DUMMYFUNCTION("""COMPUTED_VALUE"""),"APOYO A DIGEF")</f>
        <v>APOYO A DIGEF</v>
      </c>
      <c r="AE228" s="64" t="str">
        <f>IFERROR(__xludf.DUMMYFUNCTION("""COMPUTED_VALUE"""),"OPERATIVO PNC TRANSITO")</f>
        <v>OPERATIVO PNC TRANSITO</v>
      </c>
      <c r="AF228" s="64" t="str">
        <f>IFERROR(__xludf.DUMMYFUNCTION("""COMPUTED_VALUE"""),"SOBRECARGA ")</f>
        <v>SOBRECARGA </v>
      </c>
      <c r="AG228" s="64" t="str">
        <f>IFERROR(__xludf.DUMMYFUNCTION("""COMPUTED_VALUE"""),"OPERATIVO EN CONJUNTO")</f>
        <v>OPERATIVO EN CONJUNTO</v>
      </c>
      <c r="AH228" s="64" t="str">
        <f>IFERROR(__xludf.DUMMYFUNCTION("""COMPUTED_VALUE"""),"PUESTO DE ATENCION AL USUARIO")</f>
        <v>PUESTO DE ATENCION AL USUARIO</v>
      </c>
      <c r="AI228" s="64" t="str">
        <f>IFERROR(__xludf.DUMMYFUNCTION("""COMPUTED_VALUE"""),"INCENDIO EN RUTA")</f>
        <v>INCENDIO EN RUTA</v>
      </c>
      <c r="AJ228" s="64" t="str">
        <f>IFERROR(__xludf.DUMMYFUNCTION("""COMPUTED_VALUE"""),"APOYO ANTORCHA ")</f>
        <v>APOYO ANTORCHA </v>
      </c>
    </row>
    <row r="229">
      <c r="B229" s="64" t="s">
        <v>54</v>
      </c>
      <c r="C229" s="64" t="str">
        <f>IFERROR(__xludf.DUMMYFUNCTION(" TRANSPOSE( unique ( QUERY(DATOPRO,""select Col2 where Col1 = '""&amp;B229&amp;""'"")))"),"PINCHAZO")</f>
        <v>PINCHAZO</v>
      </c>
      <c r="D229" s="64" t="str">
        <f>IFERROR(__xludf.DUMMYFUNCTION("""COMPUTED_VALUE"""),"TRABAJOS DE CARRETERA")</f>
        <v>TRABAJOS DE CARRETERA</v>
      </c>
      <c r="E229" s="64" t="str">
        <f>IFERROR(__xludf.DUMMYFUNCTION("""COMPUTED_VALUE"""),"CONSIGNACIÓN")</f>
        <v>CONSIGNACIÓN</v>
      </c>
      <c r="F229" s="64" t="str">
        <f>IFERROR(__xludf.DUMMYFUNCTION("""COMPUTED_VALUE"""),"DERRAME")</f>
        <v>DERRAME</v>
      </c>
      <c r="G229" s="64" t="str">
        <f>IFERROR(__xludf.DUMMYFUNCTION("""COMPUTED_VALUE"""),"CALENTAMIENTO")</f>
        <v>CALENTAMIENTO</v>
      </c>
      <c r="H229" s="64" t="str">
        <f>IFERROR(__xludf.DUMMYFUNCTION("""COMPUTED_VALUE"""),"ESCOLTANDO")</f>
        <v>ESCOLTANDO</v>
      </c>
      <c r="I229" s="64" t="str">
        <f>IFERROR(__xludf.DUMMYFUNCTION("""COMPUTED_VALUE"""),"FALTA DE COMBUSTIBLE")</f>
        <v>FALTA DE COMBUSTIBLE</v>
      </c>
      <c r="J229" s="64" t="str">
        <f>IFERROR(__xludf.DUMMYFUNCTION("""COMPUTED_VALUE"""),"DESPERFECTOS MECÁNICOS")</f>
        <v>DESPERFECTOS MECÁNICOS</v>
      </c>
      <c r="K229" s="64" t="str">
        <f>IFERROR(__xludf.DUMMYFUNCTION("""COMPUTED_VALUE"""),"LLAMADA DE ATENCIÓN")</f>
        <v>LLAMADA DE ATENCIÓN</v>
      </c>
      <c r="L229" s="64" t="str">
        <f>IFERROR(__xludf.DUMMYFUNCTION("""COMPUTED_VALUE"""),"OPERATIVOS")</f>
        <v>OPERATIVOS</v>
      </c>
      <c r="M229" s="64" t="str">
        <f>IFERROR(__xludf.DUMMYFUNCTION("""COMPUTED_VALUE"""),"SANCIÓN")</f>
        <v>SANCIÓN</v>
      </c>
      <c r="N229" s="64" t="str">
        <f>IFERROR(__xludf.DUMMYFUNCTION("""COMPUTED_VALUE"""),"SISTEMA ELECTRICO")</f>
        <v>SISTEMA ELECTRICO</v>
      </c>
      <c r="O229" s="64" t="str">
        <f>IFERROR(__xludf.DUMMYFUNCTION("""COMPUTED_VALUE"""),"ASISTENCIA AL USUARIO")</f>
        <v>ASISTENCIA AL USUARIO</v>
      </c>
      <c r="P229" s="64" t="str">
        <f>IFERROR(__xludf.DUMMYFUNCTION("""COMPUTED_VALUE"""),"DOBLE REMOLQUE")</f>
        <v>DOBLE REMOLQUE</v>
      </c>
      <c r="Q229" s="64" t="str">
        <f>IFERROR(__xludf.DUMMYFUNCTION("""COMPUTED_VALUE"""),"SINAPRESE")</f>
        <v>SINAPRESE</v>
      </c>
      <c r="R229" s="64" t="str">
        <f>IFERROR(__xludf.DUMMYFUNCTION("""COMPUTED_VALUE"""),"APOYO ATLETISMO")</f>
        <v>APOYO ATLETISMO</v>
      </c>
      <c r="S229" s="64" t="str">
        <f>IFERROR(__xludf.DUMMYFUNCTION("""COMPUTED_VALUE"""),"APOYO A CICLISMO")</f>
        <v>APOYO A CICLISMO</v>
      </c>
      <c r="T229" s="64" t="str">
        <f>IFERROR(__xludf.DUMMYFUNCTION("""COMPUTED_VALUE"""),"DESCARGA DE BATERÍA")</f>
        <v>DESCARGA DE BATERÍA</v>
      </c>
      <c r="U229" s="64" t="str">
        <f>IFERROR(__xludf.DUMMYFUNCTION("""COMPUTED_VALUE"""),"PROBLEMAS DE SALUD")</f>
        <v>PROBLEMAS DE SALUD</v>
      </c>
      <c r="V229" s="64" t="str">
        <f>IFERROR(__xludf.DUMMYFUNCTION("""COMPUTED_VALUE"""),"OLVIDO LA LLAVE")</f>
        <v>OLVIDO LA LLAVE</v>
      </c>
      <c r="W229" s="64" t="str">
        <f>IFERROR(__xludf.DUMMYFUNCTION("""COMPUTED_VALUE"""),"CARGA SOBREDIMENSIONADA")</f>
        <v>CARGA SOBREDIMENSIONADA</v>
      </c>
      <c r="X229" s="64" t="str">
        <f>IFERROR(__xludf.DUMMYFUNCTION("""COMPUTED_VALUE"""),"VEHÍCULO ABANDONADO")</f>
        <v>VEHÍCULO ABANDONADO</v>
      </c>
      <c r="Y229" s="64" t="str">
        <f>IFERROR(__xludf.DUMMYFUNCTION("""COMPUTED_VALUE"""),"DESPRENDIMIENTO")</f>
        <v>DESPRENDIMIENTO</v>
      </c>
      <c r="Z229" s="64" t="str">
        <f>IFERROR(__xludf.DUMMYFUNCTION("""COMPUTED_VALUE"""),"CAÍDA DE POSTE")</f>
        <v>CAÍDA DE POSTE</v>
      </c>
      <c r="AA229" s="64" t="str">
        <f>IFERROR(__xludf.DUMMYFUNCTION("""COMPUTED_VALUE"""),"CAÍDA DE RAMA")</f>
        <v>CAÍDA DE RAMA</v>
      </c>
      <c r="AB229" s="64" t="str">
        <f>IFERROR(__xludf.DUMMYFUNCTION("""COMPUTED_VALUE"""),"OPERATIVO DGT")</f>
        <v>OPERATIVO DGT</v>
      </c>
      <c r="AC229" s="64" t="str">
        <f>IFERROR(__xludf.DUMMYFUNCTION("""COMPUTED_VALUE"""),"OPERATIVO PMT")</f>
        <v>OPERATIVO PMT</v>
      </c>
      <c r="AD229" s="64" t="str">
        <f>IFERROR(__xludf.DUMMYFUNCTION("""COMPUTED_VALUE"""),"APOYO A DIGEF")</f>
        <v>APOYO A DIGEF</v>
      </c>
      <c r="AE229" s="64" t="str">
        <f>IFERROR(__xludf.DUMMYFUNCTION("""COMPUTED_VALUE"""),"OPERATIVO PNC TRANSITO")</f>
        <v>OPERATIVO PNC TRANSITO</v>
      </c>
      <c r="AF229" s="64" t="str">
        <f>IFERROR(__xludf.DUMMYFUNCTION("""COMPUTED_VALUE"""),"SOBRECARGA ")</f>
        <v>SOBRECARGA </v>
      </c>
      <c r="AG229" s="64" t="str">
        <f>IFERROR(__xludf.DUMMYFUNCTION("""COMPUTED_VALUE"""),"OPERATIVO EN CONJUNTO")</f>
        <v>OPERATIVO EN CONJUNTO</v>
      </c>
      <c r="AH229" s="64" t="str">
        <f>IFERROR(__xludf.DUMMYFUNCTION("""COMPUTED_VALUE"""),"PUESTO DE ATENCION AL USUARIO")</f>
        <v>PUESTO DE ATENCION AL USUARIO</v>
      </c>
      <c r="AI229" s="64" t="str">
        <f>IFERROR(__xludf.DUMMYFUNCTION("""COMPUTED_VALUE"""),"INCENDIO EN RUTA")</f>
        <v>INCENDIO EN RUTA</v>
      </c>
      <c r="AJ229" s="64" t="str">
        <f>IFERROR(__xludf.DUMMYFUNCTION("""COMPUTED_VALUE"""),"APOYO ANTORCHA ")</f>
        <v>APOYO ANTORCHA </v>
      </c>
    </row>
    <row r="230">
      <c r="B230" s="64" t="s">
        <v>54</v>
      </c>
      <c r="C230" s="64" t="str">
        <f>IFERROR(__xludf.DUMMYFUNCTION(" TRANSPOSE( unique ( QUERY(DATOPRO,""select Col2 where Col1 = '""&amp;B230&amp;""'"")))"),"PINCHAZO")</f>
        <v>PINCHAZO</v>
      </c>
      <c r="D230" s="64" t="str">
        <f>IFERROR(__xludf.DUMMYFUNCTION("""COMPUTED_VALUE"""),"TRABAJOS DE CARRETERA")</f>
        <v>TRABAJOS DE CARRETERA</v>
      </c>
      <c r="E230" s="64" t="str">
        <f>IFERROR(__xludf.DUMMYFUNCTION("""COMPUTED_VALUE"""),"CONSIGNACIÓN")</f>
        <v>CONSIGNACIÓN</v>
      </c>
      <c r="F230" s="64" t="str">
        <f>IFERROR(__xludf.DUMMYFUNCTION("""COMPUTED_VALUE"""),"DERRAME")</f>
        <v>DERRAME</v>
      </c>
      <c r="G230" s="64" t="str">
        <f>IFERROR(__xludf.DUMMYFUNCTION("""COMPUTED_VALUE"""),"CALENTAMIENTO")</f>
        <v>CALENTAMIENTO</v>
      </c>
      <c r="H230" s="64" t="str">
        <f>IFERROR(__xludf.DUMMYFUNCTION("""COMPUTED_VALUE"""),"ESCOLTANDO")</f>
        <v>ESCOLTANDO</v>
      </c>
      <c r="I230" s="64" t="str">
        <f>IFERROR(__xludf.DUMMYFUNCTION("""COMPUTED_VALUE"""),"FALTA DE COMBUSTIBLE")</f>
        <v>FALTA DE COMBUSTIBLE</v>
      </c>
      <c r="J230" s="64" t="str">
        <f>IFERROR(__xludf.DUMMYFUNCTION("""COMPUTED_VALUE"""),"DESPERFECTOS MECÁNICOS")</f>
        <v>DESPERFECTOS MECÁNICOS</v>
      </c>
      <c r="K230" s="64" t="str">
        <f>IFERROR(__xludf.DUMMYFUNCTION("""COMPUTED_VALUE"""),"LLAMADA DE ATENCIÓN")</f>
        <v>LLAMADA DE ATENCIÓN</v>
      </c>
      <c r="L230" s="64" t="str">
        <f>IFERROR(__xludf.DUMMYFUNCTION("""COMPUTED_VALUE"""),"OPERATIVOS")</f>
        <v>OPERATIVOS</v>
      </c>
      <c r="M230" s="64" t="str">
        <f>IFERROR(__xludf.DUMMYFUNCTION("""COMPUTED_VALUE"""),"SANCIÓN")</f>
        <v>SANCIÓN</v>
      </c>
      <c r="N230" s="64" t="str">
        <f>IFERROR(__xludf.DUMMYFUNCTION("""COMPUTED_VALUE"""),"SISTEMA ELECTRICO")</f>
        <v>SISTEMA ELECTRICO</v>
      </c>
      <c r="O230" s="64" t="str">
        <f>IFERROR(__xludf.DUMMYFUNCTION("""COMPUTED_VALUE"""),"ASISTENCIA AL USUARIO")</f>
        <v>ASISTENCIA AL USUARIO</v>
      </c>
      <c r="P230" s="64" t="str">
        <f>IFERROR(__xludf.DUMMYFUNCTION("""COMPUTED_VALUE"""),"DOBLE REMOLQUE")</f>
        <v>DOBLE REMOLQUE</v>
      </c>
      <c r="Q230" s="64" t="str">
        <f>IFERROR(__xludf.DUMMYFUNCTION("""COMPUTED_VALUE"""),"SINAPRESE")</f>
        <v>SINAPRESE</v>
      </c>
      <c r="R230" s="64" t="str">
        <f>IFERROR(__xludf.DUMMYFUNCTION("""COMPUTED_VALUE"""),"APOYO ATLETISMO")</f>
        <v>APOYO ATLETISMO</v>
      </c>
      <c r="S230" s="64" t="str">
        <f>IFERROR(__xludf.DUMMYFUNCTION("""COMPUTED_VALUE"""),"APOYO A CICLISMO")</f>
        <v>APOYO A CICLISMO</v>
      </c>
      <c r="T230" s="64" t="str">
        <f>IFERROR(__xludf.DUMMYFUNCTION("""COMPUTED_VALUE"""),"DESCARGA DE BATERÍA")</f>
        <v>DESCARGA DE BATERÍA</v>
      </c>
      <c r="U230" s="64" t="str">
        <f>IFERROR(__xludf.DUMMYFUNCTION("""COMPUTED_VALUE"""),"PROBLEMAS DE SALUD")</f>
        <v>PROBLEMAS DE SALUD</v>
      </c>
      <c r="V230" s="64" t="str">
        <f>IFERROR(__xludf.DUMMYFUNCTION("""COMPUTED_VALUE"""),"OLVIDO LA LLAVE")</f>
        <v>OLVIDO LA LLAVE</v>
      </c>
      <c r="W230" s="64" t="str">
        <f>IFERROR(__xludf.DUMMYFUNCTION("""COMPUTED_VALUE"""),"CARGA SOBREDIMENSIONADA")</f>
        <v>CARGA SOBREDIMENSIONADA</v>
      </c>
      <c r="X230" s="64" t="str">
        <f>IFERROR(__xludf.DUMMYFUNCTION("""COMPUTED_VALUE"""),"VEHÍCULO ABANDONADO")</f>
        <v>VEHÍCULO ABANDONADO</v>
      </c>
      <c r="Y230" s="64" t="str">
        <f>IFERROR(__xludf.DUMMYFUNCTION("""COMPUTED_VALUE"""),"DESPRENDIMIENTO")</f>
        <v>DESPRENDIMIENTO</v>
      </c>
      <c r="Z230" s="64" t="str">
        <f>IFERROR(__xludf.DUMMYFUNCTION("""COMPUTED_VALUE"""),"CAÍDA DE POSTE")</f>
        <v>CAÍDA DE POSTE</v>
      </c>
      <c r="AA230" s="64" t="str">
        <f>IFERROR(__xludf.DUMMYFUNCTION("""COMPUTED_VALUE"""),"CAÍDA DE RAMA")</f>
        <v>CAÍDA DE RAMA</v>
      </c>
      <c r="AB230" s="64" t="str">
        <f>IFERROR(__xludf.DUMMYFUNCTION("""COMPUTED_VALUE"""),"OPERATIVO DGT")</f>
        <v>OPERATIVO DGT</v>
      </c>
      <c r="AC230" s="64" t="str">
        <f>IFERROR(__xludf.DUMMYFUNCTION("""COMPUTED_VALUE"""),"OPERATIVO PMT")</f>
        <v>OPERATIVO PMT</v>
      </c>
      <c r="AD230" s="64" t="str">
        <f>IFERROR(__xludf.DUMMYFUNCTION("""COMPUTED_VALUE"""),"APOYO A DIGEF")</f>
        <v>APOYO A DIGEF</v>
      </c>
      <c r="AE230" s="64" t="str">
        <f>IFERROR(__xludf.DUMMYFUNCTION("""COMPUTED_VALUE"""),"OPERATIVO PNC TRANSITO")</f>
        <v>OPERATIVO PNC TRANSITO</v>
      </c>
      <c r="AF230" s="64" t="str">
        <f>IFERROR(__xludf.DUMMYFUNCTION("""COMPUTED_VALUE"""),"SOBRECARGA ")</f>
        <v>SOBRECARGA </v>
      </c>
      <c r="AG230" s="64" t="str">
        <f>IFERROR(__xludf.DUMMYFUNCTION("""COMPUTED_VALUE"""),"OPERATIVO EN CONJUNTO")</f>
        <v>OPERATIVO EN CONJUNTO</v>
      </c>
      <c r="AH230" s="64" t="str">
        <f>IFERROR(__xludf.DUMMYFUNCTION("""COMPUTED_VALUE"""),"PUESTO DE ATENCION AL USUARIO")</f>
        <v>PUESTO DE ATENCION AL USUARIO</v>
      </c>
      <c r="AI230" s="64" t="str">
        <f>IFERROR(__xludf.DUMMYFUNCTION("""COMPUTED_VALUE"""),"INCENDIO EN RUTA")</f>
        <v>INCENDIO EN RUTA</v>
      </c>
      <c r="AJ230" s="64" t="str">
        <f>IFERROR(__xludf.DUMMYFUNCTION("""COMPUTED_VALUE"""),"APOYO ANTORCHA ")</f>
        <v>APOYO ANTORCHA </v>
      </c>
    </row>
    <row r="231">
      <c r="B231" s="64" t="s">
        <v>54</v>
      </c>
      <c r="C231" s="64" t="str">
        <f>IFERROR(__xludf.DUMMYFUNCTION(" TRANSPOSE( unique ( QUERY(DATOPRO,""select Col2 where Col1 = '""&amp;B231&amp;""'"")))"),"PINCHAZO")</f>
        <v>PINCHAZO</v>
      </c>
      <c r="D231" s="64" t="str">
        <f>IFERROR(__xludf.DUMMYFUNCTION("""COMPUTED_VALUE"""),"TRABAJOS DE CARRETERA")</f>
        <v>TRABAJOS DE CARRETERA</v>
      </c>
      <c r="E231" s="64" t="str">
        <f>IFERROR(__xludf.DUMMYFUNCTION("""COMPUTED_VALUE"""),"CONSIGNACIÓN")</f>
        <v>CONSIGNACIÓN</v>
      </c>
      <c r="F231" s="64" t="str">
        <f>IFERROR(__xludf.DUMMYFUNCTION("""COMPUTED_VALUE"""),"DERRAME")</f>
        <v>DERRAME</v>
      </c>
      <c r="G231" s="64" t="str">
        <f>IFERROR(__xludf.DUMMYFUNCTION("""COMPUTED_VALUE"""),"CALENTAMIENTO")</f>
        <v>CALENTAMIENTO</v>
      </c>
      <c r="H231" s="64" t="str">
        <f>IFERROR(__xludf.DUMMYFUNCTION("""COMPUTED_VALUE"""),"ESCOLTANDO")</f>
        <v>ESCOLTANDO</v>
      </c>
      <c r="I231" s="64" t="str">
        <f>IFERROR(__xludf.DUMMYFUNCTION("""COMPUTED_VALUE"""),"FALTA DE COMBUSTIBLE")</f>
        <v>FALTA DE COMBUSTIBLE</v>
      </c>
      <c r="J231" s="64" t="str">
        <f>IFERROR(__xludf.DUMMYFUNCTION("""COMPUTED_VALUE"""),"DESPERFECTOS MECÁNICOS")</f>
        <v>DESPERFECTOS MECÁNICOS</v>
      </c>
      <c r="K231" s="64" t="str">
        <f>IFERROR(__xludf.DUMMYFUNCTION("""COMPUTED_VALUE"""),"LLAMADA DE ATENCIÓN")</f>
        <v>LLAMADA DE ATENCIÓN</v>
      </c>
      <c r="L231" s="64" t="str">
        <f>IFERROR(__xludf.DUMMYFUNCTION("""COMPUTED_VALUE"""),"OPERATIVOS")</f>
        <v>OPERATIVOS</v>
      </c>
      <c r="M231" s="64" t="str">
        <f>IFERROR(__xludf.DUMMYFUNCTION("""COMPUTED_VALUE"""),"SANCIÓN")</f>
        <v>SANCIÓN</v>
      </c>
      <c r="N231" s="64" t="str">
        <f>IFERROR(__xludf.DUMMYFUNCTION("""COMPUTED_VALUE"""),"SISTEMA ELECTRICO")</f>
        <v>SISTEMA ELECTRICO</v>
      </c>
      <c r="O231" s="64" t="str">
        <f>IFERROR(__xludf.DUMMYFUNCTION("""COMPUTED_VALUE"""),"ASISTENCIA AL USUARIO")</f>
        <v>ASISTENCIA AL USUARIO</v>
      </c>
      <c r="P231" s="64" t="str">
        <f>IFERROR(__xludf.DUMMYFUNCTION("""COMPUTED_VALUE"""),"DOBLE REMOLQUE")</f>
        <v>DOBLE REMOLQUE</v>
      </c>
      <c r="Q231" s="64" t="str">
        <f>IFERROR(__xludf.DUMMYFUNCTION("""COMPUTED_VALUE"""),"SINAPRESE")</f>
        <v>SINAPRESE</v>
      </c>
      <c r="R231" s="64" t="str">
        <f>IFERROR(__xludf.DUMMYFUNCTION("""COMPUTED_VALUE"""),"APOYO ATLETISMO")</f>
        <v>APOYO ATLETISMO</v>
      </c>
      <c r="S231" s="64" t="str">
        <f>IFERROR(__xludf.DUMMYFUNCTION("""COMPUTED_VALUE"""),"APOYO A CICLISMO")</f>
        <v>APOYO A CICLISMO</v>
      </c>
      <c r="T231" s="64" t="str">
        <f>IFERROR(__xludf.DUMMYFUNCTION("""COMPUTED_VALUE"""),"DESCARGA DE BATERÍA")</f>
        <v>DESCARGA DE BATERÍA</v>
      </c>
      <c r="U231" s="64" t="str">
        <f>IFERROR(__xludf.DUMMYFUNCTION("""COMPUTED_VALUE"""),"PROBLEMAS DE SALUD")</f>
        <v>PROBLEMAS DE SALUD</v>
      </c>
      <c r="V231" s="64" t="str">
        <f>IFERROR(__xludf.DUMMYFUNCTION("""COMPUTED_VALUE"""),"OLVIDO LA LLAVE")</f>
        <v>OLVIDO LA LLAVE</v>
      </c>
      <c r="W231" s="64" t="str">
        <f>IFERROR(__xludf.DUMMYFUNCTION("""COMPUTED_VALUE"""),"CARGA SOBREDIMENSIONADA")</f>
        <v>CARGA SOBREDIMENSIONADA</v>
      </c>
      <c r="X231" s="64" t="str">
        <f>IFERROR(__xludf.DUMMYFUNCTION("""COMPUTED_VALUE"""),"VEHÍCULO ABANDONADO")</f>
        <v>VEHÍCULO ABANDONADO</v>
      </c>
      <c r="Y231" s="64" t="str">
        <f>IFERROR(__xludf.DUMMYFUNCTION("""COMPUTED_VALUE"""),"DESPRENDIMIENTO")</f>
        <v>DESPRENDIMIENTO</v>
      </c>
      <c r="Z231" s="64" t="str">
        <f>IFERROR(__xludf.DUMMYFUNCTION("""COMPUTED_VALUE"""),"CAÍDA DE POSTE")</f>
        <v>CAÍDA DE POSTE</v>
      </c>
      <c r="AA231" s="64" t="str">
        <f>IFERROR(__xludf.DUMMYFUNCTION("""COMPUTED_VALUE"""),"CAÍDA DE RAMA")</f>
        <v>CAÍDA DE RAMA</v>
      </c>
      <c r="AB231" s="64" t="str">
        <f>IFERROR(__xludf.DUMMYFUNCTION("""COMPUTED_VALUE"""),"OPERATIVO DGT")</f>
        <v>OPERATIVO DGT</v>
      </c>
      <c r="AC231" s="64" t="str">
        <f>IFERROR(__xludf.DUMMYFUNCTION("""COMPUTED_VALUE"""),"OPERATIVO PMT")</f>
        <v>OPERATIVO PMT</v>
      </c>
      <c r="AD231" s="64" t="str">
        <f>IFERROR(__xludf.DUMMYFUNCTION("""COMPUTED_VALUE"""),"APOYO A DIGEF")</f>
        <v>APOYO A DIGEF</v>
      </c>
      <c r="AE231" s="64" t="str">
        <f>IFERROR(__xludf.DUMMYFUNCTION("""COMPUTED_VALUE"""),"OPERATIVO PNC TRANSITO")</f>
        <v>OPERATIVO PNC TRANSITO</v>
      </c>
      <c r="AF231" s="64" t="str">
        <f>IFERROR(__xludf.DUMMYFUNCTION("""COMPUTED_VALUE"""),"SOBRECARGA ")</f>
        <v>SOBRECARGA </v>
      </c>
      <c r="AG231" s="64" t="str">
        <f>IFERROR(__xludf.DUMMYFUNCTION("""COMPUTED_VALUE"""),"OPERATIVO EN CONJUNTO")</f>
        <v>OPERATIVO EN CONJUNTO</v>
      </c>
      <c r="AH231" s="64" t="str">
        <f>IFERROR(__xludf.DUMMYFUNCTION("""COMPUTED_VALUE"""),"PUESTO DE ATENCION AL USUARIO")</f>
        <v>PUESTO DE ATENCION AL USUARIO</v>
      </c>
      <c r="AI231" s="64" t="str">
        <f>IFERROR(__xludf.DUMMYFUNCTION("""COMPUTED_VALUE"""),"INCENDIO EN RUTA")</f>
        <v>INCENDIO EN RUTA</v>
      </c>
      <c r="AJ231" s="64" t="str">
        <f>IFERROR(__xludf.DUMMYFUNCTION("""COMPUTED_VALUE"""),"APOYO ANTORCHA ")</f>
        <v>APOYO ANTORCHA </v>
      </c>
    </row>
    <row r="232">
      <c r="B232" s="64" t="s">
        <v>54</v>
      </c>
      <c r="C232" s="64" t="str">
        <f>IFERROR(__xludf.DUMMYFUNCTION(" TRANSPOSE( unique ( QUERY(DATOPRO,""select Col2 where Col1 = '""&amp;B232&amp;""'"")))"),"PINCHAZO")</f>
        <v>PINCHAZO</v>
      </c>
      <c r="D232" s="64" t="str">
        <f>IFERROR(__xludf.DUMMYFUNCTION("""COMPUTED_VALUE"""),"TRABAJOS DE CARRETERA")</f>
        <v>TRABAJOS DE CARRETERA</v>
      </c>
      <c r="E232" s="64" t="str">
        <f>IFERROR(__xludf.DUMMYFUNCTION("""COMPUTED_VALUE"""),"CONSIGNACIÓN")</f>
        <v>CONSIGNACIÓN</v>
      </c>
      <c r="F232" s="64" t="str">
        <f>IFERROR(__xludf.DUMMYFUNCTION("""COMPUTED_VALUE"""),"DERRAME")</f>
        <v>DERRAME</v>
      </c>
      <c r="G232" s="64" t="str">
        <f>IFERROR(__xludf.DUMMYFUNCTION("""COMPUTED_VALUE"""),"CALENTAMIENTO")</f>
        <v>CALENTAMIENTO</v>
      </c>
      <c r="H232" s="64" t="str">
        <f>IFERROR(__xludf.DUMMYFUNCTION("""COMPUTED_VALUE"""),"ESCOLTANDO")</f>
        <v>ESCOLTANDO</v>
      </c>
      <c r="I232" s="64" t="str">
        <f>IFERROR(__xludf.DUMMYFUNCTION("""COMPUTED_VALUE"""),"FALTA DE COMBUSTIBLE")</f>
        <v>FALTA DE COMBUSTIBLE</v>
      </c>
      <c r="J232" s="64" t="str">
        <f>IFERROR(__xludf.DUMMYFUNCTION("""COMPUTED_VALUE"""),"DESPERFECTOS MECÁNICOS")</f>
        <v>DESPERFECTOS MECÁNICOS</v>
      </c>
      <c r="K232" s="64" t="str">
        <f>IFERROR(__xludf.DUMMYFUNCTION("""COMPUTED_VALUE"""),"LLAMADA DE ATENCIÓN")</f>
        <v>LLAMADA DE ATENCIÓN</v>
      </c>
      <c r="L232" s="64" t="str">
        <f>IFERROR(__xludf.DUMMYFUNCTION("""COMPUTED_VALUE"""),"OPERATIVOS")</f>
        <v>OPERATIVOS</v>
      </c>
      <c r="M232" s="64" t="str">
        <f>IFERROR(__xludf.DUMMYFUNCTION("""COMPUTED_VALUE"""),"SANCIÓN")</f>
        <v>SANCIÓN</v>
      </c>
      <c r="N232" s="64" t="str">
        <f>IFERROR(__xludf.DUMMYFUNCTION("""COMPUTED_VALUE"""),"SISTEMA ELECTRICO")</f>
        <v>SISTEMA ELECTRICO</v>
      </c>
      <c r="O232" s="64" t="str">
        <f>IFERROR(__xludf.DUMMYFUNCTION("""COMPUTED_VALUE"""),"ASISTENCIA AL USUARIO")</f>
        <v>ASISTENCIA AL USUARIO</v>
      </c>
      <c r="P232" s="64" t="str">
        <f>IFERROR(__xludf.DUMMYFUNCTION("""COMPUTED_VALUE"""),"DOBLE REMOLQUE")</f>
        <v>DOBLE REMOLQUE</v>
      </c>
      <c r="Q232" s="64" t="str">
        <f>IFERROR(__xludf.DUMMYFUNCTION("""COMPUTED_VALUE"""),"SINAPRESE")</f>
        <v>SINAPRESE</v>
      </c>
      <c r="R232" s="64" t="str">
        <f>IFERROR(__xludf.DUMMYFUNCTION("""COMPUTED_VALUE"""),"APOYO ATLETISMO")</f>
        <v>APOYO ATLETISMO</v>
      </c>
      <c r="S232" s="64" t="str">
        <f>IFERROR(__xludf.DUMMYFUNCTION("""COMPUTED_VALUE"""),"APOYO A CICLISMO")</f>
        <v>APOYO A CICLISMO</v>
      </c>
      <c r="T232" s="64" t="str">
        <f>IFERROR(__xludf.DUMMYFUNCTION("""COMPUTED_VALUE"""),"DESCARGA DE BATERÍA")</f>
        <v>DESCARGA DE BATERÍA</v>
      </c>
      <c r="U232" s="64" t="str">
        <f>IFERROR(__xludf.DUMMYFUNCTION("""COMPUTED_VALUE"""),"PROBLEMAS DE SALUD")</f>
        <v>PROBLEMAS DE SALUD</v>
      </c>
      <c r="V232" s="64" t="str">
        <f>IFERROR(__xludf.DUMMYFUNCTION("""COMPUTED_VALUE"""),"OLVIDO LA LLAVE")</f>
        <v>OLVIDO LA LLAVE</v>
      </c>
      <c r="W232" s="64" t="str">
        <f>IFERROR(__xludf.DUMMYFUNCTION("""COMPUTED_VALUE"""),"CARGA SOBREDIMENSIONADA")</f>
        <v>CARGA SOBREDIMENSIONADA</v>
      </c>
      <c r="X232" s="64" t="str">
        <f>IFERROR(__xludf.DUMMYFUNCTION("""COMPUTED_VALUE"""),"VEHÍCULO ABANDONADO")</f>
        <v>VEHÍCULO ABANDONADO</v>
      </c>
      <c r="Y232" s="64" t="str">
        <f>IFERROR(__xludf.DUMMYFUNCTION("""COMPUTED_VALUE"""),"DESPRENDIMIENTO")</f>
        <v>DESPRENDIMIENTO</v>
      </c>
      <c r="Z232" s="64" t="str">
        <f>IFERROR(__xludf.DUMMYFUNCTION("""COMPUTED_VALUE"""),"CAÍDA DE POSTE")</f>
        <v>CAÍDA DE POSTE</v>
      </c>
      <c r="AA232" s="64" t="str">
        <f>IFERROR(__xludf.DUMMYFUNCTION("""COMPUTED_VALUE"""),"CAÍDA DE RAMA")</f>
        <v>CAÍDA DE RAMA</v>
      </c>
      <c r="AB232" s="64" t="str">
        <f>IFERROR(__xludf.DUMMYFUNCTION("""COMPUTED_VALUE"""),"OPERATIVO DGT")</f>
        <v>OPERATIVO DGT</v>
      </c>
      <c r="AC232" s="64" t="str">
        <f>IFERROR(__xludf.DUMMYFUNCTION("""COMPUTED_VALUE"""),"OPERATIVO PMT")</f>
        <v>OPERATIVO PMT</v>
      </c>
      <c r="AD232" s="64" t="str">
        <f>IFERROR(__xludf.DUMMYFUNCTION("""COMPUTED_VALUE"""),"APOYO A DIGEF")</f>
        <v>APOYO A DIGEF</v>
      </c>
      <c r="AE232" s="64" t="str">
        <f>IFERROR(__xludf.DUMMYFUNCTION("""COMPUTED_VALUE"""),"OPERATIVO PNC TRANSITO")</f>
        <v>OPERATIVO PNC TRANSITO</v>
      </c>
      <c r="AF232" s="64" t="str">
        <f>IFERROR(__xludf.DUMMYFUNCTION("""COMPUTED_VALUE"""),"SOBRECARGA ")</f>
        <v>SOBRECARGA </v>
      </c>
      <c r="AG232" s="64" t="str">
        <f>IFERROR(__xludf.DUMMYFUNCTION("""COMPUTED_VALUE"""),"OPERATIVO EN CONJUNTO")</f>
        <v>OPERATIVO EN CONJUNTO</v>
      </c>
      <c r="AH232" s="64" t="str">
        <f>IFERROR(__xludf.DUMMYFUNCTION("""COMPUTED_VALUE"""),"PUESTO DE ATENCION AL USUARIO")</f>
        <v>PUESTO DE ATENCION AL USUARIO</v>
      </c>
      <c r="AI232" s="64" t="str">
        <f>IFERROR(__xludf.DUMMYFUNCTION("""COMPUTED_VALUE"""),"INCENDIO EN RUTA")</f>
        <v>INCENDIO EN RUTA</v>
      </c>
      <c r="AJ232" s="64" t="str">
        <f>IFERROR(__xludf.DUMMYFUNCTION("""COMPUTED_VALUE"""),"APOYO ANTORCHA ")</f>
        <v>APOYO ANTORCHA </v>
      </c>
    </row>
    <row r="233">
      <c r="B233" s="64"/>
      <c r="C233" s="64" t="str">
        <f>IFERROR(__xludf.DUMMYFUNCTION(" TRANSPOSE( unique ( QUERY(DATOPRO,""select Col2 where Col1 = '""&amp;B233&amp;""'"")))"),"")</f>
        <v/>
      </c>
    </row>
    <row r="234">
      <c r="B234" s="64" t="s">
        <v>38</v>
      </c>
      <c r="C234" s="64" t="str">
        <f>IFERROR(__xludf.DUMMYFUNCTION(" TRANSPOSE( unique ( QUERY(DATOPRO,""select Col2 where Col1 = '""&amp;B234&amp;""'"")))"),"ATAQUE ARMADO")</f>
        <v>ATAQUE ARMADO</v>
      </c>
      <c r="D234" s="64" t="str">
        <f>IFERROR(__xludf.DUMMYFUNCTION("""COMPUTED_VALUE"""),"DESBALANCE DE CARGA")</f>
        <v>DESBALANCE DE CARGA</v>
      </c>
      <c r="E234" s="64" t="str">
        <f>IFERROR(__xludf.DUMMYFUNCTION("""COMPUTED_VALUE"""),"PERSONA FALLECIDA")</f>
        <v>PERSONA FALLECIDA</v>
      </c>
      <c r="F234" s="64" t="str">
        <f>IFERROR(__xludf.DUMMYFUNCTION("""COMPUTED_VALUE"""),"DESPRENDIMIENTO DE NEUMATICO")</f>
        <v>DESPRENDIMIENTO DE NEUMATICO</v>
      </c>
      <c r="G234" s="64" t="str">
        <f>IFERROR(__xludf.DUMMYFUNCTION("""COMPUTED_VALUE"""),"SALIDA DE PISTA")</f>
        <v>SALIDA DE PISTA</v>
      </c>
      <c r="H234" s="64" t="str">
        <f>IFERROR(__xludf.DUMMYFUNCTION("""COMPUTED_VALUE"""),"DESPRENDIMIENTO DE CONTENEDOR")</f>
        <v>DESPRENDIMIENTO DE CONTENEDOR</v>
      </c>
      <c r="I234" s="64" t="str">
        <f>IFERROR(__xludf.DUMMYFUNCTION("""COMPUTED_VALUE"""),"CAÍDA DE CARGA")</f>
        <v>CAÍDA DE CARGA</v>
      </c>
      <c r="J234" s="64" t="str">
        <f>IFERROR(__xludf.DUMMYFUNCTION("""COMPUTED_VALUE"""),"CHOQUE")</f>
        <v>CHOQUE</v>
      </c>
      <c r="K234" s="64" t="str">
        <f>IFERROR(__xludf.DUMMYFUNCTION("""COMPUTED_VALUE"""),"COLISIÓN")</f>
        <v>COLISIÓN</v>
      </c>
      <c r="L234" s="64" t="str">
        <f>IFERROR(__xludf.DUMMYFUNCTION("""COMPUTED_VALUE"""),"COLISIÓN MÚLTIPLE")</f>
        <v>COLISIÓN MÚLTIPLE</v>
      </c>
      <c r="M234" s="64" t="str">
        <f>IFERROR(__xludf.DUMMYFUNCTION("""COMPUTED_VALUE"""),"DERRAPE")</f>
        <v>DERRAPE</v>
      </c>
      <c r="N234" s="64" t="str">
        <f>IFERROR(__xludf.DUMMYFUNCTION("""COMPUTED_VALUE"""),"VEHÍCULO INCENDIADO")</f>
        <v>VEHÍCULO INCENDIADO</v>
      </c>
      <c r="O234" s="64" t="str">
        <f>IFERROR(__xludf.DUMMYFUNCTION("""COMPUTED_VALUE"""),"VUELCO")</f>
        <v>VUELCO</v>
      </c>
      <c r="P234" s="64" t="str">
        <f>IFERROR(__xludf.DUMMYFUNCTION("""COMPUTED_VALUE"""),"DESPRENDIMIENTO")</f>
        <v>DESPRENDIMIENTO</v>
      </c>
      <c r="Q234" s="64" t="str">
        <f>IFERROR(__xludf.DUMMYFUNCTION("""COMPUTED_VALUE"""),"CAÍDA DE ÁRBOL")</f>
        <v>CAÍDA DE ÁRBOL</v>
      </c>
      <c r="R234" s="64" t="str">
        <f>IFERROR(__xludf.DUMMYFUNCTION("""COMPUTED_VALUE"""),"DESPRENDIMIENTO DE EJE")</f>
        <v>DESPRENDIMIENTO DE EJE</v>
      </c>
      <c r="S234" s="64" t="str">
        <f>IFERROR(__xludf.DUMMYFUNCTION("""COMPUTED_VALUE"""),"PERSONA ATROPELLADA")</f>
        <v>PERSONA ATROPELLADA</v>
      </c>
    </row>
    <row r="235">
      <c r="B235" s="64" t="s">
        <v>54</v>
      </c>
      <c r="C235" s="64" t="str">
        <f>IFERROR(__xludf.DUMMYFUNCTION(" TRANSPOSE( unique ( QUERY(DATOPRO,""select Col2 where Col1 = '""&amp;B235&amp;""'"")))"),"PINCHAZO")</f>
        <v>PINCHAZO</v>
      </c>
      <c r="D235" s="64" t="str">
        <f>IFERROR(__xludf.DUMMYFUNCTION("""COMPUTED_VALUE"""),"TRABAJOS DE CARRETERA")</f>
        <v>TRABAJOS DE CARRETERA</v>
      </c>
      <c r="E235" s="64" t="str">
        <f>IFERROR(__xludf.DUMMYFUNCTION("""COMPUTED_VALUE"""),"CONSIGNACIÓN")</f>
        <v>CONSIGNACIÓN</v>
      </c>
      <c r="F235" s="64" t="str">
        <f>IFERROR(__xludf.DUMMYFUNCTION("""COMPUTED_VALUE"""),"DERRAME")</f>
        <v>DERRAME</v>
      </c>
      <c r="G235" s="64" t="str">
        <f>IFERROR(__xludf.DUMMYFUNCTION("""COMPUTED_VALUE"""),"CALENTAMIENTO")</f>
        <v>CALENTAMIENTO</v>
      </c>
      <c r="H235" s="64" t="str">
        <f>IFERROR(__xludf.DUMMYFUNCTION("""COMPUTED_VALUE"""),"ESCOLTANDO")</f>
        <v>ESCOLTANDO</v>
      </c>
      <c r="I235" s="64" t="str">
        <f>IFERROR(__xludf.DUMMYFUNCTION("""COMPUTED_VALUE"""),"FALTA DE COMBUSTIBLE")</f>
        <v>FALTA DE COMBUSTIBLE</v>
      </c>
      <c r="J235" s="64" t="str">
        <f>IFERROR(__xludf.DUMMYFUNCTION("""COMPUTED_VALUE"""),"DESPERFECTOS MECÁNICOS")</f>
        <v>DESPERFECTOS MECÁNICOS</v>
      </c>
      <c r="K235" s="64" t="str">
        <f>IFERROR(__xludf.DUMMYFUNCTION("""COMPUTED_VALUE"""),"LLAMADA DE ATENCIÓN")</f>
        <v>LLAMADA DE ATENCIÓN</v>
      </c>
      <c r="L235" s="64" t="str">
        <f>IFERROR(__xludf.DUMMYFUNCTION("""COMPUTED_VALUE"""),"OPERATIVOS")</f>
        <v>OPERATIVOS</v>
      </c>
      <c r="M235" s="64" t="str">
        <f>IFERROR(__xludf.DUMMYFUNCTION("""COMPUTED_VALUE"""),"SANCIÓN")</f>
        <v>SANCIÓN</v>
      </c>
      <c r="N235" s="64" t="str">
        <f>IFERROR(__xludf.DUMMYFUNCTION("""COMPUTED_VALUE"""),"SISTEMA ELECTRICO")</f>
        <v>SISTEMA ELECTRICO</v>
      </c>
      <c r="O235" s="64" t="str">
        <f>IFERROR(__xludf.DUMMYFUNCTION("""COMPUTED_VALUE"""),"ASISTENCIA AL USUARIO")</f>
        <v>ASISTENCIA AL USUARIO</v>
      </c>
      <c r="P235" s="64" t="str">
        <f>IFERROR(__xludf.DUMMYFUNCTION("""COMPUTED_VALUE"""),"DOBLE REMOLQUE")</f>
        <v>DOBLE REMOLQUE</v>
      </c>
      <c r="Q235" s="64" t="str">
        <f>IFERROR(__xludf.DUMMYFUNCTION("""COMPUTED_VALUE"""),"SINAPRESE")</f>
        <v>SINAPRESE</v>
      </c>
      <c r="R235" s="64" t="str">
        <f>IFERROR(__xludf.DUMMYFUNCTION("""COMPUTED_VALUE"""),"APOYO ATLETISMO")</f>
        <v>APOYO ATLETISMO</v>
      </c>
      <c r="S235" s="64" t="str">
        <f>IFERROR(__xludf.DUMMYFUNCTION("""COMPUTED_VALUE"""),"APOYO A CICLISMO")</f>
        <v>APOYO A CICLISMO</v>
      </c>
      <c r="T235" s="64" t="str">
        <f>IFERROR(__xludf.DUMMYFUNCTION("""COMPUTED_VALUE"""),"DESCARGA DE BATERÍA")</f>
        <v>DESCARGA DE BATERÍA</v>
      </c>
      <c r="U235" s="64" t="str">
        <f>IFERROR(__xludf.DUMMYFUNCTION("""COMPUTED_VALUE"""),"PROBLEMAS DE SALUD")</f>
        <v>PROBLEMAS DE SALUD</v>
      </c>
      <c r="V235" s="64" t="str">
        <f>IFERROR(__xludf.DUMMYFUNCTION("""COMPUTED_VALUE"""),"OLVIDO LA LLAVE")</f>
        <v>OLVIDO LA LLAVE</v>
      </c>
      <c r="W235" s="64" t="str">
        <f>IFERROR(__xludf.DUMMYFUNCTION("""COMPUTED_VALUE"""),"CARGA SOBREDIMENSIONADA")</f>
        <v>CARGA SOBREDIMENSIONADA</v>
      </c>
      <c r="X235" s="64" t="str">
        <f>IFERROR(__xludf.DUMMYFUNCTION("""COMPUTED_VALUE"""),"VEHÍCULO ABANDONADO")</f>
        <v>VEHÍCULO ABANDONADO</v>
      </c>
      <c r="Y235" s="64" t="str">
        <f>IFERROR(__xludf.DUMMYFUNCTION("""COMPUTED_VALUE"""),"DESPRENDIMIENTO")</f>
        <v>DESPRENDIMIENTO</v>
      </c>
      <c r="Z235" s="64" t="str">
        <f>IFERROR(__xludf.DUMMYFUNCTION("""COMPUTED_VALUE"""),"CAÍDA DE POSTE")</f>
        <v>CAÍDA DE POSTE</v>
      </c>
      <c r="AA235" s="64" t="str">
        <f>IFERROR(__xludf.DUMMYFUNCTION("""COMPUTED_VALUE"""),"CAÍDA DE RAMA")</f>
        <v>CAÍDA DE RAMA</v>
      </c>
      <c r="AB235" s="64" t="str">
        <f>IFERROR(__xludf.DUMMYFUNCTION("""COMPUTED_VALUE"""),"OPERATIVO DGT")</f>
        <v>OPERATIVO DGT</v>
      </c>
      <c r="AC235" s="64" t="str">
        <f>IFERROR(__xludf.DUMMYFUNCTION("""COMPUTED_VALUE"""),"OPERATIVO PMT")</f>
        <v>OPERATIVO PMT</v>
      </c>
      <c r="AD235" s="64" t="str">
        <f>IFERROR(__xludf.DUMMYFUNCTION("""COMPUTED_VALUE"""),"APOYO A DIGEF")</f>
        <v>APOYO A DIGEF</v>
      </c>
      <c r="AE235" s="64" t="str">
        <f>IFERROR(__xludf.DUMMYFUNCTION("""COMPUTED_VALUE"""),"OPERATIVO PNC TRANSITO")</f>
        <v>OPERATIVO PNC TRANSITO</v>
      </c>
      <c r="AF235" s="64" t="str">
        <f>IFERROR(__xludf.DUMMYFUNCTION("""COMPUTED_VALUE"""),"SOBRECARGA ")</f>
        <v>SOBRECARGA </v>
      </c>
      <c r="AG235" s="64" t="str">
        <f>IFERROR(__xludf.DUMMYFUNCTION("""COMPUTED_VALUE"""),"OPERATIVO EN CONJUNTO")</f>
        <v>OPERATIVO EN CONJUNTO</v>
      </c>
      <c r="AH235" s="64" t="str">
        <f>IFERROR(__xludf.DUMMYFUNCTION("""COMPUTED_VALUE"""),"PUESTO DE ATENCION AL USUARIO")</f>
        <v>PUESTO DE ATENCION AL USUARIO</v>
      </c>
      <c r="AI235" s="64" t="str">
        <f>IFERROR(__xludf.DUMMYFUNCTION("""COMPUTED_VALUE"""),"INCENDIO EN RUTA")</f>
        <v>INCENDIO EN RUTA</v>
      </c>
      <c r="AJ235" s="64" t="str">
        <f>IFERROR(__xludf.DUMMYFUNCTION("""COMPUTED_VALUE"""),"APOYO ANTORCHA ")</f>
        <v>APOYO ANTORCHA </v>
      </c>
    </row>
    <row r="236">
      <c r="B236" s="64" t="s">
        <v>54</v>
      </c>
      <c r="C236" s="64" t="str">
        <f>IFERROR(__xludf.DUMMYFUNCTION(" TRANSPOSE( unique ( QUERY(DATOPRO,""select Col2 where Col1 = '""&amp;B236&amp;""'"")))"),"PINCHAZO")</f>
        <v>PINCHAZO</v>
      </c>
      <c r="D236" s="64" t="str">
        <f>IFERROR(__xludf.DUMMYFUNCTION("""COMPUTED_VALUE"""),"TRABAJOS DE CARRETERA")</f>
        <v>TRABAJOS DE CARRETERA</v>
      </c>
      <c r="E236" s="64" t="str">
        <f>IFERROR(__xludf.DUMMYFUNCTION("""COMPUTED_VALUE"""),"CONSIGNACIÓN")</f>
        <v>CONSIGNACIÓN</v>
      </c>
      <c r="F236" s="64" t="str">
        <f>IFERROR(__xludf.DUMMYFUNCTION("""COMPUTED_VALUE"""),"DERRAME")</f>
        <v>DERRAME</v>
      </c>
      <c r="G236" s="64" t="str">
        <f>IFERROR(__xludf.DUMMYFUNCTION("""COMPUTED_VALUE"""),"CALENTAMIENTO")</f>
        <v>CALENTAMIENTO</v>
      </c>
      <c r="H236" s="64" t="str">
        <f>IFERROR(__xludf.DUMMYFUNCTION("""COMPUTED_VALUE"""),"ESCOLTANDO")</f>
        <v>ESCOLTANDO</v>
      </c>
      <c r="I236" s="64" t="str">
        <f>IFERROR(__xludf.DUMMYFUNCTION("""COMPUTED_VALUE"""),"FALTA DE COMBUSTIBLE")</f>
        <v>FALTA DE COMBUSTIBLE</v>
      </c>
      <c r="J236" s="64" t="str">
        <f>IFERROR(__xludf.DUMMYFUNCTION("""COMPUTED_VALUE"""),"DESPERFECTOS MECÁNICOS")</f>
        <v>DESPERFECTOS MECÁNICOS</v>
      </c>
      <c r="K236" s="64" t="str">
        <f>IFERROR(__xludf.DUMMYFUNCTION("""COMPUTED_VALUE"""),"LLAMADA DE ATENCIÓN")</f>
        <v>LLAMADA DE ATENCIÓN</v>
      </c>
      <c r="L236" s="64" t="str">
        <f>IFERROR(__xludf.DUMMYFUNCTION("""COMPUTED_VALUE"""),"OPERATIVOS")</f>
        <v>OPERATIVOS</v>
      </c>
      <c r="M236" s="64" t="str">
        <f>IFERROR(__xludf.DUMMYFUNCTION("""COMPUTED_VALUE"""),"SANCIÓN")</f>
        <v>SANCIÓN</v>
      </c>
      <c r="N236" s="64" t="str">
        <f>IFERROR(__xludf.DUMMYFUNCTION("""COMPUTED_VALUE"""),"SISTEMA ELECTRICO")</f>
        <v>SISTEMA ELECTRICO</v>
      </c>
      <c r="O236" s="64" t="str">
        <f>IFERROR(__xludf.DUMMYFUNCTION("""COMPUTED_VALUE"""),"ASISTENCIA AL USUARIO")</f>
        <v>ASISTENCIA AL USUARIO</v>
      </c>
      <c r="P236" s="64" t="str">
        <f>IFERROR(__xludf.DUMMYFUNCTION("""COMPUTED_VALUE"""),"DOBLE REMOLQUE")</f>
        <v>DOBLE REMOLQUE</v>
      </c>
      <c r="Q236" s="64" t="str">
        <f>IFERROR(__xludf.DUMMYFUNCTION("""COMPUTED_VALUE"""),"SINAPRESE")</f>
        <v>SINAPRESE</v>
      </c>
      <c r="R236" s="64" t="str">
        <f>IFERROR(__xludf.DUMMYFUNCTION("""COMPUTED_VALUE"""),"APOYO ATLETISMO")</f>
        <v>APOYO ATLETISMO</v>
      </c>
      <c r="S236" s="64" t="str">
        <f>IFERROR(__xludf.DUMMYFUNCTION("""COMPUTED_VALUE"""),"APOYO A CICLISMO")</f>
        <v>APOYO A CICLISMO</v>
      </c>
      <c r="T236" s="64" t="str">
        <f>IFERROR(__xludf.DUMMYFUNCTION("""COMPUTED_VALUE"""),"DESCARGA DE BATERÍA")</f>
        <v>DESCARGA DE BATERÍA</v>
      </c>
      <c r="U236" s="64" t="str">
        <f>IFERROR(__xludf.DUMMYFUNCTION("""COMPUTED_VALUE"""),"PROBLEMAS DE SALUD")</f>
        <v>PROBLEMAS DE SALUD</v>
      </c>
      <c r="V236" s="64" t="str">
        <f>IFERROR(__xludf.DUMMYFUNCTION("""COMPUTED_VALUE"""),"OLVIDO LA LLAVE")</f>
        <v>OLVIDO LA LLAVE</v>
      </c>
      <c r="W236" s="64" t="str">
        <f>IFERROR(__xludf.DUMMYFUNCTION("""COMPUTED_VALUE"""),"CARGA SOBREDIMENSIONADA")</f>
        <v>CARGA SOBREDIMENSIONADA</v>
      </c>
      <c r="X236" s="64" t="str">
        <f>IFERROR(__xludf.DUMMYFUNCTION("""COMPUTED_VALUE"""),"VEHÍCULO ABANDONADO")</f>
        <v>VEHÍCULO ABANDONADO</v>
      </c>
      <c r="Y236" s="64" t="str">
        <f>IFERROR(__xludf.DUMMYFUNCTION("""COMPUTED_VALUE"""),"DESPRENDIMIENTO")</f>
        <v>DESPRENDIMIENTO</v>
      </c>
      <c r="Z236" s="64" t="str">
        <f>IFERROR(__xludf.DUMMYFUNCTION("""COMPUTED_VALUE"""),"CAÍDA DE POSTE")</f>
        <v>CAÍDA DE POSTE</v>
      </c>
      <c r="AA236" s="64" t="str">
        <f>IFERROR(__xludf.DUMMYFUNCTION("""COMPUTED_VALUE"""),"CAÍDA DE RAMA")</f>
        <v>CAÍDA DE RAMA</v>
      </c>
      <c r="AB236" s="64" t="str">
        <f>IFERROR(__xludf.DUMMYFUNCTION("""COMPUTED_VALUE"""),"OPERATIVO DGT")</f>
        <v>OPERATIVO DGT</v>
      </c>
      <c r="AC236" s="64" t="str">
        <f>IFERROR(__xludf.DUMMYFUNCTION("""COMPUTED_VALUE"""),"OPERATIVO PMT")</f>
        <v>OPERATIVO PMT</v>
      </c>
      <c r="AD236" s="64" t="str">
        <f>IFERROR(__xludf.DUMMYFUNCTION("""COMPUTED_VALUE"""),"APOYO A DIGEF")</f>
        <v>APOYO A DIGEF</v>
      </c>
      <c r="AE236" s="64" t="str">
        <f>IFERROR(__xludf.DUMMYFUNCTION("""COMPUTED_VALUE"""),"OPERATIVO PNC TRANSITO")</f>
        <v>OPERATIVO PNC TRANSITO</v>
      </c>
      <c r="AF236" s="64" t="str">
        <f>IFERROR(__xludf.DUMMYFUNCTION("""COMPUTED_VALUE"""),"SOBRECARGA ")</f>
        <v>SOBRECARGA </v>
      </c>
      <c r="AG236" s="64" t="str">
        <f>IFERROR(__xludf.DUMMYFUNCTION("""COMPUTED_VALUE"""),"OPERATIVO EN CONJUNTO")</f>
        <v>OPERATIVO EN CONJUNTO</v>
      </c>
      <c r="AH236" s="64" t="str">
        <f>IFERROR(__xludf.DUMMYFUNCTION("""COMPUTED_VALUE"""),"PUESTO DE ATENCION AL USUARIO")</f>
        <v>PUESTO DE ATENCION AL USUARIO</v>
      </c>
      <c r="AI236" s="64" t="str">
        <f>IFERROR(__xludf.DUMMYFUNCTION("""COMPUTED_VALUE"""),"INCENDIO EN RUTA")</f>
        <v>INCENDIO EN RUTA</v>
      </c>
      <c r="AJ236" s="64" t="str">
        <f>IFERROR(__xludf.DUMMYFUNCTION("""COMPUTED_VALUE"""),"APOYO ANTORCHA ")</f>
        <v>APOYO ANTORCHA </v>
      </c>
    </row>
    <row r="237">
      <c r="B237" s="64" t="s">
        <v>38</v>
      </c>
      <c r="C237" s="64" t="str">
        <f>IFERROR(__xludf.DUMMYFUNCTION(" TRANSPOSE( unique ( QUERY(DATOPRO,""select Col2 where Col1 = '""&amp;B237&amp;""'"")))"),"ATAQUE ARMADO")</f>
        <v>ATAQUE ARMADO</v>
      </c>
      <c r="D237" s="64" t="str">
        <f>IFERROR(__xludf.DUMMYFUNCTION("""COMPUTED_VALUE"""),"DESBALANCE DE CARGA")</f>
        <v>DESBALANCE DE CARGA</v>
      </c>
      <c r="E237" s="64" t="str">
        <f>IFERROR(__xludf.DUMMYFUNCTION("""COMPUTED_VALUE"""),"PERSONA FALLECIDA")</f>
        <v>PERSONA FALLECIDA</v>
      </c>
      <c r="F237" s="64" t="str">
        <f>IFERROR(__xludf.DUMMYFUNCTION("""COMPUTED_VALUE"""),"DESPRENDIMIENTO DE NEUMATICO")</f>
        <v>DESPRENDIMIENTO DE NEUMATICO</v>
      </c>
      <c r="G237" s="64" t="str">
        <f>IFERROR(__xludf.DUMMYFUNCTION("""COMPUTED_VALUE"""),"SALIDA DE PISTA")</f>
        <v>SALIDA DE PISTA</v>
      </c>
      <c r="H237" s="64" t="str">
        <f>IFERROR(__xludf.DUMMYFUNCTION("""COMPUTED_VALUE"""),"DESPRENDIMIENTO DE CONTENEDOR")</f>
        <v>DESPRENDIMIENTO DE CONTENEDOR</v>
      </c>
      <c r="I237" s="64" t="str">
        <f>IFERROR(__xludf.DUMMYFUNCTION("""COMPUTED_VALUE"""),"CAÍDA DE CARGA")</f>
        <v>CAÍDA DE CARGA</v>
      </c>
      <c r="J237" s="64" t="str">
        <f>IFERROR(__xludf.DUMMYFUNCTION("""COMPUTED_VALUE"""),"CHOQUE")</f>
        <v>CHOQUE</v>
      </c>
      <c r="K237" s="64" t="str">
        <f>IFERROR(__xludf.DUMMYFUNCTION("""COMPUTED_VALUE"""),"COLISIÓN")</f>
        <v>COLISIÓN</v>
      </c>
      <c r="L237" s="64" t="str">
        <f>IFERROR(__xludf.DUMMYFUNCTION("""COMPUTED_VALUE"""),"COLISIÓN MÚLTIPLE")</f>
        <v>COLISIÓN MÚLTIPLE</v>
      </c>
      <c r="M237" s="64" t="str">
        <f>IFERROR(__xludf.DUMMYFUNCTION("""COMPUTED_VALUE"""),"DERRAPE")</f>
        <v>DERRAPE</v>
      </c>
      <c r="N237" s="64" t="str">
        <f>IFERROR(__xludf.DUMMYFUNCTION("""COMPUTED_VALUE"""),"VEHÍCULO INCENDIADO")</f>
        <v>VEHÍCULO INCENDIADO</v>
      </c>
      <c r="O237" s="64" t="str">
        <f>IFERROR(__xludf.DUMMYFUNCTION("""COMPUTED_VALUE"""),"VUELCO")</f>
        <v>VUELCO</v>
      </c>
      <c r="P237" s="64" t="str">
        <f>IFERROR(__xludf.DUMMYFUNCTION("""COMPUTED_VALUE"""),"DESPRENDIMIENTO")</f>
        <v>DESPRENDIMIENTO</v>
      </c>
      <c r="Q237" s="64" t="str">
        <f>IFERROR(__xludf.DUMMYFUNCTION("""COMPUTED_VALUE"""),"CAÍDA DE ÁRBOL")</f>
        <v>CAÍDA DE ÁRBOL</v>
      </c>
      <c r="R237" s="64" t="str">
        <f>IFERROR(__xludf.DUMMYFUNCTION("""COMPUTED_VALUE"""),"DESPRENDIMIENTO DE EJE")</f>
        <v>DESPRENDIMIENTO DE EJE</v>
      </c>
      <c r="S237" s="64" t="str">
        <f>IFERROR(__xludf.DUMMYFUNCTION("""COMPUTED_VALUE"""),"PERSONA ATROPELLADA")</f>
        <v>PERSONA ATROPELLADA</v>
      </c>
    </row>
    <row r="238">
      <c r="B238" s="64" t="s">
        <v>54</v>
      </c>
      <c r="C238" s="64" t="str">
        <f>IFERROR(__xludf.DUMMYFUNCTION(" TRANSPOSE( unique ( QUERY(DATOPRO,""select Col2 where Col1 = '""&amp;B238&amp;""'"")))"),"PINCHAZO")</f>
        <v>PINCHAZO</v>
      </c>
      <c r="D238" s="64" t="str">
        <f>IFERROR(__xludf.DUMMYFUNCTION("""COMPUTED_VALUE"""),"TRABAJOS DE CARRETERA")</f>
        <v>TRABAJOS DE CARRETERA</v>
      </c>
      <c r="E238" s="64" t="str">
        <f>IFERROR(__xludf.DUMMYFUNCTION("""COMPUTED_VALUE"""),"CONSIGNACIÓN")</f>
        <v>CONSIGNACIÓN</v>
      </c>
      <c r="F238" s="64" t="str">
        <f>IFERROR(__xludf.DUMMYFUNCTION("""COMPUTED_VALUE"""),"DERRAME")</f>
        <v>DERRAME</v>
      </c>
      <c r="G238" s="64" t="str">
        <f>IFERROR(__xludf.DUMMYFUNCTION("""COMPUTED_VALUE"""),"CALENTAMIENTO")</f>
        <v>CALENTAMIENTO</v>
      </c>
      <c r="H238" s="64" t="str">
        <f>IFERROR(__xludf.DUMMYFUNCTION("""COMPUTED_VALUE"""),"ESCOLTANDO")</f>
        <v>ESCOLTANDO</v>
      </c>
      <c r="I238" s="64" t="str">
        <f>IFERROR(__xludf.DUMMYFUNCTION("""COMPUTED_VALUE"""),"FALTA DE COMBUSTIBLE")</f>
        <v>FALTA DE COMBUSTIBLE</v>
      </c>
      <c r="J238" s="64" t="str">
        <f>IFERROR(__xludf.DUMMYFUNCTION("""COMPUTED_VALUE"""),"DESPERFECTOS MECÁNICOS")</f>
        <v>DESPERFECTOS MECÁNICOS</v>
      </c>
      <c r="K238" s="64" t="str">
        <f>IFERROR(__xludf.DUMMYFUNCTION("""COMPUTED_VALUE"""),"LLAMADA DE ATENCIÓN")</f>
        <v>LLAMADA DE ATENCIÓN</v>
      </c>
      <c r="L238" s="64" t="str">
        <f>IFERROR(__xludf.DUMMYFUNCTION("""COMPUTED_VALUE"""),"OPERATIVOS")</f>
        <v>OPERATIVOS</v>
      </c>
      <c r="M238" s="64" t="str">
        <f>IFERROR(__xludf.DUMMYFUNCTION("""COMPUTED_VALUE"""),"SANCIÓN")</f>
        <v>SANCIÓN</v>
      </c>
      <c r="N238" s="64" t="str">
        <f>IFERROR(__xludf.DUMMYFUNCTION("""COMPUTED_VALUE"""),"SISTEMA ELECTRICO")</f>
        <v>SISTEMA ELECTRICO</v>
      </c>
      <c r="O238" s="64" t="str">
        <f>IFERROR(__xludf.DUMMYFUNCTION("""COMPUTED_VALUE"""),"ASISTENCIA AL USUARIO")</f>
        <v>ASISTENCIA AL USUARIO</v>
      </c>
      <c r="P238" s="64" t="str">
        <f>IFERROR(__xludf.DUMMYFUNCTION("""COMPUTED_VALUE"""),"DOBLE REMOLQUE")</f>
        <v>DOBLE REMOLQUE</v>
      </c>
      <c r="Q238" s="64" t="str">
        <f>IFERROR(__xludf.DUMMYFUNCTION("""COMPUTED_VALUE"""),"SINAPRESE")</f>
        <v>SINAPRESE</v>
      </c>
      <c r="R238" s="64" t="str">
        <f>IFERROR(__xludf.DUMMYFUNCTION("""COMPUTED_VALUE"""),"APOYO ATLETISMO")</f>
        <v>APOYO ATLETISMO</v>
      </c>
      <c r="S238" s="64" t="str">
        <f>IFERROR(__xludf.DUMMYFUNCTION("""COMPUTED_VALUE"""),"APOYO A CICLISMO")</f>
        <v>APOYO A CICLISMO</v>
      </c>
      <c r="T238" s="64" t="str">
        <f>IFERROR(__xludf.DUMMYFUNCTION("""COMPUTED_VALUE"""),"DESCARGA DE BATERÍA")</f>
        <v>DESCARGA DE BATERÍA</v>
      </c>
      <c r="U238" s="64" t="str">
        <f>IFERROR(__xludf.DUMMYFUNCTION("""COMPUTED_VALUE"""),"PROBLEMAS DE SALUD")</f>
        <v>PROBLEMAS DE SALUD</v>
      </c>
      <c r="V238" s="64" t="str">
        <f>IFERROR(__xludf.DUMMYFUNCTION("""COMPUTED_VALUE"""),"OLVIDO LA LLAVE")</f>
        <v>OLVIDO LA LLAVE</v>
      </c>
      <c r="W238" s="64" t="str">
        <f>IFERROR(__xludf.DUMMYFUNCTION("""COMPUTED_VALUE"""),"CARGA SOBREDIMENSIONADA")</f>
        <v>CARGA SOBREDIMENSIONADA</v>
      </c>
      <c r="X238" s="64" t="str">
        <f>IFERROR(__xludf.DUMMYFUNCTION("""COMPUTED_VALUE"""),"VEHÍCULO ABANDONADO")</f>
        <v>VEHÍCULO ABANDONADO</v>
      </c>
      <c r="Y238" s="64" t="str">
        <f>IFERROR(__xludf.DUMMYFUNCTION("""COMPUTED_VALUE"""),"DESPRENDIMIENTO")</f>
        <v>DESPRENDIMIENTO</v>
      </c>
      <c r="Z238" s="64" t="str">
        <f>IFERROR(__xludf.DUMMYFUNCTION("""COMPUTED_VALUE"""),"CAÍDA DE POSTE")</f>
        <v>CAÍDA DE POSTE</v>
      </c>
      <c r="AA238" s="64" t="str">
        <f>IFERROR(__xludf.DUMMYFUNCTION("""COMPUTED_VALUE"""),"CAÍDA DE RAMA")</f>
        <v>CAÍDA DE RAMA</v>
      </c>
      <c r="AB238" s="64" t="str">
        <f>IFERROR(__xludf.DUMMYFUNCTION("""COMPUTED_VALUE"""),"OPERATIVO DGT")</f>
        <v>OPERATIVO DGT</v>
      </c>
      <c r="AC238" s="64" t="str">
        <f>IFERROR(__xludf.DUMMYFUNCTION("""COMPUTED_VALUE"""),"OPERATIVO PMT")</f>
        <v>OPERATIVO PMT</v>
      </c>
      <c r="AD238" s="64" t="str">
        <f>IFERROR(__xludf.DUMMYFUNCTION("""COMPUTED_VALUE"""),"APOYO A DIGEF")</f>
        <v>APOYO A DIGEF</v>
      </c>
      <c r="AE238" s="64" t="str">
        <f>IFERROR(__xludf.DUMMYFUNCTION("""COMPUTED_VALUE"""),"OPERATIVO PNC TRANSITO")</f>
        <v>OPERATIVO PNC TRANSITO</v>
      </c>
      <c r="AF238" s="64" t="str">
        <f>IFERROR(__xludf.DUMMYFUNCTION("""COMPUTED_VALUE"""),"SOBRECARGA ")</f>
        <v>SOBRECARGA </v>
      </c>
      <c r="AG238" s="64" t="str">
        <f>IFERROR(__xludf.DUMMYFUNCTION("""COMPUTED_VALUE"""),"OPERATIVO EN CONJUNTO")</f>
        <v>OPERATIVO EN CONJUNTO</v>
      </c>
      <c r="AH238" s="64" t="str">
        <f>IFERROR(__xludf.DUMMYFUNCTION("""COMPUTED_VALUE"""),"PUESTO DE ATENCION AL USUARIO")</f>
        <v>PUESTO DE ATENCION AL USUARIO</v>
      </c>
      <c r="AI238" s="64" t="str">
        <f>IFERROR(__xludf.DUMMYFUNCTION("""COMPUTED_VALUE"""),"INCENDIO EN RUTA")</f>
        <v>INCENDIO EN RUTA</v>
      </c>
      <c r="AJ238" s="64" t="str">
        <f>IFERROR(__xludf.DUMMYFUNCTION("""COMPUTED_VALUE"""),"APOYO ANTORCHA ")</f>
        <v>APOYO ANTORCHA </v>
      </c>
    </row>
    <row r="239">
      <c r="B239" s="64" t="s">
        <v>54</v>
      </c>
      <c r="C239" s="64" t="str">
        <f>IFERROR(__xludf.DUMMYFUNCTION(" TRANSPOSE( unique ( QUERY(DATOPRO,""select Col2 where Col1 = '""&amp;B239&amp;""'"")))"),"PINCHAZO")</f>
        <v>PINCHAZO</v>
      </c>
      <c r="D239" s="64" t="str">
        <f>IFERROR(__xludf.DUMMYFUNCTION("""COMPUTED_VALUE"""),"TRABAJOS DE CARRETERA")</f>
        <v>TRABAJOS DE CARRETERA</v>
      </c>
      <c r="E239" s="64" t="str">
        <f>IFERROR(__xludf.DUMMYFUNCTION("""COMPUTED_VALUE"""),"CONSIGNACIÓN")</f>
        <v>CONSIGNACIÓN</v>
      </c>
      <c r="F239" s="64" t="str">
        <f>IFERROR(__xludf.DUMMYFUNCTION("""COMPUTED_VALUE"""),"DERRAME")</f>
        <v>DERRAME</v>
      </c>
      <c r="G239" s="64" t="str">
        <f>IFERROR(__xludf.DUMMYFUNCTION("""COMPUTED_VALUE"""),"CALENTAMIENTO")</f>
        <v>CALENTAMIENTO</v>
      </c>
      <c r="H239" s="64" t="str">
        <f>IFERROR(__xludf.DUMMYFUNCTION("""COMPUTED_VALUE"""),"ESCOLTANDO")</f>
        <v>ESCOLTANDO</v>
      </c>
      <c r="I239" s="64" t="str">
        <f>IFERROR(__xludf.DUMMYFUNCTION("""COMPUTED_VALUE"""),"FALTA DE COMBUSTIBLE")</f>
        <v>FALTA DE COMBUSTIBLE</v>
      </c>
      <c r="J239" s="64" t="str">
        <f>IFERROR(__xludf.DUMMYFUNCTION("""COMPUTED_VALUE"""),"DESPERFECTOS MECÁNICOS")</f>
        <v>DESPERFECTOS MECÁNICOS</v>
      </c>
      <c r="K239" s="64" t="str">
        <f>IFERROR(__xludf.DUMMYFUNCTION("""COMPUTED_VALUE"""),"LLAMADA DE ATENCIÓN")</f>
        <v>LLAMADA DE ATENCIÓN</v>
      </c>
      <c r="L239" s="64" t="str">
        <f>IFERROR(__xludf.DUMMYFUNCTION("""COMPUTED_VALUE"""),"OPERATIVOS")</f>
        <v>OPERATIVOS</v>
      </c>
      <c r="M239" s="64" t="str">
        <f>IFERROR(__xludf.DUMMYFUNCTION("""COMPUTED_VALUE"""),"SANCIÓN")</f>
        <v>SANCIÓN</v>
      </c>
      <c r="N239" s="64" t="str">
        <f>IFERROR(__xludf.DUMMYFUNCTION("""COMPUTED_VALUE"""),"SISTEMA ELECTRICO")</f>
        <v>SISTEMA ELECTRICO</v>
      </c>
      <c r="O239" s="64" t="str">
        <f>IFERROR(__xludf.DUMMYFUNCTION("""COMPUTED_VALUE"""),"ASISTENCIA AL USUARIO")</f>
        <v>ASISTENCIA AL USUARIO</v>
      </c>
      <c r="P239" s="64" t="str">
        <f>IFERROR(__xludf.DUMMYFUNCTION("""COMPUTED_VALUE"""),"DOBLE REMOLQUE")</f>
        <v>DOBLE REMOLQUE</v>
      </c>
      <c r="Q239" s="64" t="str">
        <f>IFERROR(__xludf.DUMMYFUNCTION("""COMPUTED_VALUE"""),"SINAPRESE")</f>
        <v>SINAPRESE</v>
      </c>
      <c r="R239" s="64" t="str">
        <f>IFERROR(__xludf.DUMMYFUNCTION("""COMPUTED_VALUE"""),"APOYO ATLETISMO")</f>
        <v>APOYO ATLETISMO</v>
      </c>
      <c r="S239" s="64" t="str">
        <f>IFERROR(__xludf.DUMMYFUNCTION("""COMPUTED_VALUE"""),"APOYO A CICLISMO")</f>
        <v>APOYO A CICLISMO</v>
      </c>
      <c r="T239" s="64" t="str">
        <f>IFERROR(__xludf.DUMMYFUNCTION("""COMPUTED_VALUE"""),"DESCARGA DE BATERÍA")</f>
        <v>DESCARGA DE BATERÍA</v>
      </c>
      <c r="U239" s="64" t="str">
        <f>IFERROR(__xludf.DUMMYFUNCTION("""COMPUTED_VALUE"""),"PROBLEMAS DE SALUD")</f>
        <v>PROBLEMAS DE SALUD</v>
      </c>
      <c r="V239" s="64" t="str">
        <f>IFERROR(__xludf.DUMMYFUNCTION("""COMPUTED_VALUE"""),"OLVIDO LA LLAVE")</f>
        <v>OLVIDO LA LLAVE</v>
      </c>
      <c r="W239" s="64" t="str">
        <f>IFERROR(__xludf.DUMMYFUNCTION("""COMPUTED_VALUE"""),"CARGA SOBREDIMENSIONADA")</f>
        <v>CARGA SOBREDIMENSIONADA</v>
      </c>
      <c r="X239" s="64" t="str">
        <f>IFERROR(__xludf.DUMMYFUNCTION("""COMPUTED_VALUE"""),"VEHÍCULO ABANDONADO")</f>
        <v>VEHÍCULO ABANDONADO</v>
      </c>
      <c r="Y239" s="64" t="str">
        <f>IFERROR(__xludf.DUMMYFUNCTION("""COMPUTED_VALUE"""),"DESPRENDIMIENTO")</f>
        <v>DESPRENDIMIENTO</v>
      </c>
      <c r="Z239" s="64" t="str">
        <f>IFERROR(__xludf.DUMMYFUNCTION("""COMPUTED_VALUE"""),"CAÍDA DE POSTE")</f>
        <v>CAÍDA DE POSTE</v>
      </c>
      <c r="AA239" s="64" t="str">
        <f>IFERROR(__xludf.DUMMYFUNCTION("""COMPUTED_VALUE"""),"CAÍDA DE RAMA")</f>
        <v>CAÍDA DE RAMA</v>
      </c>
      <c r="AB239" s="64" t="str">
        <f>IFERROR(__xludf.DUMMYFUNCTION("""COMPUTED_VALUE"""),"OPERATIVO DGT")</f>
        <v>OPERATIVO DGT</v>
      </c>
      <c r="AC239" s="64" t="str">
        <f>IFERROR(__xludf.DUMMYFUNCTION("""COMPUTED_VALUE"""),"OPERATIVO PMT")</f>
        <v>OPERATIVO PMT</v>
      </c>
      <c r="AD239" s="64" t="str">
        <f>IFERROR(__xludf.DUMMYFUNCTION("""COMPUTED_VALUE"""),"APOYO A DIGEF")</f>
        <v>APOYO A DIGEF</v>
      </c>
      <c r="AE239" s="64" t="str">
        <f>IFERROR(__xludf.DUMMYFUNCTION("""COMPUTED_VALUE"""),"OPERATIVO PNC TRANSITO")</f>
        <v>OPERATIVO PNC TRANSITO</v>
      </c>
      <c r="AF239" s="64" t="str">
        <f>IFERROR(__xludf.DUMMYFUNCTION("""COMPUTED_VALUE"""),"SOBRECARGA ")</f>
        <v>SOBRECARGA </v>
      </c>
      <c r="AG239" s="64" t="str">
        <f>IFERROR(__xludf.DUMMYFUNCTION("""COMPUTED_VALUE"""),"OPERATIVO EN CONJUNTO")</f>
        <v>OPERATIVO EN CONJUNTO</v>
      </c>
      <c r="AH239" s="64" t="str">
        <f>IFERROR(__xludf.DUMMYFUNCTION("""COMPUTED_VALUE"""),"PUESTO DE ATENCION AL USUARIO")</f>
        <v>PUESTO DE ATENCION AL USUARIO</v>
      </c>
      <c r="AI239" s="64" t="str">
        <f>IFERROR(__xludf.DUMMYFUNCTION("""COMPUTED_VALUE"""),"INCENDIO EN RUTA")</f>
        <v>INCENDIO EN RUTA</v>
      </c>
      <c r="AJ239" s="64" t="str">
        <f>IFERROR(__xludf.DUMMYFUNCTION("""COMPUTED_VALUE"""),"APOYO ANTORCHA ")</f>
        <v>APOYO ANTORCHA </v>
      </c>
    </row>
    <row r="240">
      <c r="B240" s="64" t="s">
        <v>54</v>
      </c>
      <c r="C240" s="64" t="str">
        <f>IFERROR(__xludf.DUMMYFUNCTION(" TRANSPOSE( unique ( QUERY(DATOPRO,""select Col2 where Col1 = '""&amp;B240&amp;""'"")))"),"PINCHAZO")</f>
        <v>PINCHAZO</v>
      </c>
      <c r="D240" s="64" t="str">
        <f>IFERROR(__xludf.DUMMYFUNCTION("""COMPUTED_VALUE"""),"TRABAJOS DE CARRETERA")</f>
        <v>TRABAJOS DE CARRETERA</v>
      </c>
      <c r="E240" s="64" t="str">
        <f>IFERROR(__xludf.DUMMYFUNCTION("""COMPUTED_VALUE"""),"CONSIGNACIÓN")</f>
        <v>CONSIGNACIÓN</v>
      </c>
      <c r="F240" s="64" t="str">
        <f>IFERROR(__xludf.DUMMYFUNCTION("""COMPUTED_VALUE"""),"DERRAME")</f>
        <v>DERRAME</v>
      </c>
      <c r="G240" s="64" t="str">
        <f>IFERROR(__xludf.DUMMYFUNCTION("""COMPUTED_VALUE"""),"CALENTAMIENTO")</f>
        <v>CALENTAMIENTO</v>
      </c>
      <c r="H240" s="64" t="str">
        <f>IFERROR(__xludf.DUMMYFUNCTION("""COMPUTED_VALUE"""),"ESCOLTANDO")</f>
        <v>ESCOLTANDO</v>
      </c>
      <c r="I240" s="64" t="str">
        <f>IFERROR(__xludf.DUMMYFUNCTION("""COMPUTED_VALUE"""),"FALTA DE COMBUSTIBLE")</f>
        <v>FALTA DE COMBUSTIBLE</v>
      </c>
      <c r="J240" s="64" t="str">
        <f>IFERROR(__xludf.DUMMYFUNCTION("""COMPUTED_VALUE"""),"DESPERFECTOS MECÁNICOS")</f>
        <v>DESPERFECTOS MECÁNICOS</v>
      </c>
      <c r="K240" s="64" t="str">
        <f>IFERROR(__xludf.DUMMYFUNCTION("""COMPUTED_VALUE"""),"LLAMADA DE ATENCIÓN")</f>
        <v>LLAMADA DE ATENCIÓN</v>
      </c>
      <c r="L240" s="64" t="str">
        <f>IFERROR(__xludf.DUMMYFUNCTION("""COMPUTED_VALUE"""),"OPERATIVOS")</f>
        <v>OPERATIVOS</v>
      </c>
      <c r="M240" s="64" t="str">
        <f>IFERROR(__xludf.DUMMYFUNCTION("""COMPUTED_VALUE"""),"SANCIÓN")</f>
        <v>SANCIÓN</v>
      </c>
      <c r="N240" s="64" t="str">
        <f>IFERROR(__xludf.DUMMYFUNCTION("""COMPUTED_VALUE"""),"SISTEMA ELECTRICO")</f>
        <v>SISTEMA ELECTRICO</v>
      </c>
      <c r="O240" s="64" t="str">
        <f>IFERROR(__xludf.DUMMYFUNCTION("""COMPUTED_VALUE"""),"ASISTENCIA AL USUARIO")</f>
        <v>ASISTENCIA AL USUARIO</v>
      </c>
      <c r="P240" s="64" t="str">
        <f>IFERROR(__xludf.DUMMYFUNCTION("""COMPUTED_VALUE"""),"DOBLE REMOLQUE")</f>
        <v>DOBLE REMOLQUE</v>
      </c>
      <c r="Q240" s="64" t="str">
        <f>IFERROR(__xludf.DUMMYFUNCTION("""COMPUTED_VALUE"""),"SINAPRESE")</f>
        <v>SINAPRESE</v>
      </c>
      <c r="R240" s="64" t="str">
        <f>IFERROR(__xludf.DUMMYFUNCTION("""COMPUTED_VALUE"""),"APOYO ATLETISMO")</f>
        <v>APOYO ATLETISMO</v>
      </c>
      <c r="S240" s="64" t="str">
        <f>IFERROR(__xludf.DUMMYFUNCTION("""COMPUTED_VALUE"""),"APOYO A CICLISMO")</f>
        <v>APOYO A CICLISMO</v>
      </c>
      <c r="T240" s="64" t="str">
        <f>IFERROR(__xludf.DUMMYFUNCTION("""COMPUTED_VALUE"""),"DESCARGA DE BATERÍA")</f>
        <v>DESCARGA DE BATERÍA</v>
      </c>
      <c r="U240" s="64" t="str">
        <f>IFERROR(__xludf.DUMMYFUNCTION("""COMPUTED_VALUE"""),"PROBLEMAS DE SALUD")</f>
        <v>PROBLEMAS DE SALUD</v>
      </c>
      <c r="V240" s="64" t="str">
        <f>IFERROR(__xludf.DUMMYFUNCTION("""COMPUTED_VALUE"""),"OLVIDO LA LLAVE")</f>
        <v>OLVIDO LA LLAVE</v>
      </c>
      <c r="W240" s="64" t="str">
        <f>IFERROR(__xludf.DUMMYFUNCTION("""COMPUTED_VALUE"""),"CARGA SOBREDIMENSIONADA")</f>
        <v>CARGA SOBREDIMENSIONADA</v>
      </c>
      <c r="X240" s="64" t="str">
        <f>IFERROR(__xludf.DUMMYFUNCTION("""COMPUTED_VALUE"""),"VEHÍCULO ABANDONADO")</f>
        <v>VEHÍCULO ABANDONADO</v>
      </c>
      <c r="Y240" s="64" t="str">
        <f>IFERROR(__xludf.DUMMYFUNCTION("""COMPUTED_VALUE"""),"DESPRENDIMIENTO")</f>
        <v>DESPRENDIMIENTO</v>
      </c>
      <c r="Z240" s="64" t="str">
        <f>IFERROR(__xludf.DUMMYFUNCTION("""COMPUTED_VALUE"""),"CAÍDA DE POSTE")</f>
        <v>CAÍDA DE POSTE</v>
      </c>
      <c r="AA240" s="64" t="str">
        <f>IFERROR(__xludf.DUMMYFUNCTION("""COMPUTED_VALUE"""),"CAÍDA DE RAMA")</f>
        <v>CAÍDA DE RAMA</v>
      </c>
      <c r="AB240" s="64" t="str">
        <f>IFERROR(__xludf.DUMMYFUNCTION("""COMPUTED_VALUE"""),"OPERATIVO DGT")</f>
        <v>OPERATIVO DGT</v>
      </c>
      <c r="AC240" s="64" t="str">
        <f>IFERROR(__xludf.DUMMYFUNCTION("""COMPUTED_VALUE"""),"OPERATIVO PMT")</f>
        <v>OPERATIVO PMT</v>
      </c>
      <c r="AD240" s="64" t="str">
        <f>IFERROR(__xludf.DUMMYFUNCTION("""COMPUTED_VALUE"""),"APOYO A DIGEF")</f>
        <v>APOYO A DIGEF</v>
      </c>
      <c r="AE240" s="64" t="str">
        <f>IFERROR(__xludf.DUMMYFUNCTION("""COMPUTED_VALUE"""),"OPERATIVO PNC TRANSITO")</f>
        <v>OPERATIVO PNC TRANSITO</v>
      </c>
      <c r="AF240" s="64" t="str">
        <f>IFERROR(__xludf.DUMMYFUNCTION("""COMPUTED_VALUE"""),"SOBRECARGA ")</f>
        <v>SOBRECARGA </v>
      </c>
      <c r="AG240" s="64" t="str">
        <f>IFERROR(__xludf.DUMMYFUNCTION("""COMPUTED_VALUE"""),"OPERATIVO EN CONJUNTO")</f>
        <v>OPERATIVO EN CONJUNTO</v>
      </c>
      <c r="AH240" s="64" t="str">
        <f>IFERROR(__xludf.DUMMYFUNCTION("""COMPUTED_VALUE"""),"PUESTO DE ATENCION AL USUARIO")</f>
        <v>PUESTO DE ATENCION AL USUARIO</v>
      </c>
      <c r="AI240" s="64" t="str">
        <f>IFERROR(__xludf.DUMMYFUNCTION("""COMPUTED_VALUE"""),"INCENDIO EN RUTA")</f>
        <v>INCENDIO EN RUTA</v>
      </c>
      <c r="AJ240" s="64" t="str">
        <f>IFERROR(__xludf.DUMMYFUNCTION("""COMPUTED_VALUE"""),"APOYO ANTORCHA ")</f>
        <v>APOYO ANTORCHA </v>
      </c>
    </row>
    <row r="241">
      <c r="B241" s="64" t="s">
        <v>54</v>
      </c>
      <c r="C241" s="64" t="str">
        <f>IFERROR(__xludf.DUMMYFUNCTION(" TRANSPOSE( unique ( QUERY(DATOPRO,""select Col2 where Col1 = '""&amp;B241&amp;""'"")))"),"PINCHAZO")</f>
        <v>PINCHAZO</v>
      </c>
      <c r="D241" s="64" t="str">
        <f>IFERROR(__xludf.DUMMYFUNCTION("""COMPUTED_VALUE"""),"TRABAJOS DE CARRETERA")</f>
        <v>TRABAJOS DE CARRETERA</v>
      </c>
      <c r="E241" s="64" t="str">
        <f>IFERROR(__xludf.DUMMYFUNCTION("""COMPUTED_VALUE"""),"CONSIGNACIÓN")</f>
        <v>CONSIGNACIÓN</v>
      </c>
      <c r="F241" s="64" t="str">
        <f>IFERROR(__xludf.DUMMYFUNCTION("""COMPUTED_VALUE"""),"DERRAME")</f>
        <v>DERRAME</v>
      </c>
      <c r="G241" s="64" t="str">
        <f>IFERROR(__xludf.DUMMYFUNCTION("""COMPUTED_VALUE"""),"CALENTAMIENTO")</f>
        <v>CALENTAMIENTO</v>
      </c>
      <c r="H241" s="64" t="str">
        <f>IFERROR(__xludf.DUMMYFUNCTION("""COMPUTED_VALUE"""),"ESCOLTANDO")</f>
        <v>ESCOLTANDO</v>
      </c>
      <c r="I241" s="64" t="str">
        <f>IFERROR(__xludf.DUMMYFUNCTION("""COMPUTED_VALUE"""),"FALTA DE COMBUSTIBLE")</f>
        <v>FALTA DE COMBUSTIBLE</v>
      </c>
      <c r="J241" s="64" t="str">
        <f>IFERROR(__xludf.DUMMYFUNCTION("""COMPUTED_VALUE"""),"DESPERFECTOS MECÁNICOS")</f>
        <v>DESPERFECTOS MECÁNICOS</v>
      </c>
      <c r="K241" s="64" t="str">
        <f>IFERROR(__xludf.DUMMYFUNCTION("""COMPUTED_VALUE"""),"LLAMADA DE ATENCIÓN")</f>
        <v>LLAMADA DE ATENCIÓN</v>
      </c>
      <c r="L241" s="64" t="str">
        <f>IFERROR(__xludf.DUMMYFUNCTION("""COMPUTED_VALUE"""),"OPERATIVOS")</f>
        <v>OPERATIVOS</v>
      </c>
      <c r="M241" s="64" t="str">
        <f>IFERROR(__xludf.DUMMYFUNCTION("""COMPUTED_VALUE"""),"SANCIÓN")</f>
        <v>SANCIÓN</v>
      </c>
      <c r="N241" s="64" t="str">
        <f>IFERROR(__xludf.DUMMYFUNCTION("""COMPUTED_VALUE"""),"SISTEMA ELECTRICO")</f>
        <v>SISTEMA ELECTRICO</v>
      </c>
      <c r="O241" s="64" t="str">
        <f>IFERROR(__xludf.DUMMYFUNCTION("""COMPUTED_VALUE"""),"ASISTENCIA AL USUARIO")</f>
        <v>ASISTENCIA AL USUARIO</v>
      </c>
      <c r="P241" s="64" t="str">
        <f>IFERROR(__xludf.DUMMYFUNCTION("""COMPUTED_VALUE"""),"DOBLE REMOLQUE")</f>
        <v>DOBLE REMOLQUE</v>
      </c>
      <c r="Q241" s="64" t="str">
        <f>IFERROR(__xludf.DUMMYFUNCTION("""COMPUTED_VALUE"""),"SINAPRESE")</f>
        <v>SINAPRESE</v>
      </c>
      <c r="R241" s="64" t="str">
        <f>IFERROR(__xludf.DUMMYFUNCTION("""COMPUTED_VALUE"""),"APOYO ATLETISMO")</f>
        <v>APOYO ATLETISMO</v>
      </c>
      <c r="S241" s="64" t="str">
        <f>IFERROR(__xludf.DUMMYFUNCTION("""COMPUTED_VALUE"""),"APOYO A CICLISMO")</f>
        <v>APOYO A CICLISMO</v>
      </c>
      <c r="T241" s="64" t="str">
        <f>IFERROR(__xludf.DUMMYFUNCTION("""COMPUTED_VALUE"""),"DESCARGA DE BATERÍA")</f>
        <v>DESCARGA DE BATERÍA</v>
      </c>
      <c r="U241" s="64" t="str">
        <f>IFERROR(__xludf.DUMMYFUNCTION("""COMPUTED_VALUE"""),"PROBLEMAS DE SALUD")</f>
        <v>PROBLEMAS DE SALUD</v>
      </c>
      <c r="V241" s="64" t="str">
        <f>IFERROR(__xludf.DUMMYFUNCTION("""COMPUTED_VALUE"""),"OLVIDO LA LLAVE")</f>
        <v>OLVIDO LA LLAVE</v>
      </c>
      <c r="W241" s="64" t="str">
        <f>IFERROR(__xludf.DUMMYFUNCTION("""COMPUTED_VALUE"""),"CARGA SOBREDIMENSIONADA")</f>
        <v>CARGA SOBREDIMENSIONADA</v>
      </c>
      <c r="X241" s="64" t="str">
        <f>IFERROR(__xludf.DUMMYFUNCTION("""COMPUTED_VALUE"""),"VEHÍCULO ABANDONADO")</f>
        <v>VEHÍCULO ABANDONADO</v>
      </c>
      <c r="Y241" s="64" t="str">
        <f>IFERROR(__xludf.DUMMYFUNCTION("""COMPUTED_VALUE"""),"DESPRENDIMIENTO")</f>
        <v>DESPRENDIMIENTO</v>
      </c>
      <c r="Z241" s="64" t="str">
        <f>IFERROR(__xludf.DUMMYFUNCTION("""COMPUTED_VALUE"""),"CAÍDA DE POSTE")</f>
        <v>CAÍDA DE POSTE</v>
      </c>
      <c r="AA241" s="64" t="str">
        <f>IFERROR(__xludf.DUMMYFUNCTION("""COMPUTED_VALUE"""),"CAÍDA DE RAMA")</f>
        <v>CAÍDA DE RAMA</v>
      </c>
      <c r="AB241" s="64" t="str">
        <f>IFERROR(__xludf.DUMMYFUNCTION("""COMPUTED_VALUE"""),"OPERATIVO DGT")</f>
        <v>OPERATIVO DGT</v>
      </c>
      <c r="AC241" s="64" t="str">
        <f>IFERROR(__xludf.DUMMYFUNCTION("""COMPUTED_VALUE"""),"OPERATIVO PMT")</f>
        <v>OPERATIVO PMT</v>
      </c>
      <c r="AD241" s="64" t="str">
        <f>IFERROR(__xludf.DUMMYFUNCTION("""COMPUTED_VALUE"""),"APOYO A DIGEF")</f>
        <v>APOYO A DIGEF</v>
      </c>
      <c r="AE241" s="64" t="str">
        <f>IFERROR(__xludf.DUMMYFUNCTION("""COMPUTED_VALUE"""),"OPERATIVO PNC TRANSITO")</f>
        <v>OPERATIVO PNC TRANSITO</v>
      </c>
      <c r="AF241" s="64" t="str">
        <f>IFERROR(__xludf.DUMMYFUNCTION("""COMPUTED_VALUE"""),"SOBRECARGA ")</f>
        <v>SOBRECARGA </v>
      </c>
      <c r="AG241" s="64" t="str">
        <f>IFERROR(__xludf.DUMMYFUNCTION("""COMPUTED_VALUE"""),"OPERATIVO EN CONJUNTO")</f>
        <v>OPERATIVO EN CONJUNTO</v>
      </c>
      <c r="AH241" s="64" t="str">
        <f>IFERROR(__xludf.DUMMYFUNCTION("""COMPUTED_VALUE"""),"PUESTO DE ATENCION AL USUARIO")</f>
        <v>PUESTO DE ATENCION AL USUARIO</v>
      </c>
      <c r="AI241" s="64" t="str">
        <f>IFERROR(__xludf.DUMMYFUNCTION("""COMPUTED_VALUE"""),"INCENDIO EN RUTA")</f>
        <v>INCENDIO EN RUTA</v>
      </c>
      <c r="AJ241" s="64" t="str">
        <f>IFERROR(__xludf.DUMMYFUNCTION("""COMPUTED_VALUE"""),"APOYO ANTORCHA ")</f>
        <v>APOYO ANTORCHA </v>
      </c>
    </row>
    <row r="242">
      <c r="B242" s="64" t="s">
        <v>54</v>
      </c>
      <c r="C242" s="64" t="str">
        <f>IFERROR(__xludf.DUMMYFUNCTION(" TRANSPOSE( unique ( QUERY(DATOPRO,""select Col2 where Col1 = '""&amp;B242&amp;""'"")))"),"PINCHAZO")</f>
        <v>PINCHAZO</v>
      </c>
      <c r="D242" s="64" t="str">
        <f>IFERROR(__xludf.DUMMYFUNCTION("""COMPUTED_VALUE"""),"TRABAJOS DE CARRETERA")</f>
        <v>TRABAJOS DE CARRETERA</v>
      </c>
      <c r="E242" s="64" t="str">
        <f>IFERROR(__xludf.DUMMYFUNCTION("""COMPUTED_VALUE"""),"CONSIGNACIÓN")</f>
        <v>CONSIGNACIÓN</v>
      </c>
      <c r="F242" s="64" t="str">
        <f>IFERROR(__xludf.DUMMYFUNCTION("""COMPUTED_VALUE"""),"DERRAME")</f>
        <v>DERRAME</v>
      </c>
      <c r="G242" s="64" t="str">
        <f>IFERROR(__xludf.DUMMYFUNCTION("""COMPUTED_VALUE"""),"CALENTAMIENTO")</f>
        <v>CALENTAMIENTO</v>
      </c>
      <c r="H242" s="64" t="str">
        <f>IFERROR(__xludf.DUMMYFUNCTION("""COMPUTED_VALUE"""),"ESCOLTANDO")</f>
        <v>ESCOLTANDO</v>
      </c>
      <c r="I242" s="64" t="str">
        <f>IFERROR(__xludf.DUMMYFUNCTION("""COMPUTED_VALUE"""),"FALTA DE COMBUSTIBLE")</f>
        <v>FALTA DE COMBUSTIBLE</v>
      </c>
      <c r="J242" s="64" t="str">
        <f>IFERROR(__xludf.DUMMYFUNCTION("""COMPUTED_VALUE"""),"DESPERFECTOS MECÁNICOS")</f>
        <v>DESPERFECTOS MECÁNICOS</v>
      </c>
      <c r="K242" s="64" t="str">
        <f>IFERROR(__xludf.DUMMYFUNCTION("""COMPUTED_VALUE"""),"LLAMADA DE ATENCIÓN")</f>
        <v>LLAMADA DE ATENCIÓN</v>
      </c>
      <c r="L242" s="64" t="str">
        <f>IFERROR(__xludf.DUMMYFUNCTION("""COMPUTED_VALUE"""),"OPERATIVOS")</f>
        <v>OPERATIVOS</v>
      </c>
      <c r="M242" s="64" t="str">
        <f>IFERROR(__xludf.DUMMYFUNCTION("""COMPUTED_VALUE"""),"SANCIÓN")</f>
        <v>SANCIÓN</v>
      </c>
      <c r="N242" s="64" t="str">
        <f>IFERROR(__xludf.DUMMYFUNCTION("""COMPUTED_VALUE"""),"SISTEMA ELECTRICO")</f>
        <v>SISTEMA ELECTRICO</v>
      </c>
      <c r="O242" s="64" t="str">
        <f>IFERROR(__xludf.DUMMYFUNCTION("""COMPUTED_VALUE"""),"ASISTENCIA AL USUARIO")</f>
        <v>ASISTENCIA AL USUARIO</v>
      </c>
      <c r="P242" s="64" t="str">
        <f>IFERROR(__xludf.DUMMYFUNCTION("""COMPUTED_VALUE"""),"DOBLE REMOLQUE")</f>
        <v>DOBLE REMOLQUE</v>
      </c>
      <c r="Q242" s="64" t="str">
        <f>IFERROR(__xludf.DUMMYFUNCTION("""COMPUTED_VALUE"""),"SINAPRESE")</f>
        <v>SINAPRESE</v>
      </c>
      <c r="R242" s="64" t="str">
        <f>IFERROR(__xludf.DUMMYFUNCTION("""COMPUTED_VALUE"""),"APOYO ATLETISMO")</f>
        <v>APOYO ATLETISMO</v>
      </c>
      <c r="S242" s="64" t="str">
        <f>IFERROR(__xludf.DUMMYFUNCTION("""COMPUTED_VALUE"""),"APOYO A CICLISMO")</f>
        <v>APOYO A CICLISMO</v>
      </c>
      <c r="T242" s="64" t="str">
        <f>IFERROR(__xludf.DUMMYFUNCTION("""COMPUTED_VALUE"""),"DESCARGA DE BATERÍA")</f>
        <v>DESCARGA DE BATERÍA</v>
      </c>
      <c r="U242" s="64" t="str">
        <f>IFERROR(__xludf.DUMMYFUNCTION("""COMPUTED_VALUE"""),"PROBLEMAS DE SALUD")</f>
        <v>PROBLEMAS DE SALUD</v>
      </c>
      <c r="V242" s="64" t="str">
        <f>IFERROR(__xludf.DUMMYFUNCTION("""COMPUTED_VALUE"""),"OLVIDO LA LLAVE")</f>
        <v>OLVIDO LA LLAVE</v>
      </c>
      <c r="W242" s="64" t="str">
        <f>IFERROR(__xludf.DUMMYFUNCTION("""COMPUTED_VALUE"""),"CARGA SOBREDIMENSIONADA")</f>
        <v>CARGA SOBREDIMENSIONADA</v>
      </c>
      <c r="X242" s="64" t="str">
        <f>IFERROR(__xludf.DUMMYFUNCTION("""COMPUTED_VALUE"""),"VEHÍCULO ABANDONADO")</f>
        <v>VEHÍCULO ABANDONADO</v>
      </c>
      <c r="Y242" s="64" t="str">
        <f>IFERROR(__xludf.DUMMYFUNCTION("""COMPUTED_VALUE"""),"DESPRENDIMIENTO")</f>
        <v>DESPRENDIMIENTO</v>
      </c>
      <c r="Z242" s="64" t="str">
        <f>IFERROR(__xludf.DUMMYFUNCTION("""COMPUTED_VALUE"""),"CAÍDA DE POSTE")</f>
        <v>CAÍDA DE POSTE</v>
      </c>
      <c r="AA242" s="64" t="str">
        <f>IFERROR(__xludf.DUMMYFUNCTION("""COMPUTED_VALUE"""),"CAÍDA DE RAMA")</f>
        <v>CAÍDA DE RAMA</v>
      </c>
      <c r="AB242" s="64" t="str">
        <f>IFERROR(__xludf.DUMMYFUNCTION("""COMPUTED_VALUE"""),"OPERATIVO DGT")</f>
        <v>OPERATIVO DGT</v>
      </c>
      <c r="AC242" s="64" t="str">
        <f>IFERROR(__xludf.DUMMYFUNCTION("""COMPUTED_VALUE"""),"OPERATIVO PMT")</f>
        <v>OPERATIVO PMT</v>
      </c>
      <c r="AD242" s="64" t="str">
        <f>IFERROR(__xludf.DUMMYFUNCTION("""COMPUTED_VALUE"""),"APOYO A DIGEF")</f>
        <v>APOYO A DIGEF</v>
      </c>
      <c r="AE242" s="64" t="str">
        <f>IFERROR(__xludf.DUMMYFUNCTION("""COMPUTED_VALUE"""),"OPERATIVO PNC TRANSITO")</f>
        <v>OPERATIVO PNC TRANSITO</v>
      </c>
      <c r="AF242" s="64" t="str">
        <f>IFERROR(__xludf.DUMMYFUNCTION("""COMPUTED_VALUE"""),"SOBRECARGA ")</f>
        <v>SOBRECARGA </v>
      </c>
      <c r="AG242" s="64" t="str">
        <f>IFERROR(__xludf.DUMMYFUNCTION("""COMPUTED_VALUE"""),"OPERATIVO EN CONJUNTO")</f>
        <v>OPERATIVO EN CONJUNTO</v>
      </c>
      <c r="AH242" s="64" t="str">
        <f>IFERROR(__xludf.DUMMYFUNCTION("""COMPUTED_VALUE"""),"PUESTO DE ATENCION AL USUARIO")</f>
        <v>PUESTO DE ATENCION AL USUARIO</v>
      </c>
      <c r="AI242" s="64" t="str">
        <f>IFERROR(__xludf.DUMMYFUNCTION("""COMPUTED_VALUE"""),"INCENDIO EN RUTA")</f>
        <v>INCENDIO EN RUTA</v>
      </c>
      <c r="AJ242" s="64" t="str">
        <f>IFERROR(__xludf.DUMMYFUNCTION("""COMPUTED_VALUE"""),"APOYO ANTORCHA ")</f>
        <v>APOYO ANTORCHA </v>
      </c>
    </row>
    <row r="243">
      <c r="B243" s="64" t="s">
        <v>54</v>
      </c>
      <c r="C243" s="64" t="str">
        <f>IFERROR(__xludf.DUMMYFUNCTION(" TRANSPOSE( unique ( QUERY(DATOPRO,""select Col2 where Col1 = '""&amp;B243&amp;""'"")))"),"PINCHAZO")</f>
        <v>PINCHAZO</v>
      </c>
      <c r="D243" s="64" t="str">
        <f>IFERROR(__xludf.DUMMYFUNCTION("""COMPUTED_VALUE"""),"TRABAJOS DE CARRETERA")</f>
        <v>TRABAJOS DE CARRETERA</v>
      </c>
      <c r="E243" s="64" t="str">
        <f>IFERROR(__xludf.DUMMYFUNCTION("""COMPUTED_VALUE"""),"CONSIGNACIÓN")</f>
        <v>CONSIGNACIÓN</v>
      </c>
      <c r="F243" s="64" t="str">
        <f>IFERROR(__xludf.DUMMYFUNCTION("""COMPUTED_VALUE"""),"DERRAME")</f>
        <v>DERRAME</v>
      </c>
      <c r="G243" s="64" t="str">
        <f>IFERROR(__xludf.DUMMYFUNCTION("""COMPUTED_VALUE"""),"CALENTAMIENTO")</f>
        <v>CALENTAMIENTO</v>
      </c>
      <c r="H243" s="64" t="str">
        <f>IFERROR(__xludf.DUMMYFUNCTION("""COMPUTED_VALUE"""),"ESCOLTANDO")</f>
        <v>ESCOLTANDO</v>
      </c>
      <c r="I243" s="64" t="str">
        <f>IFERROR(__xludf.DUMMYFUNCTION("""COMPUTED_VALUE"""),"FALTA DE COMBUSTIBLE")</f>
        <v>FALTA DE COMBUSTIBLE</v>
      </c>
      <c r="J243" s="64" t="str">
        <f>IFERROR(__xludf.DUMMYFUNCTION("""COMPUTED_VALUE"""),"DESPERFECTOS MECÁNICOS")</f>
        <v>DESPERFECTOS MECÁNICOS</v>
      </c>
      <c r="K243" s="64" t="str">
        <f>IFERROR(__xludf.DUMMYFUNCTION("""COMPUTED_VALUE"""),"LLAMADA DE ATENCIÓN")</f>
        <v>LLAMADA DE ATENCIÓN</v>
      </c>
      <c r="L243" s="64" t="str">
        <f>IFERROR(__xludf.DUMMYFUNCTION("""COMPUTED_VALUE"""),"OPERATIVOS")</f>
        <v>OPERATIVOS</v>
      </c>
      <c r="M243" s="64" t="str">
        <f>IFERROR(__xludf.DUMMYFUNCTION("""COMPUTED_VALUE"""),"SANCIÓN")</f>
        <v>SANCIÓN</v>
      </c>
      <c r="N243" s="64" t="str">
        <f>IFERROR(__xludf.DUMMYFUNCTION("""COMPUTED_VALUE"""),"SISTEMA ELECTRICO")</f>
        <v>SISTEMA ELECTRICO</v>
      </c>
      <c r="O243" s="64" t="str">
        <f>IFERROR(__xludf.DUMMYFUNCTION("""COMPUTED_VALUE"""),"ASISTENCIA AL USUARIO")</f>
        <v>ASISTENCIA AL USUARIO</v>
      </c>
      <c r="P243" s="64" t="str">
        <f>IFERROR(__xludf.DUMMYFUNCTION("""COMPUTED_VALUE"""),"DOBLE REMOLQUE")</f>
        <v>DOBLE REMOLQUE</v>
      </c>
      <c r="Q243" s="64" t="str">
        <f>IFERROR(__xludf.DUMMYFUNCTION("""COMPUTED_VALUE"""),"SINAPRESE")</f>
        <v>SINAPRESE</v>
      </c>
      <c r="R243" s="64" t="str">
        <f>IFERROR(__xludf.DUMMYFUNCTION("""COMPUTED_VALUE"""),"APOYO ATLETISMO")</f>
        <v>APOYO ATLETISMO</v>
      </c>
      <c r="S243" s="64" t="str">
        <f>IFERROR(__xludf.DUMMYFUNCTION("""COMPUTED_VALUE"""),"APOYO A CICLISMO")</f>
        <v>APOYO A CICLISMO</v>
      </c>
      <c r="T243" s="64" t="str">
        <f>IFERROR(__xludf.DUMMYFUNCTION("""COMPUTED_VALUE"""),"DESCARGA DE BATERÍA")</f>
        <v>DESCARGA DE BATERÍA</v>
      </c>
      <c r="U243" s="64" t="str">
        <f>IFERROR(__xludf.DUMMYFUNCTION("""COMPUTED_VALUE"""),"PROBLEMAS DE SALUD")</f>
        <v>PROBLEMAS DE SALUD</v>
      </c>
      <c r="V243" s="64" t="str">
        <f>IFERROR(__xludf.DUMMYFUNCTION("""COMPUTED_VALUE"""),"OLVIDO LA LLAVE")</f>
        <v>OLVIDO LA LLAVE</v>
      </c>
      <c r="W243" s="64" t="str">
        <f>IFERROR(__xludf.DUMMYFUNCTION("""COMPUTED_VALUE"""),"CARGA SOBREDIMENSIONADA")</f>
        <v>CARGA SOBREDIMENSIONADA</v>
      </c>
      <c r="X243" s="64" t="str">
        <f>IFERROR(__xludf.DUMMYFUNCTION("""COMPUTED_VALUE"""),"VEHÍCULO ABANDONADO")</f>
        <v>VEHÍCULO ABANDONADO</v>
      </c>
      <c r="Y243" s="64" t="str">
        <f>IFERROR(__xludf.DUMMYFUNCTION("""COMPUTED_VALUE"""),"DESPRENDIMIENTO")</f>
        <v>DESPRENDIMIENTO</v>
      </c>
      <c r="Z243" s="64" t="str">
        <f>IFERROR(__xludf.DUMMYFUNCTION("""COMPUTED_VALUE"""),"CAÍDA DE POSTE")</f>
        <v>CAÍDA DE POSTE</v>
      </c>
      <c r="AA243" s="64" t="str">
        <f>IFERROR(__xludf.DUMMYFUNCTION("""COMPUTED_VALUE"""),"CAÍDA DE RAMA")</f>
        <v>CAÍDA DE RAMA</v>
      </c>
      <c r="AB243" s="64" t="str">
        <f>IFERROR(__xludf.DUMMYFUNCTION("""COMPUTED_VALUE"""),"OPERATIVO DGT")</f>
        <v>OPERATIVO DGT</v>
      </c>
      <c r="AC243" s="64" t="str">
        <f>IFERROR(__xludf.DUMMYFUNCTION("""COMPUTED_VALUE"""),"OPERATIVO PMT")</f>
        <v>OPERATIVO PMT</v>
      </c>
      <c r="AD243" s="64" t="str">
        <f>IFERROR(__xludf.DUMMYFUNCTION("""COMPUTED_VALUE"""),"APOYO A DIGEF")</f>
        <v>APOYO A DIGEF</v>
      </c>
      <c r="AE243" s="64" t="str">
        <f>IFERROR(__xludf.DUMMYFUNCTION("""COMPUTED_VALUE"""),"OPERATIVO PNC TRANSITO")</f>
        <v>OPERATIVO PNC TRANSITO</v>
      </c>
      <c r="AF243" s="64" t="str">
        <f>IFERROR(__xludf.DUMMYFUNCTION("""COMPUTED_VALUE"""),"SOBRECARGA ")</f>
        <v>SOBRECARGA </v>
      </c>
      <c r="AG243" s="64" t="str">
        <f>IFERROR(__xludf.DUMMYFUNCTION("""COMPUTED_VALUE"""),"OPERATIVO EN CONJUNTO")</f>
        <v>OPERATIVO EN CONJUNTO</v>
      </c>
      <c r="AH243" s="64" t="str">
        <f>IFERROR(__xludf.DUMMYFUNCTION("""COMPUTED_VALUE"""),"PUESTO DE ATENCION AL USUARIO")</f>
        <v>PUESTO DE ATENCION AL USUARIO</v>
      </c>
      <c r="AI243" s="64" t="str">
        <f>IFERROR(__xludf.DUMMYFUNCTION("""COMPUTED_VALUE"""),"INCENDIO EN RUTA")</f>
        <v>INCENDIO EN RUTA</v>
      </c>
      <c r="AJ243" s="64" t="str">
        <f>IFERROR(__xludf.DUMMYFUNCTION("""COMPUTED_VALUE"""),"APOYO ANTORCHA ")</f>
        <v>APOYO ANTORCHA </v>
      </c>
    </row>
    <row r="244">
      <c r="B244" s="64" t="s">
        <v>38</v>
      </c>
      <c r="C244" s="64" t="str">
        <f>IFERROR(__xludf.DUMMYFUNCTION(" TRANSPOSE( unique ( QUERY(DATOPRO,""select Col2 where Col1 = '""&amp;B244&amp;""'"")))"),"ATAQUE ARMADO")</f>
        <v>ATAQUE ARMADO</v>
      </c>
      <c r="D244" s="64" t="str">
        <f>IFERROR(__xludf.DUMMYFUNCTION("""COMPUTED_VALUE"""),"DESBALANCE DE CARGA")</f>
        <v>DESBALANCE DE CARGA</v>
      </c>
      <c r="E244" s="64" t="str">
        <f>IFERROR(__xludf.DUMMYFUNCTION("""COMPUTED_VALUE"""),"PERSONA FALLECIDA")</f>
        <v>PERSONA FALLECIDA</v>
      </c>
      <c r="F244" s="64" t="str">
        <f>IFERROR(__xludf.DUMMYFUNCTION("""COMPUTED_VALUE"""),"DESPRENDIMIENTO DE NEUMATICO")</f>
        <v>DESPRENDIMIENTO DE NEUMATICO</v>
      </c>
      <c r="G244" s="64" t="str">
        <f>IFERROR(__xludf.DUMMYFUNCTION("""COMPUTED_VALUE"""),"SALIDA DE PISTA")</f>
        <v>SALIDA DE PISTA</v>
      </c>
      <c r="H244" s="64" t="str">
        <f>IFERROR(__xludf.DUMMYFUNCTION("""COMPUTED_VALUE"""),"DESPRENDIMIENTO DE CONTENEDOR")</f>
        <v>DESPRENDIMIENTO DE CONTENEDOR</v>
      </c>
      <c r="I244" s="64" t="str">
        <f>IFERROR(__xludf.DUMMYFUNCTION("""COMPUTED_VALUE"""),"CAÍDA DE CARGA")</f>
        <v>CAÍDA DE CARGA</v>
      </c>
      <c r="J244" s="64" t="str">
        <f>IFERROR(__xludf.DUMMYFUNCTION("""COMPUTED_VALUE"""),"CHOQUE")</f>
        <v>CHOQUE</v>
      </c>
      <c r="K244" s="64" t="str">
        <f>IFERROR(__xludf.DUMMYFUNCTION("""COMPUTED_VALUE"""),"COLISIÓN")</f>
        <v>COLISIÓN</v>
      </c>
      <c r="L244" s="64" t="str">
        <f>IFERROR(__xludf.DUMMYFUNCTION("""COMPUTED_VALUE"""),"COLISIÓN MÚLTIPLE")</f>
        <v>COLISIÓN MÚLTIPLE</v>
      </c>
      <c r="M244" s="64" t="str">
        <f>IFERROR(__xludf.DUMMYFUNCTION("""COMPUTED_VALUE"""),"DERRAPE")</f>
        <v>DERRAPE</v>
      </c>
      <c r="N244" s="64" t="str">
        <f>IFERROR(__xludf.DUMMYFUNCTION("""COMPUTED_VALUE"""),"VEHÍCULO INCENDIADO")</f>
        <v>VEHÍCULO INCENDIADO</v>
      </c>
      <c r="O244" s="64" t="str">
        <f>IFERROR(__xludf.DUMMYFUNCTION("""COMPUTED_VALUE"""),"VUELCO")</f>
        <v>VUELCO</v>
      </c>
      <c r="P244" s="64" t="str">
        <f>IFERROR(__xludf.DUMMYFUNCTION("""COMPUTED_VALUE"""),"DESPRENDIMIENTO")</f>
        <v>DESPRENDIMIENTO</v>
      </c>
      <c r="Q244" s="64" t="str">
        <f>IFERROR(__xludf.DUMMYFUNCTION("""COMPUTED_VALUE"""),"CAÍDA DE ÁRBOL")</f>
        <v>CAÍDA DE ÁRBOL</v>
      </c>
      <c r="R244" s="64" t="str">
        <f>IFERROR(__xludf.DUMMYFUNCTION("""COMPUTED_VALUE"""),"DESPRENDIMIENTO DE EJE")</f>
        <v>DESPRENDIMIENTO DE EJE</v>
      </c>
      <c r="S244" s="64" t="str">
        <f>IFERROR(__xludf.DUMMYFUNCTION("""COMPUTED_VALUE"""),"PERSONA ATROPELLADA")</f>
        <v>PERSONA ATROPELLADA</v>
      </c>
    </row>
    <row r="245">
      <c r="B245" s="64"/>
      <c r="C245" s="64" t="str">
        <f>IFERROR(__xludf.DUMMYFUNCTION(" TRANSPOSE( unique ( QUERY(DATOPRO,""select Col2 where Col1 = '""&amp;B245&amp;""'"")))"),"")</f>
        <v/>
      </c>
    </row>
    <row r="246">
      <c r="B246" s="64" t="s">
        <v>38</v>
      </c>
      <c r="C246" s="64" t="str">
        <f>IFERROR(__xludf.DUMMYFUNCTION(" TRANSPOSE( unique ( QUERY(DATOPRO,""select Col2 where Col1 = '""&amp;B246&amp;""'"")))"),"ATAQUE ARMADO")</f>
        <v>ATAQUE ARMADO</v>
      </c>
      <c r="D246" s="64" t="str">
        <f>IFERROR(__xludf.DUMMYFUNCTION("""COMPUTED_VALUE"""),"DESBALANCE DE CARGA")</f>
        <v>DESBALANCE DE CARGA</v>
      </c>
      <c r="E246" s="64" t="str">
        <f>IFERROR(__xludf.DUMMYFUNCTION("""COMPUTED_VALUE"""),"PERSONA FALLECIDA")</f>
        <v>PERSONA FALLECIDA</v>
      </c>
      <c r="F246" s="64" t="str">
        <f>IFERROR(__xludf.DUMMYFUNCTION("""COMPUTED_VALUE"""),"DESPRENDIMIENTO DE NEUMATICO")</f>
        <v>DESPRENDIMIENTO DE NEUMATICO</v>
      </c>
      <c r="G246" s="64" t="str">
        <f>IFERROR(__xludf.DUMMYFUNCTION("""COMPUTED_VALUE"""),"SALIDA DE PISTA")</f>
        <v>SALIDA DE PISTA</v>
      </c>
      <c r="H246" s="64" t="str">
        <f>IFERROR(__xludf.DUMMYFUNCTION("""COMPUTED_VALUE"""),"DESPRENDIMIENTO DE CONTENEDOR")</f>
        <v>DESPRENDIMIENTO DE CONTENEDOR</v>
      </c>
      <c r="I246" s="64" t="str">
        <f>IFERROR(__xludf.DUMMYFUNCTION("""COMPUTED_VALUE"""),"CAÍDA DE CARGA")</f>
        <v>CAÍDA DE CARGA</v>
      </c>
      <c r="J246" s="64" t="str">
        <f>IFERROR(__xludf.DUMMYFUNCTION("""COMPUTED_VALUE"""),"CHOQUE")</f>
        <v>CHOQUE</v>
      </c>
      <c r="K246" s="64" t="str">
        <f>IFERROR(__xludf.DUMMYFUNCTION("""COMPUTED_VALUE"""),"COLISIÓN")</f>
        <v>COLISIÓN</v>
      </c>
      <c r="L246" s="64" t="str">
        <f>IFERROR(__xludf.DUMMYFUNCTION("""COMPUTED_VALUE"""),"COLISIÓN MÚLTIPLE")</f>
        <v>COLISIÓN MÚLTIPLE</v>
      </c>
      <c r="M246" s="64" t="str">
        <f>IFERROR(__xludf.DUMMYFUNCTION("""COMPUTED_VALUE"""),"DERRAPE")</f>
        <v>DERRAPE</v>
      </c>
      <c r="N246" s="64" t="str">
        <f>IFERROR(__xludf.DUMMYFUNCTION("""COMPUTED_VALUE"""),"VEHÍCULO INCENDIADO")</f>
        <v>VEHÍCULO INCENDIADO</v>
      </c>
      <c r="O246" s="64" t="str">
        <f>IFERROR(__xludf.DUMMYFUNCTION("""COMPUTED_VALUE"""),"VUELCO")</f>
        <v>VUELCO</v>
      </c>
      <c r="P246" s="64" t="str">
        <f>IFERROR(__xludf.DUMMYFUNCTION("""COMPUTED_VALUE"""),"DESPRENDIMIENTO")</f>
        <v>DESPRENDIMIENTO</v>
      </c>
      <c r="Q246" s="64" t="str">
        <f>IFERROR(__xludf.DUMMYFUNCTION("""COMPUTED_VALUE"""),"CAÍDA DE ÁRBOL")</f>
        <v>CAÍDA DE ÁRBOL</v>
      </c>
      <c r="R246" s="64" t="str">
        <f>IFERROR(__xludf.DUMMYFUNCTION("""COMPUTED_VALUE"""),"DESPRENDIMIENTO DE EJE")</f>
        <v>DESPRENDIMIENTO DE EJE</v>
      </c>
      <c r="S246" s="64" t="str">
        <f>IFERROR(__xludf.DUMMYFUNCTION("""COMPUTED_VALUE"""),"PERSONA ATROPELLADA")</f>
        <v>PERSONA ATROPELLADA</v>
      </c>
    </row>
    <row r="247">
      <c r="B247" s="64" t="s">
        <v>54</v>
      </c>
      <c r="C247" s="64" t="str">
        <f>IFERROR(__xludf.DUMMYFUNCTION(" TRANSPOSE( unique ( QUERY(DATOPRO,""select Col2 where Col1 = '""&amp;B247&amp;""'"")))"),"PINCHAZO")</f>
        <v>PINCHAZO</v>
      </c>
      <c r="D247" s="64" t="str">
        <f>IFERROR(__xludf.DUMMYFUNCTION("""COMPUTED_VALUE"""),"TRABAJOS DE CARRETERA")</f>
        <v>TRABAJOS DE CARRETERA</v>
      </c>
      <c r="E247" s="64" t="str">
        <f>IFERROR(__xludf.DUMMYFUNCTION("""COMPUTED_VALUE"""),"CONSIGNACIÓN")</f>
        <v>CONSIGNACIÓN</v>
      </c>
      <c r="F247" s="64" t="str">
        <f>IFERROR(__xludf.DUMMYFUNCTION("""COMPUTED_VALUE"""),"DERRAME")</f>
        <v>DERRAME</v>
      </c>
      <c r="G247" s="64" t="str">
        <f>IFERROR(__xludf.DUMMYFUNCTION("""COMPUTED_VALUE"""),"CALENTAMIENTO")</f>
        <v>CALENTAMIENTO</v>
      </c>
      <c r="H247" s="64" t="str">
        <f>IFERROR(__xludf.DUMMYFUNCTION("""COMPUTED_VALUE"""),"ESCOLTANDO")</f>
        <v>ESCOLTANDO</v>
      </c>
      <c r="I247" s="64" t="str">
        <f>IFERROR(__xludf.DUMMYFUNCTION("""COMPUTED_VALUE"""),"FALTA DE COMBUSTIBLE")</f>
        <v>FALTA DE COMBUSTIBLE</v>
      </c>
      <c r="J247" s="64" t="str">
        <f>IFERROR(__xludf.DUMMYFUNCTION("""COMPUTED_VALUE"""),"DESPERFECTOS MECÁNICOS")</f>
        <v>DESPERFECTOS MECÁNICOS</v>
      </c>
      <c r="K247" s="64" t="str">
        <f>IFERROR(__xludf.DUMMYFUNCTION("""COMPUTED_VALUE"""),"LLAMADA DE ATENCIÓN")</f>
        <v>LLAMADA DE ATENCIÓN</v>
      </c>
      <c r="L247" s="64" t="str">
        <f>IFERROR(__xludf.DUMMYFUNCTION("""COMPUTED_VALUE"""),"OPERATIVOS")</f>
        <v>OPERATIVOS</v>
      </c>
      <c r="M247" s="64" t="str">
        <f>IFERROR(__xludf.DUMMYFUNCTION("""COMPUTED_VALUE"""),"SANCIÓN")</f>
        <v>SANCIÓN</v>
      </c>
      <c r="N247" s="64" t="str">
        <f>IFERROR(__xludf.DUMMYFUNCTION("""COMPUTED_VALUE"""),"SISTEMA ELECTRICO")</f>
        <v>SISTEMA ELECTRICO</v>
      </c>
      <c r="O247" s="64" t="str">
        <f>IFERROR(__xludf.DUMMYFUNCTION("""COMPUTED_VALUE"""),"ASISTENCIA AL USUARIO")</f>
        <v>ASISTENCIA AL USUARIO</v>
      </c>
      <c r="P247" s="64" t="str">
        <f>IFERROR(__xludf.DUMMYFUNCTION("""COMPUTED_VALUE"""),"DOBLE REMOLQUE")</f>
        <v>DOBLE REMOLQUE</v>
      </c>
      <c r="Q247" s="64" t="str">
        <f>IFERROR(__xludf.DUMMYFUNCTION("""COMPUTED_VALUE"""),"SINAPRESE")</f>
        <v>SINAPRESE</v>
      </c>
      <c r="R247" s="64" t="str">
        <f>IFERROR(__xludf.DUMMYFUNCTION("""COMPUTED_VALUE"""),"APOYO ATLETISMO")</f>
        <v>APOYO ATLETISMO</v>
      </c>
      <c r="S247" s="64" t="str">
        <f>IFERROR(__xludf.DUMMYFUNCTION("""COMPUTED_VALUE"""),"APOYO A CICLISMO")</f>
        <v>APOYO A CICLISMO</v>
      </c>
      <c r="T247" s="64" t="str">
        <f>IFERROR(__xludf.DUMMYFUNCTION("""COMPUTED_VALUE"""),"DESCARGA DE BATERÍA")</f>
        <v>DESCARGA DE BATERÍA</v>
      </c>
      <c r="U247" s="64" t="str">
        <f>IFERROR(__xludf.DUMMYFUNCTION("""COMPUTED_VALUE"""),"PROBLEMAS DE SALUD")</f>
        <v>PROBLEMAS DE SALUD</v>
      </c>
      <c r="V247" s="64" t="str">
        <f>IFERROR(__xludf.DUMMYFUNCTION("""COMPUTED_VALUE"""),"OLVIDO LA LLAVE")</f>
        <v>OLVIDO LA LLAVE</v>
      </c>
      <c r="W247" s="64" t="str">
        <f>IFERROR(__xludf.DUMMYFUNCTION("""COMPUTED_VALUE"""),"CARGA SOBREDIMENSIONADA")</f>
        <v>CARGA SOBREDIMENSIONADA</v>
      </c>
      <c r="X247" s="64" t="str">
        <f>IFERROR(__xludf.DUMMYFUNCTION("""COMPUTED_VALUE"""),"VEHÍCULO ABANDONADO")</f>
        <v>VEHÍCULO ABANDONADO</v>
      </c>
      <c r="Y247" s="64" t="str">
        <f>IFERROR(__xludf.DUMMYFUNCTION("""COMPUTED_VALUE"""),"DESPRENDIMIENTO")</f>
        <v>DESPRENDIMIENTO</v>
      </c>
      <c r="Z247" s="64" t="str">
        <f>IFERROR(__xludf.DUMMYFUNCTION("""COMPUTED_VALUE"""),"CAÍDA DE POSTE")</f>
        <v>CAÍDA DE POSTE</v>
      </c>
      <c r="AA247" s="64" t="str">
        <f>IFERROR(__xludf.DUMMYFUNCTION("""COMPUTED_VALUE"""),"CAÍDA DE RAMA")</f>
        <v>CAÍDA DE RAMA</v>
      </c>
      <c r="AB247" s="64" t="str">
        <f>IFERROR(__xludf.DUMMYFUNCTION("""COMPUTED_VALUE"""),"OPERATIVO DGT")</f>
        <v>OPERATIVO DGT</v>
      </c>
      <c r="AC247" s="64" t="str">
        <f>IFERROR(__xludf.DUMMYFUNCTION("""COMPUTED_VALUE"""),"OPERATIVO PMT")</f>
        <v>OPERATIVO PMT</v>
      </c>
      <c r="AD247" s="64" t="str">
        <f>IFERROR(__xludf.DUMMYFUNCTION("""COMPUTED_VALUE"""),"APOYO A DIGEF")</f>
        <v>APOYO A DIGEF</v>
      </c>
      <c r="AE247" s="64" t="str">
        <f>IFERROR(__xludf.DUMMYFUNCTION("""COMPUTED_VALUE"""),"OPERATIVO PNC TRANSITO")</f>
        <v>OPERATIVO PNC TRANSITO</v>
      </c>
      <c r="AF247" s="64" t="str">
        <f>IFERROR(__xludf.DUMMYFUNCTION("""COMPUTED_VALUE"""),"SOBRECARGA ")</f>
        <v>SOBRECARGA </v>
      </c>
      <c r="AG247" s="64" t="str">
        <f>IFERROR(__xludf.DUMMYFUNCTION("""COMPUTED_VALUE"""),"OPERATIVO EN CONJUNTO")</f>
        <v>OPERATIVO EN CONJUNTO</v>
      </c>
      <c r="AH247" s="64" t="str">
        <f>IFERROR(__xludf.DUMMYFUNCTION("""COMPUTED_VALUE"""),"PUESTO DE ATENCION AL USUARIO")</f>
        <v>PUESTO DE ATENCION AL USUARIO</v>
      </c>
      <c r="AI247" s="64" t="str">
        <f>IFERROR(__xludf.DUMMYFUNCTION("""COMPUTED_VALUE"""),"INCENDIO EN RUTA")</f>
        <v>INCENDIO EN RUTA</v>
      </c>
      <c r="AJ247" s="64" t="str">
        <f>IFERROR(__xludf.DUMMYFUNCTION("""COMPUTED_VALUE"""),"APOYO ANTORCHA ")</f>
        <v>APOYO ANTORCHA </v>
      </c>
    </row>
    <row r="248">
      <c r="B248" s="64" t="s">
        <v>54</v>
      </c>
      <c r="C248" s="64" t="str">
        <f>IFERROR(__xludf.DUMMYFUNCTION(" TRANSPOSE( unique ( QUERY(DATOPRO,""select Col2 where Col1 = '""&amp;B248&amp;""'"")))"),"PINCHAZO")</f>
        <v>PINCHAZO</v>
      </c>
      <c r="D248" s="64" t="str">
        <f>IFERROR(__xludf.DUMMYFUNCTION("""COMPUTED_VALUE"""),"TRABAJOS DE CARRETERA")</f>
        <v>TRABAJOS DE CARRETERA</v>
      </c>
      <c r="E248" s="64" t="str">
        <f>IFERROR(__xludf.DUMMYFUNCTION("""COMPUTED_VALUE"""),"CONSIGNACIÓN")</f>
        <v>CONSIGNACIÓN</v>
      </c>
      <c r="F248" s="64" t="str">
        <f>IFERROR(__xludf.DUMMYFUNCTION("""COMPUTED_VALUE"""),"DERRAME")</f>
        <v>DERRAME</v>
      </c>
      <c r="G248" s="64" t="str">
        <f>IFERROR(__xludf.DUMMYFUNCTION("""COMPUTED_VALUE"""),"CALENTAMIENTO")</f>
        <v>CALENTAMIENTO</v>
      </c>
      <c r="H248" s="64" t="str">
        <f>IFERROR(__xludf.DUMMYFUNCTION("""COMPUTED_VALUE"""),"ESCOLTANDO")</f>
        <v>ESCOLTANDO</v>
      </c>
      <c r="I248" s="64" t="str">
        <f>IFERROR(__xludf.DUMMYFUNCTION("""COMPUTED_VALUE"""),"FALTA DE COMBUSTIBLE")</f>
        <v>FALTA DE COMBUSTIBLE</v>
      </c>
      <c r="J248" s="64" t="str">
        <f>IFERROR(__xludf.DUMMYFUNCTION("""COMPUTED_VALUE"""),"DESPERFECTOS MECÁNICOS")</f>
        <v>DESPERFECTOS MECÁNICOS</v>
      </c>
      <c r="K248" s="64" t="str">
        <f>IFERROR(__xludf.DUMMYFUNCTION("""COMPUTED_VALUE"""),"LLAMADA DE ATENCIÓN")</f>
        <v>LLAMADA DE ATENCIÓN</v>
      </c>
      <c r="L248" s="64" t="str">
        <f>IFERROR(__xludf.DUMMYFUNCTION("""COMPUTED_VALUE"""),"OPERATIVOS")</f>
        <v>OPERATIVOS</v>
      </c>
      <c r="M248" s="64" t="str">
        <f>IFERROR(__xludf.DUMMYFUNCTION("""COMPUTED_VALUE"""),"SANCIÓN")</f>
        <v>SANCIÓN</v>
      </c>
      <c r="N248" s="64" t="str">
        <f>IFERROR(__xludf.DUMMYFUNCTION("""COMPUTED_VALUE"""),"SISTEMA ELECTRICO")</f>
        <v>SISTEMA ELECTRICO</v>
      </c>
      <c r="O248" s="64" t="str">
        <f>IFERROR(__xludf.DUMMYFUNCTION("""COMPUTED_VALUE"""),"ASISTENCIA AL USUARIO")</f>
        <v>ASISTENCIA AL USUARIO</v>
      </c>
      <c r="P248" s="64" t="str">
        <f>IFERROR(__xludf.DUMMYFUNCTION("""COMPUTED_VALUE"""),"DOBLE REMOLQUE")</f>
        <v>DOBLE REMOLQUE</v>
      </c>
      <c r="Q248" s="64" t="str">
        <f>IFERROR(__xludf.DUMMYFUNCTION("""COMPUTED_VALUE"""),"SINAPRESE")</f>
        <v>SINAPRESE</v>
      </c>
      <c r="R248" s="64" t="str">
        <f>IFERROR(__xludf.DUMMYFUNCTION("""COMPUTED_VALUE"""),"APOYO ATLETISMO")</f>
        <v>APOYO ATLETISMO</v>
      </c>
      <c r="S248" s="64" t="str">
        <f>IFERROR(__xludf.DUMMYFUNCTION("""COMPUTED_VALUE"""),"APOYO A CICLISMO")</f>
        <v>APOYO A CICLISMO</v>
      </c>
      <c r="T248" s="64" t="str">
        <f>IFERROR(__xludf.DUMMYFUNCTION("""COMPUTED_VALUE"""),"DESCARGA DE BATERÍA")</f>
        <v>DESCARGA DE BATERÍA</v>
      </c>
      <c r="U248" s="64" t="str">
        <f>IFERROR(__xludf.DUMMYFUNCTION("""COMPUTED_VALUE"""),"PROBLEMAS DE SALUD")</f>
        <v>PROBLEMAS DE SALUD</v>
      </c>
      <c r="V248" s="64" t="str">
        <f>IFERROR(__xludf.DUMMYFUNCTION("""COMPUTED_VALUE"""),"OLVIDO LA LLAVE")</f>
        <v>OLVIDO LA LLAVE</v>
      </c>
      <c r="W248" s="64" t="str">
        <f>IFERROR(__xludf.DUMMYFUNCTION("""COMPUTED_VALUE"""),"CARGA SOBREDIMENSIONADA")</f>
        <v>CARGA SOBREDIMENSIONADA</v>
      </c>
      <c r="X248" s="64" t="str">
        <f>IFERROR(__xludf.DUMMYFUNCTION("""COMPUTED_VALUE"""),"VEHÍCULO ABANDONADO")</f>
        <v>VEHÍCULO ABANDONADO</v>
      </c>
      <c r="Y248" s="64" t="str">
        <f>IFERROR(__xludf.DUMMYFUNCTION("""COMPUTED_VALUE"""),"DESPRENDIMIENTO")</f>
        <v>DESPRENDIMIENTO</v>
      </c>
      <c r="Z248" s="64" t="str">
        <f>IFERROR(__xludf.DUMMYFUNCTION("""COMPUTED_VALUE"""),"CAÍDA DE POSTE")</f>
        <v>CAÍDA DE POSTE</v>
      </c>
      <c r="AA248" s="64" t="str">
        <f>IFERROR(__xludf.DUMMYFUNCTION("""COMPUTED_VALUE"""),"CAÍDA DE RAMA")</f>
        <v>CAÍDA DE RAMA</v>
      </c>
      <c r="AB248" s="64" t="str">
        <f>IFERROR(__xludf.DUMMYFUNCTION("""COMPUTED_VALUE"""),"OPERATIVO DGT")</f>
        <v>OPERATIVO DGT</v>
      </c>
      <c r="AC248" s="64" t="str">
        <f>IFERROR(__xludf.DUMMYFUNCTION("""COMPUTED_VALUE"""),"OPERATIVO PMT")</f>
        <v>OPERATIVO PMT</v>
      </c>
      <c r="AD248" s="64" t="str">
        <f>IFERROR(__xludf.DUMMYFUNCTION("""COMPUTED_VALUE"""),"APOYO A DIGEF")</f>
        <v>APOYO A DIGEF</v>
      </c>
      <c r="AE248" s="64" t="str">
        <f>IFERROR(__xludf.DUMMYFUNCTION("""COMPUTED_VALUE"""),"OPERATIVO PNC TRANSITO")</f>
        <v>OPERATIVO PNC TRANSITO</v>
      </c>
      <c r="AF248" s="64" t="str">
        <f>IFERROR(__xludf.DUMMYFUNCTION("""COMPUTED_VALUE"""),"SOBRECARGA ")</f>
        <v>SOBRECARGA </v>
      </c>
      <c r="AG248" s="64" t="str">
        <f>IFERROR(__xludf.DUMMYFUNCTION("""COMPUTED_VALUE"""),"OPERATIVO EN CONJUNTO")</f>
        <v>OPERATIVO EN CONJUNTO</v>
      </c>
      <c r="AH248" s="64" t="str">
        <f>IFERROR(__xludf.DUMMYFUNCTION("""COMPUTED_VALUE"""),"PUESTO DE ATENCION AL USUARIO")</f>
        <v>PUESTO DE ATENCION AL USUARIO</v>
      </c>
      <c r="AI248" s="64" t="str">
        <f>IFERROR(__xludf.DUMMYFUNCTION("""COMPUTED_VALUE"""),"INCENDIO EN RUTA")</f>
        <v>INCENDIO EN RUTA</v>
      </c>
      <c r="AJ248" s="64" t="str">
        <f>IFERROR(__xludf.DUMMYFUNCTION("""COMPUTED_VALUE"""),"APOYO ANTORCHA ")</f>
        <v>APOYO ANTORCHA </v>
      </c>
    </row>
    <row r="249">
      <c r="B249" s="64" t="s">
        <v>38</v>
      </c>
      <c r="C249" s="64" t="str">
        <f>IFERROR(__xludf.DUMMYFUNCTION(" TRANSPOSE( unique ( QUERY(DATOPRO,""select Col2 where Col1 = '""&amp;B249&amp;""'"")))"),"ATAQUE ARMADO")</f>
        <v>ATAQUE ARMADO</v>
      </c>
      <c r="D249" s="64" t="str">
        <f>IFERROR(__xludf.DUMMYFUNCTION("""COMPUTED_VALUE"""),"DESBALANCE DE CARGA")</f>
        <v>DESBALANCE DE CARGA</v>
      </c>
      <c r="E249" s="64" t="str">
        <f>IFERROR(__xludf.DUMMYFUNCTION("""COMPUTED_VALUE"""),"PERSONA FALLECIDA")</f>
        <v>PERSONA FALLECIDA</v>
      </c>
      <c r="F249" s="64" t="str">
        <f>IFERROR(__xludf.DUMMYFUNCTION("""COMPUTED_VALUE"""),"DESPRENDIMIENTO DE NEUMATICO")</f>
        <v>DESPRENDIMIENTO DE NEUMATICO</v>
      </c>
      <c r="G249" s="64" t="str">
        <f>IFERROR(__xludf.DUMMYFUNCTION("""COMPUTED_VALUE"""),"SALIDA DE PISTA")</f>
        <v>SALIDA DE PISTA</v>
      </c>
      <c r="H249" s="64" t="str">
        <f>IFERROR(__xludf.DUMMYFUNCTION("""COMPUTED_VALUE"""),"DESPRENDIMIENTO DE CONTENEDOR")</f>
        <v>DESPRENDIMIENTO DE CONTENEDOR</v>
      </c>
      <c r="I249" s="64" t="str">
        <f>IFERROR(__xludf.DUMMYFUNCTION("""COMPUTED_VALUE"""),"CAÍDA DE CARGA")</f>
        <v>CAÍDA DE CARGA</v>
      </c>
      <c r="J249" s="64" t="str">
        <f>IFERROR(__xludf.DUMMYFUNCTION("""COMPUTED_VALUE"""),"CHOQUE")</f>
        <v>CHOQUE</v>
      </c>
      <c r="K249" s="64" t="str">
        <f>IFERROR(__xludf.DUMMYFUNCTION("""COMPUTED_VALUE"""),"COLISIÓN")</f>
        <v>COLISIÓN</v>
      </c>
      <c r="L249" s="64" t="str">
        <f>IFERROR(__xludf.DUMMYFUNCTION("""COMPUTED_VALUE"""),"COLISIÓN MÚLTIPLE")</f>
        <v>COLISIÓN MÚLTIPLE</v>
      </c>
      <c r="M249" s="64" t="str">
        <f>IFERROR(__xludf.DUMMYFUNCTION("""COMPUTED_VALUE"""),"DERRAPE")</f>
        <v>DERRAPE</v>
      </c>
      <c r="N249" s="64" t="str">
        <f>IFERROR(__xludf.DUMMYFUNCTION("""COMPUTED_VALUE"""),"VEHÍCULO INCENDIADO")</f>
        <v>VEHÍCULO INCENDIADO</v>
      </c>
      <c r="O249" s="64" t="str">
        <f>IFERROR(__xludf.DUMMYFUNCTION("""COMPUTED_VALUE"""),"VUELCO")</f>
        <v>VUELCO</v>
      </c>
      <c r="P249" s="64" t="str">
        <f>IFERROR(__xludf.DUMMYFUNCTION("""COMPUTED_VALUE"""),"DESPRENDIMIENTO")</f>
        <v>DESPRENDIMIENTO</v>
      </c>
      <c r="Q249" s="64" t="str">
        <f>IFERROR(__xludf.DUMMYFUNCTION("""COMPUTED_VALUE"""),"CAÍDA DE ÁRBOL")</f>
        <v>CAÍDA DE ÁRBOL</v>
      </c>
      <c r="R249" s="64" t="str">
        <f>IFERROR(__xludf.DUMMYFUNCTION("""COMPUTED_VALUE"""),"DESPRENDIMIENTO DE EJE")</f>
        <v>DESPRENDIMIENTO DE EJE</v>
      </c>
      <c r="S249" s="64" t="str">
        <f>IFERROR(__xludf.DUMMYFUNCTION("""COMPUTED_VALUE"""),"PERSONA ATROPELLADA")</f>
        <v>PERSONA ATROPELLADA</v>
      </c>
    </row>
    <row r="250">
      <c r="B250" s="64" t="s">
        <v>38</v>
      </c>
      <c r="C250" s="64" t="str">
        <f>IFERROR(__xludf.DUMMYFUNCTION(" TRANSPOSE( unique ( QUERY(DATOPRO,""select Col2 where Col1 = '""&amp;B250&amp;""'"")))"),"ATAQUE ARMADO")</f>
        <v>ATAQUE ARMADO</v>
      </c>
      <c r="D250" s="64" t="str">
        <f>IFERROR(__xludf.DUMMYFUNCTION("""COMPUTED_VALUE"""),"DESBALANCE DE CARGA")</f>
        <v>DESBALANCE DE CARGA</v>
      </c>
      <c r="E250" s="64" t="str">
        <f>IFERROR(__xludf.DUMMYFUNCTION("""COMPUTED_VALUE"""),"PERSONA FALLECIDA")</f>
        <v>PERSONA FALLECIDA</v>
      </c>
      <c r="F250" s="64" t="str">
        <f>IFERROR(__xludf.DUMMYFUNCTION("""COMPUTED_VALUE"""),"DESPRENDIMIENTO DE NEUMATICO")</f>
        <v>DESPRENDIMIENTO DE NEUMATICO</v>
      </c>
      <c r="G250" s="64" t="str">
        <f>IFERROR(__xludf.DUMMYFUNCTION("""COMPUTED_VALUE"""),"SALIDA DE PISTA")</f>
        <v>SALIDA DE PISTA</v>
      </c>
      <c r="H250" s="64" t="str">
        <f>IFERROR(__xludf.DUMMYFUNCTION("""COMPUTED_VALUE"""),"DESPRENDIMIENTO DE CONTENEDOR")</f>
        <v>DESPRENDIMIENTO DE CONTENEDOR</v>
      </c>
      <c r="I250" s="64" t="str">
        <f>IFERROR(__xludf.DUMMYFUNCTION("""COMPUTED_VALUE"""),"CAÍDA DE CARGA")</f>
        <v>CAÍDA DE CARGA</v>
      </c>
      <c r="J250" s="64" t="str">
        <f>IFERROR(__xludf.DUMMYFUNCTION("""COMPUTED_VALUE"""),"CHOQUE")</f>
        <v>CHOQUE</v>
      </c>
      <c r="K250" s="64" t="str">
        <f>IFERROR(__xludf.DUMMYFUNCTION("""COMPUTED_VALUE"""),"COLISIÓN")</f>
        <v>COLISIÓN</v>
      </c>
      <c r="L250" s="64" t="str">
        <f>IFERROR(__xludf.DUMMYFUNCTION("""COMPUTED_VALUE"""),"COLISIÓN MÚLTIPLE")</f>
        <v>COLISIÓN MÚLTIPLE</v>
      </c>
      <c r="M250" s="64" t="str">
        <f>IFERROR(__xludf.DUMMYFUNCTION("""COMPUTED_VALUE"""),"DERRAPE")</f>
        <v>DERRAPE</v>
      </c>
      <c r="N250" s="64" t="str">
        <f>IFERROR(__xludf.DUMMYFUNCTION("""COMPUTED_VALUE"""),"VEHÍCULO INCENDIADO")</f>
        <v>VEHÍCULO INCENDIADO</v>
      </c>
      <c r="O250" s="64" t="str">
        <f>IFERROR(__xludf.DUMMYFUNCTION("""COMPUTED_VALUE"""),"VUELCO")</f>
        <v>VUELCO</v>
      </c>
      <c r="P250" s="64" t="str">
        <f>IFERROR(__xludf.DUMMYFUNCTION("""COMPUTED_VALUE"""),"DESPRENDIMIENTO")</f>
        <v>DESPRENDIMIENTO</v>
      </c>
      <c r="Q250" s="64" t="str">
        <f>IFERROR(__xludf.DUMMYFUNCTION("""COMPUTED_VALUE"""),"CAÍDA DE ÁRBOL")</f>
        <v>CAÍDA DE ÁRBOL</v>
      </c>
      <c r="R250" s="64" t="str">
        <f>IFERROR(__xludf.DUMMYFUNCTION("""COMPUTED_VALUE"""),"DESPRENDIMIENTO DE EJE")</f>
        <v>DESPRENDIMIENTO DE EJE</v>
      </c>
      <c r="S250" s="64" t="str">
        <f>IFERROR(__xludf.DUMMYFUNCTION("""COMPUTED_VALUE"""),"PERSONA ATROPELLADA")</f>
        <v>PERSONA ATROPELLADA</v>
      </c>
    </row>
    <row r="251">
      <c r="B251" s="64" t="s">
        <v>38</v>
      </c>
      <c r="C251" s="64" t="str">
        <f>IFERROR(__xludf.DUMMYFUNCTION(" TRANSPOSE( unique ( QUERY(DATOPRO,""select Col2 where Col1 = '""&amp;B251&amp;""'"")))"),"ATAQUE ARMADO")</f>
        <v>ATAQUE ARMADO</v>
      </c>
      <c r="D251" s="64" t="str">
        <f>IFERROR(__xludf.DUMMYFUNCTION("""COMPUTED_VALUE"""),"DESBALANCE DE CARGA")</f>
        <v>DESBALANCE DE CARGA</v>
      </c>
      <c r="E251" s="64" t="str">
        <f>IFERROR(__xludf.DUMMYFUNCTION("""COMPUTED_VALUE"""),"PERSONA FALLECIDA")</f>
        <v>PERSONA FALLECIDA</v>
      </c>
      <c r="F251" s="64" t="str">
        <f>IFERROR(__xludf.DUMMYFUNCTION("""COMPUTED_VALUE"""),"DESPRENDIMIENTO DE NEUMATICO")</f>
        <v>DESPRENDIMIENTO DE NEUMATICO</v>
      </c>
      <c r="G251" s="64" t="str">
        <f>IFERROR(__xludf.DUMMYFUNCTION("""COMPUTED_VALUE"""),"SALIDA DE PISTA")</f>
        <v>SALIDA DE PISTA</v>
      </c>
      <c r="H251" s="64" t="str">
        <f>IFERROR(__xludf.DUMMYFUNCTION("""COMPUTED_VALUE"""),"DESPRENDIMIENTO DE CONTENEDOR")</f>
        <v>DESPRENDIMIENTO DE CONTENEDOR</v>
      </c>
      <c r="I251" s="64" t="str">
        <f>IFERROR(__xludf.DUMMYFUNCTION("""COMPUTED_VALUE"""),"CAÍDA DE CARGA")</f>
        <v>CAÍDA DE CARGA</v>
      </c>
      <c r="J251" s="64" t="str">
        <f>IFERROR(__xludf.DUMMYFUNCTION("""COMPUTED_VALUE"""),"CHOQUE")</f>
        <v>CHOQUE</v>
      </c>
      <c r="K251" s="64" t="str">
        <f>IFERROR(__xludf.DUMMYFUNCTION("""COMPUTED_VALUE"""),"COLISIÓN")</f>
        <v>COLISIÓN</v>
      </c>
      <c r="L251" s="64" t="str">
        <f>IFERROR(__xludf.DUMMYFUNCTION("""COMPUTED_VALUE"""),"COLISIÓN MÚLTIPLE")</f>
        <v>COLISIÓN MÚLTIPLE</v>
      </c>
      <c r="M251" s="64" t="str">
        <f>IFERROR(__xludf.DUMMYFUNCTION("""COMPUTED_VALUE"""),"DERRAPE")</f>
        <v>DERRAPE</v>
      </c>
      <c r="N251" s="64" t="str">
        <f>IFERROR(__xludf.DUMMYFUNCTION("""COMPUTED_VALUE"""),"VEHÍCULO INCENDIADO")</f>
        <v>VEHÍCULO INCENDIADO</v>
      </c>
      <c r="O251" s="64" t="str">
        <f>IFERROR(__xludf.DUMMYFUNCTION("""COMPUTED_VALUE"""),"VUELCO")</f>
        <v>VUELCO</v>
      </c>
      <c r="P251" s="64" t="str">
        <f>IFERROR(__xludf.DUMMYFUNCTION("""COMPUTED_VALUE"""),"DESPRENDIMIENTO")</f>
        <v>DESPRENDIMIENTO</v>
      </c>
      <c r="Q251" s="64" t="str">
        <f>IFERROR(__xludf.DUMMYFUNCTION("""COMPUTED_VALUE"""),"CAÍDA DE ÁRBOL")</f>
        <v>CAÍDA DE ÁRBOL</v>
      </c>
      <c r="R251" s="64" t="str">
        <f>IFERROR(__xludf.DUMMYFUNCTION("""COMPUTED_VALUE"""),"DESPRENDIMIENTO DE EJE")</f>
        <v>DESPRENDIMIENTO DE EJE</v>
      </c>
      <c r="S251" s="64" t="str">
        <f>IFERROR(__xludf.DUMMYFUNCTION("""COMPUTED_VALUE"""),"PERSONA ATROPELLADA")</f>
        <v>PERSONA ATROPELLADA</v>
      </c>
    </row>
    <row r="252">
      <c r="B252" s="64" t="s">
        <v>54</v>
      </c>
      <c r="C252" s="64" t="str">
        <f>IFERROR(__xludf.DUMMYFUNCTION(" TRANSPOSE( unique ( QUERY(DATOPRO,""select Col2 where Col1 = '""&amp;B252&amp;""'"")))"),"PINCHAZO")</f>
        <v>PINCHAZO</v>
      </c>
      <c r="D252" s="64" t="str">
        <f>IFERROR(__xludf.DUMMYFUNCTION("""COMPUTED_VALUE"""),"TRABAJOS DE CARRETERA")</f>
        <v>TRABAJOS DE CARRETERA</v>
      </c>
      <c r="E252" s="64" t="str">
        <f>IFERROR(__xludf.DUMMYFUNCTION("""COMPUTED_VALUE"""),"CONSIGNACIÓN")</f>
        <v>CONSIGNACIÓN</v>
      </c>
      <c r="F252" s="64" t="str">
        <f>IFERROR(__xludf.DUMMYFUNCTION("""COMPUTED_VALUE"""),"DERRAME")</f>
        <v>DERRAME</v>
      </c>
      <c r="G252" s="64" t="str">
        <f>IFERROR(__xludf.DUMMYFUNCTION("""COMPUTED_VALUE"""),"CALENTAMIENTO")</f>
        <v>CALENTAMIENTO</v>
      </c>
      <c r="H252" s="64" t="str">
        <f>IFERROR(__xludf.DUMMYFUNCTION("""COMPUTED_VALUE"""),"ESCOLTANDO")</f>
        <v>ESCOLTANDO</v>
      </c>
      <c r="I252" s="64" t="str">
        <f>IFERROR(__xludf.DUMMYFUNCTION("""COMPUTED_VALUE"""),"FALTA DE COMBUSTIBLE")</f>
        <v>FALTA DE COMBUSTIBLE</v>
      </c>
      <c r="J252" s="64" t="str">
        <f>IFERROR(__xludf.DUMMYFUNCTION("""COMPUTED_VALUE"""),"DESPERFECTOS MECÁNICOS")</f>
        <v>DESPERFECTOS MECÁNICOS</v>
      </c>
      <c r="K252" s="64" t="str">
        <f>IFERROR(__xludf.DUMMYFUNCTION("""COMPUTED_VALUE"""),"LLAMADA DE ATENCIÓN")</f>
        <v>LLAMADA DE ATENCIÓN</v>
      </c>
      <c r="L252" s="64" t="str">
        <f>IFERROR(__xludf.DUMMYFUNCTION("""COMPUTED_VALUE"""),"OPERATIVOS")</f>
        <v>OPERATIVOS</v>
      </c>
      <c r="M252" s="64" t="str">
        <f>IFERROR(__xludf.DUMMYFUNCTION("""COMPUTED_VALUE"""),"SANCIÓN")</f>
        <v>SANCIÓN</v>
      </c>
      <c r="N252" s="64" t="str">
        <f>IFERROR(__xludf.DUMMYFUNCTION("""COMPUTED_VALUE"""),"SISTEMA ELECTRICO")</f>
        <v>SISTEMA ELECTRICO</v>
      </c>
      <c r="O252" s="64" t="str">
        <f>IFERROR(__xludf.DUMMYFUNCTION("""COMPUTED_VALUE"""),"ASISTENCIA AL USUARIO")</f>
        <v>ASISTENCIA AL USUARIO</v>
      </c>
      <c r="P252" s="64" t="str">
        <f>IFERROR(__xludf.DUMMYFUNCTION("""COMPUTED_VALUE"""),"DOBLE REMOLQUE")</f>
        <v>DOBLE REMOLQUE</v>
      </c>
      <c r="Q252" s="64" t="str">
        <f>IFERROR(__xludf.DUMMYFUNCTION("""COMPUTED_VALUE"""),"SINAPRESE")</f>
        <v>SINAPRESE</v>
      </c>
      <c r="R252" s="64" t="str">
        <f>IFERROR(__xludf.DUMMYFUNCTION("""COMPUTED_VALUE"""),"APOYO ATLETISMO")</f>
        <v>APOYO ATLETISMO</v>
      </c>
      <c r="S252" s="64" t="str">
        <f>IFERROR(__xludf.DUMMYFUNCTION("""COMPUTED_VALUE"""),"APOYO A CICLISMO")</f>
        <v>APOYO A CICLISMO</v>
      </c>
      <c r="T252" s="64" t="str">
        <f>IFERROR(__xludf.DUMMYFUNCTION("""COMPUTED_VALUE"""),"DESCARGA DE BATERÍA")</f>
        <v>DESCARGA DE BATERÍA</v>
      </c>
      <c r="U252" s="64" t="str">
        <f>IFERROR(__xludf.DUMMYFUNCTION("""COMPUTED_VALUE"""),"PROBLEMAS DE SALUD")</f>
        <v>PROBLEMAS DE SALUD</v>
      </c>
      <c r="V252" s="64" t="str">
        <f>IFERROR(__xludf.DUMMYFUNCTION("""COMPUTED_VALUE"""),"OLVIDO LA LLAVE")</f>
        <v>OLVIDO LA LLAVE</v>
      </c>
      <c r="W252" s="64" t="str">
        <f>IFERROR(__xludf.DUMMYFUNCTION("""COMPUTED_VALUE"""),"CARGA SOBREDIMENSIONADA")</f>
        <v>CARGA SOBREDIMENSIONADA</v>
      </c>
      <c r="X252" s="64" t="str">
        <f>IFERROR(__xludf.DUMMYFUNCTION("""COMPUTED_VALUE"""),"VEHÍCULO ABANDONADO")</f>
        <v>VEHÍCULO ABANDONADO</v>
      </c>
      <c r="Y252" s="64" t="str">
        <f>IFERROR(__xludf.DUMMYFUNCTION("""COMPUTED_VALUE"""),"DESPRENDIMIENTO")</f>
        <v>DESPRENDIMIENTO</v>
      </c>
      <c r="Z252" s="64" t="str">
        <f>IFERROR(__xludf.DUMMYFUNCTION("""COMPUTED_VALUE"""),"CAÍDA DE POSTE")</f>
        <v>CAÍDA DE POSTE</v>
      </c>
      <c r="AA252" s="64" t="str">
        <f>IFERROR(__xludf.DUMMYFUNCTION("""COMPUTED_VALUE"""),"CAÍDA DE RAMA")</f>
        <v>CAÍDA DE RAMA</v>
      </c>
      <c r="AB252" s="64" t="str">
        <f>IFERROR(__xludf.DUMMYFUNCTION("""COMPUTED_VALUE"""),"OPERATIVO DGT")</f>
        <v>OPERATIVO DGT</v>
      </c>
      <c r="AC252" s="64" t="str">
        <f>IFERROR(__xludf.DUMMYFUNCTION("""COMPUTED_VALUE"""),"OPERATIVO PMT")</f>
        <v>OPERATIVO PMT</v>
      </c>
      <c r="AD252" s="64" t="str">
        <f>IFERROR(__xludf.DUMMYFUNCTION("""COMPUTED_VALUE"""),"APOYO A DIGEF")</f>
        <v>APOYO A DIGEF</v>
      </c>
      <c r="AE252" s="64" t="str">
        <f>IFERROR(__xludf.DUMMYFUNCTION("""COMPUTED_VALUE"""),"OPERATIVO PNC TRANSITO")</f>
        <v>OPERATIVO PNC TRANSITO</v>
      </c>
      <c r="AF252" s="64" t="str">
        <f>IFERROR(__xludf.DUMMYFUNCTION("""COMPUTED_VALUE"""),"SOBRECARGA ")</f>
        <v>SOBRECARGA </v>
      </c>
      <c r="AG252" s="64" t="str">
        <f>IFERROR(__xludf.DUMMYFUNCTION("""COMPUTED_VALUE"""),"OPERATIVO EN CONJUNTO")</f>
        <v>OPERATIVO EN CONJUNTO</v>
      </c>
      <c r="AH252" s="64" t="str">
        <f>IFERROR(__xludf.DUMMYFUNCTION("""COMPUTED_VALUE"""),"PUESTO DE ATENCION AL USUARIO")</f>
        <v>PUESTO DE ATENCION AL USUARIO</v>
      </c>
      <c r="AI252" s="64" t="str">
        <f>IFERROR(__xludf.DUMMYFUNCTION("""COMPUTED_VALUE"""),"INCENDIO EN RUTA")</f>
        <v>INCENDIO EN RUTA</v>
      </c>
      <c r="AJ252" s="64" t="str">
        <f>IFERROR(__xludf.DUMMYFUNCTION("""COMPUTED_VALUE"""),"APOYO ANTORCHA ")</f>
        <v>APOYO ANTORCHA </v>
      </c>
    </row>
    <row r="253">
      <c r="B253" s="64" t="s">
        <v>38</v>
      </c>
      <c r="C253" s="64" t="str">
        <f>IFERROR(__xludf.DUMMYFUNCTION(" TRANSPOSE( unique ( QUERY(DATOPRO,""select Col2 where Col1 = '""&amp;B253&amp;""'"")))"),"ATAQUE ARMADO")</f>
        <v>ATAQUE ARMADO</v>
      </c>
      <c r="D253" s="64" t="str">
        <f>IFERROR(__xludf.DUMMYFUNCTION("""COMPUTED_VALUE"""),"DESBALANCE DE CARGA")</f>
        <v>DESBALANCE DE CARGA</v>
      </c>
      <c r="E253" s="64" t="str">
        <f>IFERROR(__xludf.DUMMYFUNCTION("""COMPUTED_VALUE"""),"PERSONA FALLECIDA")</f>
        <v>PERSONA FALLECIDA</v>
      </c>
      <c r="F253" s="64" t="str">
        <f>IFERROR(__xludf.DUMMYFUNCTION("""COMPUTED_VALUE"""),"DESPRENDIMIENTO DE NEUMATICO")</f>
        <v>DESPRENDIMIENTO DE NEUMATICO</v>
      </c>
      <c r="G253" s="64" t="str">
        <f>IFERROR(__xludf.DUMMYFUNCTION("""COMPUTED_VALUE"""),"SALIDA DE PISTA")</f>
        <v>SALIDA DE PISTA</v>
      </c>
      <c r="H253" s="64" t="str">
        <f>IFERROR(__xludf.DUMMYFUNCTION("""COMPUTED_VALUE"""),"DESPRENDIMIENTO DE CONTENEDOR")</f>
        <v>DESPRENDIMIENTO DE CONTENEDOR</v>
      </c>
      <c r="I253" s="64" t="str">
        <f>IFERROR(__xludf.DUMMYFUNCTION("""COMPUTED_VALUE"""),"CAÍDA DE CARGA")</f>
        <v>CAÍDA DE CARGA</v>
      </c>
      <c r="J253" s="64" t="str">
        <f>IFERROR(__xludf.DUMMYFUNCTION("""COMPUTED_VALUE"""),"CHOQUE")</f>
        <v>CHOQUE</v>
      </c>
      <c r="K253" s="64" t="str">
        <f>IFERROR(__xludf.DUMMYFUNCTION("""COMPUTED_VALUE"""),"COLISIÓN")</f>
        <v>COLISIÓN</v>
      </c>
      <c r="L253" s="64" t="str">
        <f>IFERROR(__xludf.DUMMYFUNCTION("""COMPUTED_VALUE"""),"COLISIÓN MÚLTIPLE")</f>
        <v>COLISIÓN MÚLTIPLE</v>
      </c>
      <c r="M253" s="64" t="str">
        <f>IFERROR(__xludf.DUMMYFUNCTION("""COMPUTED_VALUE"""),"DERRAPE")</f>
        <v>DERRAPE</v>
      </c>
      <c r="N253" s="64" t="str">
        <f>IFERROR(__xludf.DUMMYFUNCTION("""COMPUTED_VALUE"""),"VEHÍCULO INCENDIADO")</f>
        <v>VEHÍCULO INCENDIADO</v>
      </c>
      <c r="O253" s="64" t="str">
        <f>IFERROR(__xludf.DUMMYFUNCTION("""COMPUTED_VALUE"""),"VUELCO")</f>
        <v>VUELCO</v>
      </c>
      <c r="P253" s="64" t="str">
        <f>IFERROR(__xludf.DUMMYFUNCTION("""COMPUTED_VALUE"""),"DESPRENDIMIENTO")</f>
        <v>DESPRENDIMIENTO</v>
      </c>
      <c r="Q253" s="64" t="str">
        <f>IFERROR(__xludf.DUMMYFUNCTION("""COMPUTED_VALUE"""),"CAÍDA DE ÁRBOL")</f>
        <v>CAÍDA DE ÁRBOL</v>
      </c>
      <c r="R253" s="64" t="str">
        <f>IFERROR(__xludf.DUMMYFUNCTION("""COMPUTED_VALUE"""),"DESPRENDIMIENTO DE EJE")</f>
        <v>DESPRENDIMIENTO DE EJE</v>
      </c>
      <c r="S253" s="64" t="str">
        <f>IFERROR(__xludf.DUMMYFUNCTION("""COMPUTED_VALUE"""),"PERSONA ATROPELLADA")</f>
        <v>PERSONA ATROPELLADA</v>
      </c>
    </row>
    <row r="254">
      <c r="B254" s="64" t="s">
        <v>54</v>
      </c>
      <c r="C254" s="64" t="str">
        <f>IFERROR(__xludf.DUMMYFUNCTION(" TRANSPOSE( unique ( QUERY(DATOPRO,""select Col2 where Col1 = '""&amp;B254&amp;""'"")))"),"PINCHAZO")</f>
        <v>PINCHAZO</v>
      </c>
      <c r="D254" s="64" t="str">
        <f>IFERROR(__xludf.DUMMYFUNCTION("""COMPUTED_VALUE"""),"TRABAJOS DE CARRETERA")</f>
        <v>TRABAJOS DE CARRETERA</v>
      </c>
      <c r="E254" s="64" t="str">
        <f>IFERROR(__xludf.DUMMYFUNCTION("""COMPUTED_VALUE"""),"CONSIGNACIÓN")</f>
        <v>CONSIGNACIÓN</v>
      </c>
      <c r="F254" s="64" t="str">
        <f>IFERROR(__xludf.DUMMYFUNCTION("""COMPUTED_VALUE"""),"DERRAME")</f>
        <v>DERRAME</v>
      </c>
      <c r="G254" s="64" t="str">
        <f>IFERROR(__xludf.DUMMYFUNCTION("""COMPUTED_VALUE"""),"CALENTAMIENTO")</f>
        <v>CALENTAMIENTO</v>
      </c>
      <c r="H254" s="64" t="str">
        <f>IFERROR(__xludf.DUMMYFUNCTION("""COMPUTED_VALUE"""),"ESCOLTANDO")</f>
        <v>ESCOLTANDO</v>
      </c>
      <c r="I254" s="64" t="str">
        <f>IFERROR(__xludf.DUMMYFUNCTION("""COMPUTED_VALUE"""),"FALTA DE COMBUSTIBLE")</f>
        <v>FALTA DE COMBUSTIBLE</v>
      </c>
      <c r="J254" s="64" t="str">
        <f>IFERROR(__xludf.DUMMYFUNCTION("""COMPUTED_VALUE"""),"DESPERFECTOS MECÁNICOS")</f>
        <v>DESPERFECTOS MECÁNICOS</v>
      </c>
      <c r="K254" s="64" t="str">
        <f>IFERROR(__xludf.DUMMYFUNCTION("""COMPUTED_VALUE"""),"LLAMADA DE ATENCIÓN")</f>
        <v>LLAMADA DE ATENCIÓN</v>
      </c>
      <c r="L254" s="64" t="str">
        <f>IFERROR(__xludf.DUMMYFUNCTION("""COMPUTED_VALUE"""),"OPERATIVOS")</f>
        <v>OPERATIVOS</v>
      </c>
      <c r="M254" s="64" t="str">
        <f>IFERROR(__xludf.DUMMYFUNCTION("""COMPUTED_VALUE"""),"SANCIÓN")</f>
        <v>SANCIÓN</v>
      </c>
      <c r="N254" s="64" t="str">
        <f>IFERROR(__xludf.DUMMYFUNCTION("""COMPUTED_VALUE"""),"SISTEMA ELECTRICO")</f>
        <v>SISTEMA ELECTRICO</v>
      </c>
      <c r="O254" s="64" t="str">
        <f>IFERROR(__xludf.DUMMYFUNCTION("""COMPUTED_VALUE"""),"ASISTENCIA AL USUARIO")</f>
        <v>ASISTENCIA AL USUARIO</v>
      </c>
      <c r="P254" s="64" t="str">
        <f>IFERROR(__xludf.DUMMYFUNCTION("""COMPUTED_VALUE"""),"DOBLE REMOLQUE")</f>
        <v>DOBLE REMOLQUE</v>
      </c>
      <c r="Q254" s="64" t="str">
        <f>IFERROR(__xludf.DUMMYFUNCTION("""COMPUTED_VALUE"""),"SINAPRESE")</f>
        <v>SINAPRESE</v>
      </c>
      <c r="R254" s="64" t="str">
        <f>IFERROR(__xludf.DUMMYFUNCTION("""COMPUTED_VALUE"""),"APOYO ATLETISMO")</f>
        <v>APOYO ATLETISMO</v>
      </c>
      <c r="S254" s="64" t="str">
        <f>IFERROR(__xludf.DUMMYFUNCTION("""COMPUTED_VALUE"""),"APOYO A CICLISMO")</f>
        <v>APOYO A CICLISMO</v>
      </c>
      <c r="T254" s="64" t="str">
        <f>IFERROR(__xludf.DUMMYFUNCTION("""COMPUTED_VALUE"""),"DESCARGA DE BATERÍA")</f>
        <v>DESCARGA DE BATERÍA</v>
      </c>
      <c r="U254" s="64" t="str">
        <f>IFERROR(__xludf.DUMMYFUNCTION("""COMPUTED_VALUE"""),"PROBLEMAS DE SALUD")</f>
        <v>PROBLEMAS DE SALUD</v>
      </c>
      <c r="V254" s="64" t="str">
        <f>IFERROR(__xludf.DUMMYFUNCTION("""COMPUTED_VALUE"""),"OLVIDO LA LLAVE")</f>
        <v>OLVIDO LA LLAVE</v>
      </c>
      <c r="W254" s="64" t="str">
        <f>IFERROR(__xludf.DUMMYFUNCTION("""COMPUTED_VALUE"""),"CARGA SOBREDIMENSIONADA")</f>
        <v>CARGA SOBREDIMENSIONADA</v>
      </c>
      <c r="X254" s="64" t="str">
        <f>IFERROR(__xludf.DUMMYFUNCTION("""COMPUTED_VALUE"""),"VEHÍCULO ABANDONADO")</f>
        <v>VEHÍCULO ABANDONADO</v>
      </c>
      <c r="Y254" s="64" t="str">
        <f>IFERROR(__xludf.DUMMYFUNCTION("""COMPUTED_VALUE"""),"DESPRENDIMIENTO")</f>
        <v>DESPRENDIMIENTO</v>
      </c>
      <c r="Z254" s="64" t="str">
        <f>IFERROR(__xludf.DUMMYFUNCTION("""COMPUTED_VALUE"""),"CAÍDA DE POSTE")</f>
        <v>CAÍDA DE POSTE</v>
      </c>
      <c r="AA254" s="64" t="str">
        <f>IFERROR(__xludf.DUMMYFUNCTION("""COMPUTED_VALUE"""),"CAÍDA DE RAMA")</f>
        <v>CAÍDA DE RAMA</v>
      </c>
      <c r="AB254" s="64" t="str">
        <f>IFERROR(__xludf.DUMMYFUNCTION("""COMPUTED_VALUE"""),"OPERATIVO DGT")</f>
        <v>OPERATIVO DGT</v>
      </c>
      <c r="AC254" s="64" t="str">
        <f>IFERROR(__xludf.DUMMYFUNCTION("""COMPUTED_VALUE"""),"OPERATIVO PMT")</f>
        <v>OPERATIVO PMT</v>
      </c>
      <c r="AD254" s="64" t="str">
        <f>IFERROR(__xludf.DUMMYFUNCTION("""COMPUTED_VALUE"""),"APOYO A DIGEF")</f>
        <v>APOYO A DIGEF</v>
      </c>
      <c r="AE254" s="64" t="str">
        <f>IFERROR(__xludf.DUMMYFUNCTION("""COMPUTED_VALUE"""),"OPERATIVO PNC TRANSITO")</f>
        <v>OPERATIVO PNC TRANSITO</v>
      </c>
      <c r="AF254" s="64" t="str">
        <f>IFERROR(__xludf.DUMMYFUNCTION("""COMPUTED_VALUE"""),"SOBRECARGA ")</f>
        <v>SOBRECARGA </v>
      </c>
      <c r="AG254" s="64" t="str">
        <f>IFERROR(__xludf.DUMMYFUNCTION("""COMPUTED_VALUE"""),"OPERATIVO EN CONJUNTO")</f>
        <v>OPERATIVO EN CONJUNTO</v>
      </c>
      <c r="AH254" s="64" t="str">
        <f>IFERROR(__xludf.DUMMYFUNCTION("""COMPUTED_VALUE"""),"PUESTO DE ATENCION AL USUARIO")</f>
        <v>PUESTO DE ATENCION AL USUARIO</v>
      </c>
      <c r="AI254" s="64" t="str">
        <f>IFERROR(__xludf.DUMMYFUNCTION("""COMPUTED_VALUE"""),"INCENDIO EN RUTA")</f>
        <v>INCENDIO EN RUTA</v>
      </c>
      <c r="AJ254" s="64" t="str">
        <f>IFERROR(__xludf.DUMMYFUNCTION("""COMPUTED_VALUE"""),"APOYO ANTORCHA ")</f>
        <v>APOYO ANTORCHA </v>
      </c>
    </row>
    <row r="255">
      <c r="B255" s="64" t="s">
        <v>38</v>
      </c>
      <c r="C255" s="64" t="str">
        <f>IFERROR(__xludf.DUMMYFUNCTION(" TRANSPOSE( unique ( QUERY(DATOPRO,""select Col2 where Col1 = '""&amp;B255&amp;""'"")))"),"ATAQUE ARMADO")</f>
        <v>ATAQUE ARMADO</v>
      </c>
      <c r="D255" s="64" t="str">
        <f>IFERROR(__xludf.DUMMYFUNCTION("""COMPUTED_VALUE"""),"DESBALANCE DE CARGA")</f>
        <v>DESBALANCE DE CARGA</v>
      </c>
      <c r="E255" s="64" t="str">
        <f>IFERROR(__xludf.DUMMYFUNCTION("""COMPUTED_VALUE"""),"PERSONA FALLECIDA")</f>
        <v>PERSONA FALLECIDA</v>
      </c>
      <c r="F255" s="64" t="str">
        <f>IFERROR(__xludf.DUMMYFUNCTION("""COMPUTED_VALUE"""),"DESPRENDIMIENTO DE NEUMATICO")</f>
        <v>DESPRENDIMIENTO DE NEUMATICO</v>
      </c>
      <c r="G255" s="64" t="str">
        <f>IFERROR(__xludf.DUMMYFUNCTION("""COMPUTED_VALUE"""),"SALIDA DE PISTA")</f>
        <v>SALIDA DE PISTA</v>
      </c>
      <c r="H255" s="64" t="str">
        <f>IFERROR(__xludf.DUMMYFUNCTION("""COMPUTED_VALUE"""),"DESPRENDIMIENTO DE CONTENEDOR")</f>
        <v>DESPRENDIMIENTO DE CONTENEDOR</v>
      </c>
      <c r="I255" s="64" t="str">
        <f>IFERROR(__xludf.DUMMYFUNCTION("""COMPUTED_VALUE"""),"CAÍDA DE CARGA")</f>
        <v>CAÍDA DE CARGA</v>
      </c>
      <c r="J255" s="64" t="str">
        <f>IFERROR(__xludf.DUMMYFUNCTION("""COMPUTED_VALUE"""),"CHOQUE")</f>
        <v>CHOQUE</v>
      </c>
      <c r="K255" s="64" t="str">
        <f>IFERROR(__xludf.DUMMYFUNCTION("""COMPUTED_VALUE"""),"COLISIÓN")</f>
        <v>COLISIÓN</v>
      </c>
      <c r="L255" s="64" t="str">
        <f>IFERROR(__xludf.DUMMYFUNCTION("""COMPUTED_VALUE"""),"COLISIÓN MÚLTIPLE")</f>
        <v>COLISIÓN MÚLTIPLE</v>
      </c>
      <c r="M255" s="64" t="str">
        <f>IFERROR(__xludf.DUMMYFUNCTION("""COMPUTED_VALUE"""),"DERRAPE")</f>
        <v>DERRAPE</v>
      </c>
      <c r="N255" s="64" t="str">
        <f>IFERROR(__xludf.DUMMYFUNCTION("""COMPUTED_VALUE"""),"VEHÍCULO INCENDIADO")</f>
        <v>VEHÍCULO INCENDIADO</v>
      </c>
      <c r="O255" s="64" t="str">
        <f>IFERROR(__xludf.DUMMYFUNCTION("""COMPUTED_VALUE"""),"VUELCO")</f>
        <v>VUELCO</v>
      </c>
      <c r="P255" s="64" t="str">
        <f>IFERROR(__xludf.DUMMYFUNCTION("""COMPUTED_VALUE"""),"DESPRENDIMIENTO")</f>
        <v>DESPRENDIMIENTO</v>
      </c>
      <c r="Q255" s="64" t="str">
        <f>IFERROR(__xludf.DUMMYFUNCTION("""COMPUTED_VALUE"""),"CAÍDA DE ÁRBOL")</f>
        <v>CAÍDA DE ÁRBOL</v>
      </c>
      <c r="R255" s="64" t="str">
        <f>IFERROR(__xludf.DUMMYFUNCTION("""COMPUTED_VALUE"""),"DESPRENDIMIENTO DE EJE")</f>
        <v>DESPRENDIMIENTO DE EJE</v>
      </c>
      <c r="S255" s="64" t="str">
        <f>IFERROR(__xludf.DUMMYFUNCTION("""COMPUTED_VALUE"""),"PERSONA ATROPELLADA")</f>
        <v>PERSONA ATROPELLADA</v>
      </c>
    </row>
    <row r="256">
      <c r="B256" s="64" t="s">
        <v>54</v>
      </c>
      <c r="C256" s="64" t="str">
        <f>IFERROR(__xludf.DUMMYFUNCTION(" TRANSPOSE( unique ( QUERY(DATOPRO,""select Col2 where Col1 = '""&amp;B256&amp;""'"")))"),"PINCHAZO")</f>
        <v>PINCHAZO</v>
      </c>
      <c r="D256" s="64" t="str">
        <f>IFERROR(__xludf.DUMMYFUNCTION("""COMPUTED_VALUE"""),"TRABAJOS DE CARRETERA")</f>
        <v>TRABAJOS DE CARRETERA</v>
      </c>
      <c r="E256" s="64" t="str">
        <f>IFERROR(__xludf.DUMMYFUNCTION("""COMPUTED_VALUE"""),"CONSIGNACIÓN")</f>
        <v>CONSIGNACIÓN</v>
      </c>
      <c r="F256" s="64" t="str">
        <f>IFERROR(__xludf.DUMMYFUNCTION("""COMPUTED_VALUE"""),"DERRAME")</f>
        <v>DERRAME</v>
      </c>
      <c r="G256" s="64" t="str">
        <f>IFERROR(__xludf.DUMMYFUNCTION("""COMPUTED_VALUE"""),"CALENTAMIENTO")</f>
        <v>CALENTAMIENTO</v>
      </c>
      <c r="H256" s="64" t="str">
        <f>IFERROR(__xludf.DUMMYFUNCTION("""COMPUTED_VALUE"""),"ESCOLTANDO")</f>
        <v>ESCOLTANDO</v>
      </c>
      <c r="I256" s="64" t="str">
        <f>IFERROR(__xludf.DUMMYFUNCTION("""COMPUTED_VALUE"""),"FALTA DE COMBUSTIBLE")</f>
        <v>FALTA DE COMBUSTIBLE</v>
      </c>
      <c r="J256" s="64" t="str">
        <f>IFERROR(__xludf.DUMMYFUNCTION("""COMPUTED_VALUE"""),"DESPERFECTOS MECÁNICOS")</f>
        <v>DESPERFECTOS MECÁNICOS</v>
      </c>
      <c r="K256" s="64" t="str">
        <f>IFERROR(__xludf.DUMMYFUNCTION("""COMPUTED_VALUE"""),"LLAMADA DE ATENCIÓN")</f>
        <v>LLAMADA DE ATENCIÓN</v>
      </c>
      <c r="L256" s="64" t="str">
        <f>IFERROR(__xludf.DUMMYFUNCTION("""COMPUTED_VALUE"""),"OPERATIVOS")</f>
        <v>OPERATIVOS</v>
      </c>
      <c r="M256" s="64" t="str">
        <f>IFERROR(__xludf.DUMMYFUNCTION("""COMPUTED_VALUE"""),"SANCIÓN")</f>
        <v>SANCIÓN</v>
      </c>
      <c r="N256" s="64" t="str">
        <f>IFERROR(__xludf.DUMMYFUNCTION("""COMPUTED_VALUE"""),"SISTEMA ELECTRICO")</f>
        <v>SISTEMA ELECTRICO</v>
      </c>
      <c r="O256" s="64" t="str">
        <f>IFERROR(__xludf.DUMMYFUNCTION("""COMPUTED_VALUE"""),"ASISTENCIA AL USUARIO")</f>
        <v>ASISTENCIA AL USUARIO</v>
      </c>
      <c r="P256" s="64" t="str">
        <f>IFERROR(__xludf.DUMMYFUNCTION("""COMPUTED_VALUE"""),"DOBLE REMOLQUE")</f>
        <v>DOBLE REMOLQUE</v>
      </c>
      <c r="Q256" s="64" t="str">
        <f>IFERROR(__xludf.DUMMYFUNCTION("""COMPUTED_VALUE"""),"SINAPRESE")</f>
        <v>SINAPRESE</v>
      </c>
      <c r="R256" s="64" t="str">
        <f>IFERROR(__xludf.DUMMYFUNCTION("""COMPUTED_VALUE"""),"APOYO ATLETISMO")</f>
        <v>APOYO ATLETISMO</v>
      </c>
      <c r="S256" s="64" t="str">
        <f>IFERROR(__xludf.DUMMYFUNCTION("""COMPUTED_VALUE"""),"APOYO A CICLISMO")</f>
        <v>APOYO A CICLISMO</v>
      </c>
      <c r="T256" s="64" t="str">
        <f>IFERROR(__xludf.DUMMYFUNCTION("""COMPUTED_VALUE"""),"DESCARGA DE BATERÍA")</f>
        <v>DESCARGA DE BATERÍA</v>
      </c>
      <c r="U256" s="64" t="str">
        <f>IFERROR(__xludf.DUMMYFUNCTION("""COMPUTED_VALUE"""),"PROBLEMAS DE SALUD")</f>
        <v>PROBLEMAS DE SALUD</v>
      </c>
      <c r="V256" s="64" t="str">
        <f>IFERROR(__xludf.DUMMYFUNCTION("""COMPUTED_VALUE"""),"OLVIDO LA LLAVE")</f>
        <v>OLVIDO LA LLAVE</v>
      </c>
      <c r="W256" s="64" t="str">
        <f>IFERROR(__xludf.DUMMYFUNCTION("""COMPUTED_VALUE"""),"CARGA SOBREDIMENSIONADA")</f>
        <v>CARGA SOBREDIMENSIONADA</v>
      </c>
      <c r="X256" s="64" t="str">
        <f>IFERROR(__xludf.DUMMYFUNCTION("""COMPUTED_VALUE"""),"VEHÍCULO ABANDONADO")</f>
        <v>VEHÍCULO ABANDONADO</v>
      </c>
      <c r="Y256" s="64" t="str">
        <f>IFERROR(__xludf.DUMMYFUNCTION("""COMPUTED_VALUE"""),"DESPRENDIMIENTO")</f>
        <v>DESPRENDIMIENTO</v>
      </c>
      <c r="Z256" s="64" t="str">
        <f>IFERROR(__xludf.DUMMYFUNCTION("""COMPUTED_VALUE"""),"CAÍDA DE POSTE")</f>
        <v>CAÍDA DE POSTE</v>
      </c>
      <c r="AA256" s="64" t="str">
        <f>IFERROR(__xludf.DUMMYFUNCTION("""COMPUTED_VALUE"""),"CAÍDA DE RAMA")</f>
        <v>CAÍDA DE RAMA</v>
      </c>
      <c r="AB256" s="64" t="str">
        <f>IFERROR(__xludf.DUMMYFUNCTION("""COMPUTED_VALUE"""),"OPERATIVO DGT")</f>
        <v>OPERATIVO DGT</v>
      </c>
      <c r="AC256" s="64" t="str">
        <f>IFERROR(__xludf.DUMMYFUNCTION("""COMPUTED_VALUE"""),"OPERATIVO PMT")</f>
        <v>OPERATIVO PMT</v>
      </c>
      <c r="AD256" s="64" t="str">
        <f>IFERROR(__xludf.DUMMYFUNCTION("""COMPUTED_VALUE"""),"APOYO A DIGEF")</f>
        <v>APOYO A DIGEF</v>
      </c>
      <c r="AE256" s="64" t="str">
        <f>IFERROR(__xludf.DUMMYFUNCTION("""COMPUTED_VALUE"""),"OPERATIVO PNC TRANSITO")</f>
        <v>OPERATIVO PNC TRANSITO</v>
      </c>
      <c r="AF256" s="64" t="str">
        <f>IFERROR(__xludf.DUMMYFUNCTION("""COMPUTED_VALUE"""),"SOBRECARGA ")</f>
        <v>SOBRECARGA </v>
      </c>
      <c r="AG256" s="64" t="str">
        <f>IFERROR(__xludf.DUMMYFUNCTION("""COMPUTED_VALUE"""),"OPERATIVO EN CONJUNTO")</f>
        <v>OPERATIVO EN CONJUNTO</v>
      </c>
      <c r="AH256" s="64" t="str">
        <f>IFERROR(__xludf.DUMMYFUNCTION("""COMPUTED_VALUE"""),"PUESTO DE ATENCION AL USUARIO")</f>
        <v>PUESTO DE ATENCION AL USUARIO</v>
      </c>
      <c r="AI256" s="64" t="str">
        <f>IFERROR(__xludf.DUMMYFUNCTION("""COMPUTED_VALUE"""),"INCENDIO EN RUTA")</f>
        <v>INCENDIO EN RUTA</v>
      </c>
      <c r="AJ256" s="64" t="str">
        <f>IFERROR(__xludf.DUMMYFUNCTION("""COMPUTED_VALUE"""),"APOYO ANTORCHA ")</f>
        <v>APOYO ANTORCHA </v>
      </c>
    </row>
    <row r="257">
      <c r="B257" s="64" t="s">
        <v>38</v>
      </c>
      <c r="C257" s="64" t="str">
        <f>IFERROR(__xludf.DUMMYFUNCTION(" TRANSPOSE( unique ( QUERY(DATOPRO,""select Col2 where Col1 = '""&amp;B257&amp;""'"")))"),"ATAQUE ARMADO")</f>
        <v>ATAQUE ARMADO</v>
      </c>
      <c r="D257" s="64" t="str">
        <f>IFERROR(__xludf.DUMMYFUNCTION("""COMPUTED_VALUE"""),"DESBALANCE DE CARGA")</f>
        <v>DESBALANCE DE CARGA</v>
      </c>
      <c r="E257" s="64" t="str">
        <f>IFERROR(__xludf.DUMMYFUNCTION("""COMPUTED_VALUE"""),"PERSONA FALLECIDA")</f>
        <v>PERSONA FALLECIDA</v>
      </c>
      <c r="F257" s="64" t="str">
        <f>IFERROR(__xludf.DUMMYFUNCTION("""COMPUTED_VALUE"""),"DESPRENDIMIENTO DE NEUMATICO")</f>
        <v>DESPRENDIMIENTO DE NEUMATICO</v>
      </c>
      <c r="G257" s="64" t="str">
        <f>IFERROR(__xludf.DUMMYFUNCTION("""COMPUTED_VALUE"""),"SALIDA DE PISTA")</f>
        <v>SALIDA DE PISTA</v>
      </c>
      <c r="H257" s="64" t="str">
        <f>IFERROR(__xludf.DUMMYFUNCTION("""COMPUTED_VALUE"""),"DESPRENDIMIENTO DE CONTENEDOR")</f>
        <v>DESPRENDIMIENTO DE CONTENEDOR</v>
      </c>
      <c r="I257" s="64" t="str">
        <f>IFERROR(__xludf.DUMMYFUNCTION("""COMPUTED_VALUE"""),"CAÍDA DE CARGA")</f>
        <v>CAÍDA DE CARGA</v>
      </c>
      <c r="J257" s="64" t="str">
        <f>IFERROR(__xludf.DUMMYFUNCTION("""COMPUTED_VALUE"""),"CHOQUE")</f>
        <v>CHOQUE</v>
      </c>
      <c r="K257" s="64" t="str">
        <f>IFERROR(__xludf.DUMMYFUNCTION("""COMPUTED_VALUE"""),"COLISIÓN")</f>
        <v>COLISIÓN</v>
      </c>
      <c r="L257" s="64" t="str">
        <f>IFERROR(__xludf.DUMMYFUNCTION("""COMPUTED_VALUE"""),"COLISIÓN MÚLTIPLE")</f>
        <v>COLISIÓN MÚLTIPLE</v>
      </c>
      <c r="M257" s="64" t="str">
        <f>IFERROR(__xludf.DUMMYFUNCTION("""COMPUTED_VALUE"""),"DERRAPE")</f>
        <v>DERRAPE</v>
      </c>
      <c r="N257" s="64" t="str">
        <f>IFERROR(__xludf.DUMMYFUNCTION("""COMPUTED_VALUE"""),"VEHÍCULO INCENDIADO")</f>
        <v>VEHÍCULO INCENDIADO</v>
      </c>
      <c r="O257" s="64" t="str">
        <f>IFERROR(__xludf.DUMMYFUNCTION("""COMPUTED_VALUE"""),"VUELCO")</f>
        <v>VUELCO</v>
      </c>
      <c r="P257" s="64" t="str">
        <f>IFERROR(__xludf.DUMMYFUNCTION("""COMPUTED_VALUE"""),"DESPRENDIMIENTO")</f>
        <v>DESPRENDIMIENTO</v>
      </c>
      <c r="Q257" s="64" t="str">
        <f>IFERROR(__xludf.DUMMYFUNCTION("""COMPUTED_VALUE"""),"CAÍDA DE ÁRBOL")</f>
        <v>CAÍDA DE ÁRBOL</v>
      </c>
      <c r="R257" s="64" t="str">
        <f>IFERROR(__xludf.DUMMYFUNCTION("""COMPUTED_VALUE"""),"DESPRENDIMIENTO DE EJE")</f>
        <v>DESPRENDIMIENTO DE EJE</v>
      </c>
      <c r="S257" s="64" t="str">
        <f>IFERROR(__xludf.DUMMYFUNCTION("""COMPUTED_VALUE"""),"PERSONA ATROPELLADA")</f>
        <v>PERSONA ATROPELLADA</v>
      </c>
    </row>
    <row r="258">
      <c r="B258" s="64" t="s">
        <v>54</v>
      </c>
      <c r="C258" s="64" t="str">
        <f>IFERROR(__xludf.DUMMYFUNCTION(" TRANSPOSE( unique ( QUERY(DATOPRO,""select Col2 where Col1 = '""&amp;B258&amp;""'"")))"),"PINCHAZO")</f>
        <v>PINCHAZO</v>
      </c>
      <c r="D258" s="64" t="str">
        <f>IFERROR(__xludf.DUMMYFUNCTION("""COMPUTED_VALUE"""),"TRABAJOS DE CARRETERA")</f>
        <v>TRABAJOS DE CARRETERA</v>
      </c>
      <c r="E258" s="64" t="str">
        <f>IFERROR(__xludf.DUMMYFUNCTION("""COMPUTED_VALUE"""),"CONSIGNACIÓN")</f>
        <v>CONSIGNACIÓN</v>
      </c>
      <c r="F258" s="64" t="str">
        <f>IFERROR(__xludf.DUMMYFUNCTION("""COMPUTED_VALUE"""),"DERRAME")</f>
        <v>DERRAME</v>
      </c>
      <c r="G258" s="64" t="str">
        <f>IFERROR(__xludf.DUMMYFUNCTION("""COMPUTED_VALUE"""),"CALENTAMIENTO")</f>
        <v>CALENTAMIENTO</v>
      </c>
      <c r="H258" s="64" t="str">
        <f>IFERROR(__xludf.DUMMYFUNCTION("""COMPUTED_VALUE"""),"ESCOLTANDO")</f>
        <v>ESCOLTANDO</v>
      </c>
      <c r="I258" s="64" t="str">
        <f>IFERROR(__xludf.DUMMYFUNCTION("""COMPUTED_VALUE"""),"FALTA DE COMBUSTIBLE")</f>
        <v>FALTA DE COMBUSTIBLE</v>
      </c>
      <c r="J258" s="64" t="str">
        <f>IFERROR(__xludf.DUMMYFUNCTION("""COMPUTED_VALUE"""),"DESPERFECTOS MECÁNICOS")</f>
        <v>DESPERFECTOS MECÁNICOS</v>
      </c>
      <c r="K258" s="64" t="str">
        <f>IFERROR(__xludf.DUMMYFUNCTION("""COMPUTED_VALUE"""),"LLAMADA DE ATENCIÓN")</f>
        <v>LLAMADA DE ATENCIÓN</v>
      </c>
      <c r="L258" s="64" t="str">
        <f>IFERROR(__xludf.DUMMYFUNCTION("""COMPUTED_VALUE"""),"OPERATIVOS")</f>
        <v>OPERATIVOS</v>
      </c>
      <c r="M258" s="64" t="str">
        <f>IFERROR(__xludf.DUMMYFUNCTION("""COMPUTED_VALUE"""),"SANCIÓN")</f>
        <v>SANCIÓN</v>
      </c>
      <c r="N258" s="64" t="str">
        <f>IFERROR(__xludf.DUMMYFUNCTION("""COMPUTED_VALUE"""),"SISTEMA ELECTRICO")</f>
        <v>SISTEMA ELECTRICO</v>
      </c>
      <c r="O258" s="64" t="str">
        <f>IFERROR(__xludf.DUMMYFUNCTION("""COMPUTED_VALUE"""),"ASISTENCIA AL USUARIO")</f>
        <v>ASISTENCIA AL USUARIO</v>
      </c>
      <c r="P258" s="64" t="str">
        <f>IFERROR(__xludf.DUMMYFUNCTION("""COMPUTED_VALUE"""),"DOBLE REMOLQUE")</f>
        <v>DOBLE REMOLQUE</v>
      </c>
      <c r="Q258" s="64" t="str">
        <f>IFERROR(__xludf.DUMMYFUNCTION("""COMPUTED_VALUE"""),"SINAPRESE")</f>
        <v>SINAPRESE</v>
      </c>
      <c r="R258" s="64" t="str">
        <f>IFERROR(__xludf.DUMMYFUNCTION("""COMPUTED_VALUE"""),"APOYO ATLETISMO")</f>
        <v>APOYO ATLETISMO</v>
      </c>
      <c r="S258" s="64" t="str">
        <f>IFERROR(__xludf.DUMMYFUNCTION("""COMPUTED_VALUE"""),"APOYO A CICLISMO")</f>
        <v>APOYO A CICLISMO</v>
      </c>
      <c r="T258" s="64" t="str">
        <f>IFERROR(__xludf.DUMMYFUNCTION("""COMPUTED_VALUE"""),"DESCARGA DE BATERÍA")</f>
        <v>DESCARGA DE BATERÍA</v>
      </c>
      <c r="U258" s="64" t="str">
        <f>IFERROR(__xludf.DUMMYFUNCTION("""COMPUTED_VALUE"""),"PROBLEMAS DE SALUD")</f>
        <v>PROBLEMAS DE SALUD</v>
      </c>
      <c r="V258" s="64" t="str">
        <f>IFERROR(__xludf.DUMMYFUNCTION("""COMPUTED_VALUE"""),"OLVIDO LA LLAVE")</f>
        <v>OLVIDO LA LLAVE</v>
      </c>
      <c r="W258" s="64" t="str">
        <f>IFERROR(__xludf.DUMMYFUNCTION("""COMPUTED_VALUE"""),"CARGA SOBREDIMENSIONADA")</f>
        <v>CARGA SOBREDIMENSIONADA</v>
      </c>
      <c r="X258" s="64" t="str">
        <f>IFERROR(__xludf.DUMMYFUNCTION("""COMPUTED_VALUE"""),"VEHÍCULO ABANDONADO")</f>
        <v>VEHÍCULO ABANDONADO</v>
      </c>
      <c r="Y258" s="64" t="str">
        <f>IFERROR(__xludf.DUMMYFUNCTION("""COMPUTED_VALUE"""),"DESPRENDIMIENTO")</f>
        <v>DESPRENDIMIENTO</v>
      </c>
      <c r="Z258" s="64" t="str">
        <f>IFERROR(__xludf.DUMMYFUNCTION("""COMPUTED_VALUE"""),"CAÍDA DE POSTE")</f>
        <v>CAÍDA DE POSTE</v>
      </c>
      <c r="AA258" s="64" t="str">
        <f>IFERROR(__xludf.DUMMYFUNCTION("""COMPUTED_VALUE"""),"CAÍDA DE RAMA")</f>
        <v>CAÍDA DE RAMA</v>
      </c>
      <c r="AB258" s="64" t="str">
        <f>IFERROR(__xludf.DUMMYFUNCTION("""COMPUTED_VALUE"""),"OPERATIVO DGT")</f>
        <v>OPERATIVO DGT</v>
      </c>
      <c r="AC258" s="64" t="str">
        <f>IFERROR(__xludf.DUMMYFUNCTION("""COMPUTED_VALUE"""),"OPERATIVO PMT")</f>
        <v>OPERATIVO PMT</v>
      </c>
      <c r="AD258" s="64" t="str">
        <f>IFERROR(__xludf.DUMMYFUNCTION("""COMPUTED_VALUE"""),"APOYO A DIGEF")</f>
        <v>APOYO A DIGEF</v>
      </c>
      <c r="AE258" s="64" t="str">
        <f>IFERROR(__xludf.DUMMYFUNCTION("""COMPUTED_VALUE"""),"OPERATIVO PNC TRANSITO")</f>
        <v>OPERATIVO PNC TRANSITO</v>
      </c>
      <c r="AF258" s="64" t="str">
        <f>IFERROR(__xludf.DUMMYFUNCTION("""COMPUTED_VALUE"""),"SOBRECARGA ")</f>
        <v>SOBRECARGA </v>
      </c>
      <c r="AG258" s="64" t="str">
        <f>IFERROR(__xludf.DUMMYFUNCTION("""COMPUTED_VALUE"""),"OPERATIVO EN CONJUNTO")</f>
        <v>OPERATIVO EN CONJUNTO</v>
      </c>
      <c r="AH258" s="64" t="str">
        <f>IFERROR(__xludf.DUMMYFUNCTION("""COMPUTED_VALUE"""),"PUESTO DE ATENCION AL USUARIO")</f>
        <v>PUESTO DE ATENCION AL USUARIO</v>
      </c>
      <c r="AI258" s="64" t="str">
        <f>IFERROR(__xludf.DUMMYFUNCTION("""COMPUTED_VALUE"""),"INCENDIO EN RUTA")</f>
        <v>INCENDIO EN RUTA</v>
      </c>
      <c r="AJ258" s="64" t="str">
        <f>IFERROR(__xludf.DUMMYFUNCTION("""COMPUTED_VALUE"""),"APOYO ANTORCHA ")</f>
        <v>APOYO ANTORCHA </v>
      </c>
    </row>
    <row r="259">
      <c r="B259" s="64" t="s">
        <v>54</v>
      </c>
      <c r="C259" s="64" t="str">
        <f>IFERROR(__xludf.DUMMYFUNCTION(" TRANSPOSE( unique ( QUERY(DATOPRO,""select Col2 where Col1 = '""&amp;B259&amp;""'"")))"),"PINCHAZO")</f>
        <v>PINCHAZO</v>
      </c>
      <c r="D259" s="64" t="str">
        <f>IFERROR(__xludf.DUMMYFUNCTION("""COMPUTED_VALUE"""),"TRABAJOS DE CARRETERA")</f>
        <v>TRABAJOS DE CARRETERA</v>
      </c>
      <c r="E259" s="64" t="str">
        <f>IFERROR(__xludf.DUMMYFUNCTION("""COMPUTED_VALUE"""),"CONSIGNACIÓN")</f>
        <v>CONSIGNACIÓN</v>
      </c>
      <c r="F259" s="64" t="str">
        <f>IFERROR(__xludf.DUMMYFUNCTION("""COMPUTED_VALUE"""),"DERRAME")</f>
        <v>DERRAME</v>
      </c>
      <c r="G259" s="64" t="str">
        <f>IFERROR(__xludf.DUMMYFUNCTION("""COMPUTED_VALUE"""),"CALENTAMIENTO")</f>
        <v>CALENTAMIENTO</v>
      </c>
      <c r="H259" s="64" t="str">
        <f>IFERROR(__xludf.DUMMYFUNCTION("""COMPUTED_VALUE"""),"ESCOLTANDO")</f>
        <v>ESCOLTANDO</v>
      </c>
      <c r="I259" s="64" t="str">
        <f>IFERROR(__xludf.DUMMYFUNCTION("""COMPUTED_VALUE"""),"FALTA DE COMBUSTIBLE")</f>
        <v>FALTA DE COMBUSTIBLE</v>
      </c>
      <c r="J259" s="64" t="str">
        <f>IFERROR(__xludf.DUMMYFUNCTION("""COMPUTED_VALUE"""),"DESPERFECTOS MECÁNICOS")</f>
        <v>DESPERFECTOS MECÁNICOS</v>
      </c>
      <c r="K259" s="64" t="str">
        <f>IFERROR(__xludf.DUMMYFUNCTION("""COMPUTED_VALUE"""),"LLAMADA DE ATENCIÓN")</f>
        <v>LLAMADA DE ATENCIÓN</v>
      </c>
      <c r="L259" s="64" t="str">
        <f>IFERROR(__xludf.DUMMYFUNCTION("""COMPUTED_VALUE"""),"OPERATIVOS")</f>
        <v>OPERATIVOS</v>
      </c>
      <c r="M259" s="64" t="str">
        <f>IFERROR(__xludf.DUMMYFUNCTION("""COMPUTED_VALUE"""),"SANCIÓN")</f>
        <v>SANCIÓN</v>
      </c>
      <c r="N259" s="64" t="str">
        <f>IFERROR(__xludf.DUMMYFUNCTION("""COMPUTED_VALUE"""),"SISTEMA ELECTRICO")</f>
        <v>SISTEMA ELECTRICO</v>
      </c>
      <c r="O259" s="64" t="str">
        <f>IFERROR(__xludf.DUMMYFUNCTION("""COMPUTED_VALUE"""),"ASISTENCIA AL USUARIO")</f>
        <v>ASISTENCIA AL USUARIO</v>
      </c>
      <c r="P259" s="64" t="str">
        <f>IFERROR(__xludf.DUMMYFUNCTION("""COMPUTED_VALUE"""),"DOBLE REMOLQUE")</f>
        <v>DOBLE REMOLQUE</v>
      </c>
      <c r="Q259" s="64" t="str">
        <f>IFERROR(__xludf.DUMMYFUNCTION("""COMPUTED_VALUE"""),"SINAPRESE")</f>
        <v>SINAPRESE</v>
      </c>
      <c r="R259" s="64" t="str">
        <f>IFERROR(__xludf.DUMMYFUNCTION("""COMPUTED_VALUE"""),"APOYO ATLETISMO")</f>
        <v>APOYO ATLETISMO</v>
      </c>
      <c r="S259" s="64" t="str">
        <f>IFERROR(__xludf.DUMMYFUNCTION("""COMPUTED_VALUE"""),"APOYO A CICLISMO")</f>
        <v>APOYO A CICLISMO</v>
      </c>
      <c r="T259" s="64" t="str">
        <f>IFERROR(__xludf.DUMMYFUNCTION("""COMPUTED_VALUE"""),"DESCARGA DE BATERÍA")</f>
        <v>DESCARGA DE BATERÍA</v>
      </c>
      <c r="U259" s="64" t="str">
        <f>IFERROR(__xludf.DUMMYFUNCTION("""COMPUTED_VALUE"""),"PROBLEMAS DE SALUD")</f>
        <v>PROBLEMAS DE SALUD</v>
      </c>
      <c r="V259" s="64" t="str">
        <f>IFERROR(__xludf.DUMMYFUNCTION("""COMPUTED_VALUE"""),"OLVIDO LA LLAVE")</f>
        <v>OLVIDO LA LLAVE</v>
      </c>
      <c r="W259" s="64" t="str">
        <f>IFERROR(__xludf.DUMMYFUNCTION("""COMPUTED_VALUE"""),"CARGA SOBREDIMENSIONADA")</f>
        <v>CARGA SOBREDIMENSIONADA</v>
      </c>
      <c r="X259" s="64" t="str">
        <f>IFERROR(__xludf.DUMMYFUNCTION("""COMPUTED_VALUE"""),"VEHÍCULO ABANDONADO")</f>
        <v>VEHÍCULO ABANDONADO</v>
      </c>
      <c r="Y259" s="64" t="str">
        <f>IFERROR(__xludf.DUMMYFUNCTION("""COMPUTED_VALUE"""),"DESPRENDIMIENTO")</f>
        <v>DESPRENDIMIENTO</v>
      </c>
      <c r="Z259" s="64" t="str">
        <f>IFERROR(__xludf.DUMMYFUNCTION("""COMPUTED_VALUE"""),"CAÍDA DE POSTE")</f>
        <v>CAÍDA DE POSTE</v>
      </c>
      <c r="AA259" s="64" t="str">
        <f>IFERROR(__xludf.DUMMYFUNCTION("""COMPUTED_VALUE"""),"CAÍDA DE RAMA")</f>
        <v>CAÍDA DE RAMA</v>
      </c>
      <c r="AB259" s="64" t="str">
        <f>IFERROR(__xludf.DUMMYFUNCTION("""COMPUTED_VALUE"""),"OPERATIVO DGT")</f>
        <v>OPERATIVO DGT</v>
      </c>
      <c r="AC259" s="64" t="str">
        <f>IFERROR(__xludf.DUMMYFUNCTION("""COMPUTED_VALUE"""),"OPERATIVO PMT")</f>
        <v>OPERATIVO PMT</v>
      </c>
      <c r="AD259" s="64" t="str">
        <f>IFERROR(__xludf.DUMMYFUNCTION("""COMPUTED_VALUE"""),"APOYO A DIGEF")</f>
        <v>APOYO A DIGEF</v>
      </c>
      <c r="AE259" s="64" t="str">
        <f>IFERROR(__xludf.DUMMYFUNCTION("""COMPUTED_VALUE"""),"OPERATIVO PNC TRANSITO")</f>
        <v>OPERATIVO PNC TRANSITO</v>
      </c>
      <c r="AF259" s="64" t="str">
        <f>IFERROR(__xludf.DUMMYFUNCTION("""COMPUTED_VALUE"""),"SOBRECARGA ")</f>
        <v>SOBRECARGA </v>
      </c>
      <c r="AG259" s="64" t="str">
        <f>IFERROR(__xludf.DUMMYFUNCTION("""COMPUTED_VALUE"""),"OPERATIVO EN CONJUNTO")</f>
        <v>OPERATIVO EN CONJUNTO</v>
      </c>
      <c r="AH259" s="64" t="str">
        <f>IFERROR(__xludf.DUMMYFUNCTION("""COMPUTED_VALUE"""),"PUESTO DE ATENCION AL USUARIO")</f>
        <v>PUESTO DE ATENCION AL USUARIO</v>
      </c>
      <c r="AI259" s="64" t="str">
        <f>IFERROR(__xludf.DUMMYFUNCTION("""COMPUTED_VALUE"""),"INCENDIO EN RUTA")</f>
        <v>INCENDIO EN RUTA</v>
      </c>
      <c r="AJ259" s="64" t="str">
        <f>IFERROR(__xludf.DUMMYFUNCTION("""COMPUTED_VALUE"""),"APOYO ANTORCHA ")</f>
        <v>APOYO ANTORCHA </v>
      </c>
    </row>
    <row r="260">
      <c r="B260" s="64"/>
      <c r="C260" s="64" t="str">
        <f>IFERROR(__xludf.DUMMYFUNCTION(" TRANSPOSE( unique ( QUERY(DATOPRO,""select Col2 where Col1 = '""&amp;B260&amp;""'"")))"),"")</f>
        <v/>
      </c>
    </row>
    <row r="261">
      <c r="B261" s="64" t="s">
        <v>38</v>
      </c>
      <c r="C261" s="64" t="str">
        <f>IFERROR(__xludf.DUMMYFUNCTION(" TRANSPOSE( unique ( QUERY(DATOPRO,""select Col2 where Col1 = '""&amp;B261&amp;""'"")))"),"ATAQUE ARMADO")</f>
        <v>ATAQUE ARMADO</v>
      </c>
      <c r="D261" s="64" t="str">
        <f>IFERROR(__xludf.DUMMYFUNCTION("""COMPUTED_VALUE"""),"DESBALANCE DE CARGA")</f>
        <v>DESBALANCE DE CARGA</v>
      </c>
      <c r="E261" s="64" t="str">
        <f>IFERROR(__xludf.DUMMYFUNCTION("""COMPUTED_VALUE"""),"PERSONA FALLECIDA")</f>
        <v>PERSONA FALLECIDA</v>
      </c>
      <c r="F261" s="64" t="str">
        <f>IFERROR(__xludf.DUMMYFUNCTION("""COMPUTED_VALUE"""),"DESPRENDIMIENTO DE NEUMATICO")</f>
        <v>DESPRENDIMIENTO DE NEUMATICO</v>
      </c>
      <c r="G261" s="64" t="str">
        <f>IFERROR(__xludf.DUMMYFUNCTION("""COMPUTED_VALUE"""),"SALIDA DE PISTA")</f>
        <v>SALIDA DE PISTA</v>
      </c>
      <c r="H261" s="64" t="str">
        <f>IFERROR(__xludf.DUMMYFUNCTION("""COMPUTED_VALUE"""),"DESPRENDIMIENTO DE CONTENEDOR")</f>
        <v>DESPRENDIMIENTO DE CONTENEDOR</v>
      </c>
      <c r="I261" s="64" t="str">
        <f>IFERROR(__xludf.DUMMYFUNCTION("""COMPUTED_VALUE"""),"CAÍDA DE CARGA")</f>
        <v>CAÍDA DE CARGA</v>
      </c>
      <c r="J261" s="64" t="str">
        <f>IFERROR(__xludf.DUMMYFUNCTION("""COMPUTED_VALUE"""),"CHOQUE")</f>
        <v>CHOQUE</v>
      </c>
      <c r="K261" s="64" t="str">
        <f>IFERROR(__xludf.DUMMYFUNCTION("""COMPUTED_VALUE"""),"COLISIÓN")</f>
        <v>COLISIÓN</v>
      </c>
      <c r="L261" s="64" t="str">
        <f>IFERROR(__xludf.DUMMYFUNCTION("""COMPUTED_VALUE"""),"COLISIÓN MÚLTIPLE")</f>
        <v>COLISIÓN MÚLTIPLE</v>
      </c>
      <c r="M261" s="64" t="str">
        <f>IFERROR(__xludf.DUMMYFUNCTION("""COMPUTED_VALUE"""),"DERRAPE")</f>
        <v>DERRAPE</v>
      </c>
      <c r="N261" s="64" t="str">
        <f>IFERROR(__xludf.DUMMYFUNCTION("""COMPUTED_VALUE"""),"VEHÍCULO INCENDIADO")</f>
        <v>VEHÍCULO INCENDIADO</v>
      </c>
      <c r="O261" s="64" t="str">
        <f>IFERROR(__xludf.DUMMYFUNCTION("""COMPUTED_VALUE"""),"VUELCO")</f>
        <v>VUELCO</v>
      </c>
      <c r="P261" s="64" t="str">
        <f>IFERROR(__xludf.DUMMYFUNCTION("""COMPUTED_VALUE"""),"DESPRENDIMIENTO")</f>
        <v>DESPRENDIMIENTO</v>
      </c>
      <c r="Q261" s="64" t="str">
        <f>IFERROR(__xludf.DUMMYFUNCTION("""COMPUTED_VALUE"""),"CAÍDA DE ÁRBOL")</f>
        <v>CAÍDA DE ÁRBOL</v>
      </c>
      <c r="R261" s="64" t="str">
        <f>IFERROR(__xludf.DUMMYFUNCTION("""COMPUTED_VALUE"""),"DESPRENDIMIENTO DE EJE")</f>
        <v>DESPRENDIMIENTO DE EJE</v>
      </c>
      <c r="S261" s="64" t="str">
        <f>IFERROR(__xludf.DUMMYFUNCTION("""COMPUTED_VALUE"""),"PERSONA ATROPELLADA")</f>
        <v>PERSONA ATROPELLADA</v>
      </c>
    </row>
    <row r="262">
      <c r="B262" s="64" t="s">
        <v>38</v>
      </c>
      <c r="C262" s="64" t="str">
        <f>IFERROR(__xludf.DUMMYFUNCTION(" TRANSPOSE( unique ( QUERY(DATOPRO,""select Col2 where Col1 = '""&amp;B262&amp;""'"")))"),"ATAQUE ARMADO")</f>
        <v>ATAQUE ARMADO</v>
      </c>
      <c r="D262" s="64" t="str">
        <f>IFERROR(__xludf.DUMMYFUNCTION("""COMPUTED_VALUE"""),"DESBALANCE DE CARGA")</f>
        <v>DESBALANCE DE CARGA</v>
      </c>
      <c r="E262" s="64" t="str">
        <f>IFERROR(__xludf.DUMMYFUNCTION("""COMPUTED_VALUE"""),"PERSONA FALLECIDA")</f>
        <v>PERSONA FALLECIDA</v>
      </c>
      <c r="F262" s="64" t="str">
        <f>IFERROR(__xludf.DUMMYFUNCTION("""COMPUTED_VALUE"""),"DESPRENDIMIENTO DE NEUMATICO")</f>
        <v>DESPRENDIMIENTO DE NEUMATICO</v>
      </c>
      <c r="G262" s="64" t="str">
        <f>IFERROR(__xludf.DUMMYFUNCTION("""COMPUTED_VALUE"""),"SALIDA DE PISTA")</f>
        <v>SALIDA DE PISTA</v>
      </c>
      <c r="H262" s="64" t="str">
        <f>IFERROR(__xludf.DUMMYFUNCTION("""COMPUTED_VALUE"""),"DESPRENDIMIENTO DE CONTENEDOR")</f>
        <v>DESPRENDIMIENTO DE CONTENEDOR</v>
      </c>
      <c r="I262" s="64" t="str">
        <f>IFERROR(__xludf.DUMMYFUNCTION("""COMPUTED_VALUE"""),"CAÍDA DE CARGA")</f>
        <v>CAÍDA DE CARGA</v>
      </c>
      <c r="J262" s="64" t="str">
        <f>IFERROR(__xludf.DUMMYFUNCTION("""COMPUTED_VALUE"""),"CHOQUE")</f>
        <v>CHOQUE</v>
      </c>
      <c r="K262" s="64" t="str">
        <f>IFERROR(__xludf.DUMMYFUNCTION("""COMPUTED_VALUE"""),"COLISIÓN")</f>
        <v>COLISIÓN</v>
      </c>
      <c r="L262" s="64" t="str">
        <f>IFERROR(__xludf.DUMMYFUNCTION("""COMPUTED_VALUE"""),"COLISIÓN MÚLTIPLE")</f>
        <v>COLISIÓN MÚLTIPLE</v>
      </c>
      <c r="M262" s="64" t="str">
        <f>IFERROR(__xludf.DUMMYFUNCTION("""COMPUTED_VALUE"""),"DERRAPE")</f>
        <v>DERRAPE</v>
      </c>
      <c r="N262" s="64" t="str">
        <f>IFERROR(__xludf.DUMMYFUNCTION("""COMPUTED_VALUE"""),"VEHÍCULO INCENDIADO")</f>
        <v>VEHÍCULO INCENDIADO</v>
      </c>
      <c r="O262" s="64" t="str">
        <f>IFERROR(__xludf.DUMMYFUNCTION("""COMPUTED_VALUE"""),"VUELCO")</f>
        <v>VUELCO</v>
      </c>
      <c r="P262" s="64" t="str">
        <f>IFERROR(__xludf.DUMMYFUNCTION("""COMPUTED_VALUE"""),"DESPRENDIMIENTO")</f>
        <v>DESPRENDIMIENTO</v>
      </c>
      <c r="Q262" s="64" t="str">
        <f>IFERROR(__xludf.DUMMYFUNCTION("""COMPUTED_VALUE"""),"CAÍDA DE ÁRBOL")</f>
        <v>CAÍDA DE ÁRBOL</v>
      </c>
      <c r="R262" s="64" t="str">
        <f>IFERROR(__xludf.DUMMYFUNCTION("""COMPUTED_VALUE"""),"DESPRENDIMIENTO DE EJE")</f>
        <v>DESPRENDIMIENTO DE EJE</v>
      </c>
      <c r="S262" s="64" t="str">
        <f>IFERROR(__xludf.DUMMYFUNCTION("""COMPUTED_VALUE"""),"PERSONA ATROPELLADA")</f>
        <v>PERSONA ATROPELLADA</v>
      </c>
    </row>
    <row r="263">
      <c r="B263" s="64" t="s">
        <v>38</v>
      </c>
      <c r="C263" s="64" t="str">
        <f>IFERROR(__xludf.DUMMYFUNCTION(" TRANSPOSE( unique ( QUERY(DATOPRO,""select Col2 where Col1 = '""&amp;B263&amp;""'"")))"),"ATAQUE ARMADO")</f>
        <v>ATAQUE ARMADO</v>
      </c>
      <c r="D263" s="64" t="str">
        <f>IFERROR(__xludf.DUMMYFUNCTION("""COMPUTED_VALUE"""),"DESBALANCE DE CARGA")</f>
        <v>DESBALANCE DE CARGA</v>
      </c>
      <c r="E263" s="64" t="str">
        <f>IFERROR(__xludf.DUMMYFUNCTION("""COMPUTED_VALUE"""),"PERSONA FALLECIDA")</f>
        <v>PERSONA FALLECIDA</v>
      </c>
      <c r="F263" s="64" t="str">
        <f>IFERROR(__xludf.DUMMYFUNCTION("""COMPUTED_VALUE"""),"DESPRENDIMIENTO DE NEUMATICO")</f>
        <v>DESPRENDIMIENTO DE NEUMATICO</v>
      </c>
      <c r="G263" s="64" t="str">
        <f>IFERROR(__xludf.DUMMYFUNCTION("""COMPUTED_VALUE"""),"SALIDA DE PISTA")</f>
        <v>SALIDA DE PISTA</v>
      </c>
      <c r="H263" s="64" t="str">
        <f>IFERROR(__xludf.DUMMYFUNCTION("""COMPUTED_VALUE"""),"DESPRENDIMIENTO DE CONTENEDOR")</f>
        <v>DESPRENDIMIENTO DE CONTENEDOR</v>
      </c>
      <c r="I263" s="64" t="str">
        <f>IFERROR(__xludf.DUMMYFUNCTION("""COMPUTED_VALUE"""),"CAÍDA DE CARGA")</f>
        <v>CAÍDA DE CARGA</v>
      </c>
      <c r="J263" s="64" t="str">
        <f>IFERROR(__xludf.DUMMYFUNCTION("""COMPUTED_VALUE"""),"CHOQUE")</f>
        <v>CHOQUE</v>
      </c>
      <c r="K263" s="64" t="str">
        <f>IFERROR(__xludf.DUMMYFUNCTION("""COMPUTED_VALUE"""),"COLISIÓN")</f>
        <v>COLISIÓN</v>
      </c>
      <c r="L263" s="64" t="str">
        <f>IFERROR(__xludf.DUMMYFUNCTION("""COMPUTED_VALUE"""),"COLISIÓN MÚLTIPLE")</f>
        <v>COLISIÓN MÚLTIPLE</v>
      </c>
      <c r="M263" s="64" t="str">
        <f>IFERROR(__xludf.DUMMYFUNCTION("""COMPUTED_VALUE"""),"DERRAPE")</f>
        <v>DERRAPE</v>
      </c>
      <c r="N263" s="64" t="str">
        <f>IFERROR(__xludf.DUMMYFUNCTION("""COMPUTED_VALUE"""),"VEHÍCULO INCENDIADO")</f>
        <v>VEHÍCULO INCENDIADO</v>
      </c>
      <c r="O263" s="64" t="str">
        <f>IFERROR(__xludf.DUMMYFUNCTION("""COMPUTED_VALUE"""),"VUELCO")</f>
        <v>VUELCO</v>
      </c>
      <c r="P263" s="64" t="str">
        <f>IFERROR(__xludf.DUMMYFUNCTION("""COMPUTED_VALUE"""),"DESPRENDIMIENTO")</f>
        <v>DESPRENDIMIENTO</v>
      </c>
      <c r="Q263" s="64" t="str">
        <f>IFERROR(__xludf.DUMMYFUNCTION("""COMPUTED_VALUE"""),"CAÍDA DE ÁRBOL")</f>
        <v>CAÍDA DE ÁRBOL</v>
      </c>
      <c r="R263" s="64" t="str">
        <f>IFERROR(__xludf.DUMMYFUNCTION("""COMPUTED_VALUE"""),"DESPRENDIMIENTO DE EJE")</f>
        <v>DESPRENDIMIENTO DE EJE</v>
      </c>
      <c r="S263" s="64" t="str">
        <f>IFERROR(__xludf.DUMMYFUNCTION("""COMPUTED_VALUE"""),"PERSONA ATROPELLADA")</f>
        <v>PERSONA ATROPELLADA</v>
      </c>
    </row>
    <row r="264">
      <c r="B264" s="64" t="s">
        <v>38</v>
      </c>
      <c r="C264" s="64" t="str">
        <f>IFERROR(__xludf.DUMMYFUNCTION(" TRANSPOSE( unique ( QUERY(DATOPRO,""select Col2 where Col1 = '""&amp;B264&amp;""'"")))"),"ATAQUE ARMADO")</f>
        <v>ATAQUE ARMADO</v>
      </c>
      <c r="D264" s="64" t="str">
        <f>IFERROR(__xludf.DUMMYFUNCTION("""COMPUTED_VALUE"""),"DESBALANCE DE CARGA")</f>
        <v>DESBALANCE DE CARGA</v>
      </c>
      <c r="E264" s="64" t="str">
        <f>IFERROR(__xludf.DUMMYFUNCTION("""COMPUTED_VALUE"""),"PERSONA FALLECIDA")</f>
        <v>PERSONA FALLECIDA</v>
      </c>
      <c r="F264" s="64" t="str">
        <f>IFERROR(__xludf.DUMMYFUNCTION("""COMPUTED_VALUE"""),"DESPRENDIMIENTO DE NEUMATICO")</f>
        <v>DESPRENDIMIENTO DE NEUMATICO</v>
      </c>
      <c r="G264" s="64" t="str">
        <f>IFERROR(__xludf.DUMMYFUNCTION("""COMPUTED_VALUE"""),"SALIDA DE PISTA")</f>
        <v>SALIDA DE PISTA</v>
      </c>
      <c r="H264" s="64" t="str">
        <f>IFERROR(__xludf.DUMMYFUNCTION("""COMPUTED_VALUE"""),"DESPRENDIMIENTO DE CONTENEDOR")</f>
        <v>DESPRENDIMIENTO DE CONTENEDOR</v>
      </c>
      <c r="I264" s="64" t="str">
        <f>IFERROR(__xludf.DUMMYFUNCTION("""COMPUTED_VALUE"""),"CAÍDA DE CARGA")</f>
        <v>CAÍDA DE CARGA</v>
      </c>
      <c r="J264" s="64" t="str">
        <f>IFERROR(__xludf.DUMMYFUNCTION("""COMPUTED_VALUE"""),"CHOQUE")</f>
        <v>CHOQUE</v>
      </c>
      <c r="K264" s="64" t="str">
        <f>IFERROR(__xludf.DUMMYFUNCTION("""COMPUTED_VALUE"""),"COLISIÓN")</f>
        <v>COLISIÓN</v>
      </c>
      <c r="L264" s="64" t="str">
        <f>IFERROR(__xludf.DUMMYFUNCTION("""COMPUTED_VALUE"""),"COLISIÓN MÚLTIPLE")</f>
        <v>COLISIÓN MÚLTIPLE</v>
      </c>
      <c r="M264" s="64" t="str">
        <f>IFERROR(__xludf.DUMMYFUNCTION("""COMPUTED_VALUE"""),"DERRAPE")</f>
        <v>DERRAPE</v>
      </c>
      <c r="N264" s="64" t="str">
        <f>IFERROR(__xludf.DUMMYFUNCTION("""COMPUTED_VALUE"""),"VEHÍCULO INCENDIADO")</f>
        <v>VEHÍCULO INCENDIADO</v>
      </c>
      <c r="O264" s="64" t="str">
        <f>IFERROR(__xludf.DUMMYFUNCTION("""COMPUTED_VALUE"""),"VUELCO")</f>
        <v>VUELCO</v>
      </c>
      <c r="P264" s="64" t="str">
        <f>IFERROR(__xludf.DUMMYFUNCTION("""COMPUTED_VALUE"""),"DESPRENDIMIENTO")</f>
        <v>DESPRENDIMIENTO</v>
      </c>
      <c r="Q264" s="64" t="str">
        <f>IFERROR(__xludf.DUMMYFUNCTION("""COMPUTED_VALUE"""),"CAÍDA DE ÁRBOL")</f>
        <v>CAÍDA DE ÁRBOL</v>
      </c>
      <c r="R264" s="64" t="str">
        <f>IFERROR(__xludf.DUMMYFUNCTION("""COMPUTED_VALUE"""),"DESPRENDIMIENTO DE EJE")</f>
        <v>DESPRENDIMIENTO DE EJE</v>
      </c>
      <c r="S264" s="64" t="str">
        <f>IFERROR(__xludf.DUMMYFUNCTION("""COMPUTED_VALUE"""),"PERSONA ATROPELLADA")</f>
        <v>PERSONA ATROPELLADA</v>
      </c>
    </row>
    <row r="265">
      <c r="B265" s="64" t="s">
        <v>54</v>
      </c>
      <c r="C265" s="64" t="str">
        <f>IFERROR(__xludf.DUMMYFUNCTION(" TRANSPOSE( unique ( QUERY(DATOPRO,""select Col2 where Col1 = '""&amp;B265&amp;""'"")))"),"PINCHAZO")</f>
        <v>PINCHAZO</v>
      </c>
      <c r="D265" s="64" t="str">
        <f>IFERROR(__xludf.DUMMYFUNCTION("""COMPUTED_VALUE"""),"TRABAJOS DE CARRETERA")</f>
        <v>TRABAJOS DE CARRETERA</v>
      </c>
      <c r="E265" s="64" t="str">
        <f>IFERROR(__xludf.DUMMYFUNCTION("""COMPUTED_VALUE"""),"CONSIGNACIÓN")</f>
        <v>CONSIGNACIÓN</v>
      </c>
      <c r="F265" s="64" t="str">
        <f>IFERROR(__xludf.DUMMYFUNCTION("""COMPUTED_VALUE"""),"DERRAME")</f>
        <v>DERRAME</v>
      </c>
      <c r="G265" s="64" t="str">
        <f>IFERROR(__xludf.DUMMYFUNCTION("""COMPUTED_VALUE"""),"CALENTAMIENTO")</f>
        <v>CALENTAMIENTO</v>
      </c>
      <c r="H265" s="64" t="str">
        <f>IFERROR(__xludf.DUMMYFUNCTION("""COMPUTED_VALUE"""),"ESCOLTANDO")</f>
        <v>ESCOLTANDO</v>
      </c>
      <c r="I265" s="64" t="str">
        <f>IFERROR(__xludf.DUMMYFUNCTION("""COMPUTED_VALUE"""),"FALTA DE COMBUSTIBLE")</f>
        <v>FALTA DE COMBUSTIBLE</v>
      </c>
      <c r="J265" s="64" t="str">
        <f>IFERROR(__xludf.DUMMYFUNCTION("""COMPUTED_VALUE"""),"DESPERFECTOS MECÁNICOS")</f>
        <v>DESPERFECTOS MECÁNICOS</v>
      </c>
      <c r="K265" s="64" t="str">
        <f>IFERROR(__xludf.DUMMYFUNCTION("""COMPUTED_VALUE"""),"LLAMADA DE ATENCIÓN")</f>
        <v>LLAMADA DE ATENCIÓN</v>
      </c>
      <c r="L265" s="64" t="str">
        <f>IFERROR(__xludf.DUMMYFUNCTION("""COMPUTED_VALUE"""),"OPERATIVOS")</f>
        <v>OPERATIVOS</v>
      </c>
      <c r="M265" s="64" t="str">
        <f>IFERROR(__xludf.DUMMYFUNCTION("""COMPUTED_VALUE"""),"SANCIÓN")</f>
        <v>SANCIÓN</v>
      </c>
      <c r="N265" s="64" t="str">
        <f>IFERROR(__xludf.DUMMYFUNCTION("""COMPUTED_VALUE"""),"SISTEMA ELECTRICO")</f>
        <v>SISTEMA ELECTRICO</v>
      </c>
      <c r="O265" s="64" t="str">
        <f>IFERROR(__xludf.DUMMYFUNCTION("""COMPUTED_VALUE"""),"ASISTENCIA AL USUARIO")</f>
        <v>ASISTENCIA AL USUARIO</v>
      </c>
      <c r="P265" s="64" t="str">
        <f>IFERROR(__xludf.DUMMYFUNCTION("""COMPUTED_VALUE"""),"DOBLE REMOLQUE")</f>
        <v>DOBLE REMOLQUE</v>
      </c>
      <c r="Q265" s="64" t="str">
        <f>IFERROR(__xludf.DUMMYFUNCTION("""COMPUTED_VALUE"""),"SINAPRESE")</f>
        <v>SINAPRESE</v>
      </c>
      <c r="R265" s="64" t="str">
        <f>IFERROR(__xludf.DUMMYFUNCTION("""COMPUTED_VALUE"""),"APOYO ATLETISMO")</f>
        <v>APOYO ATLETISMO</v>
      </c>
      <c r="S265" s="64" t="str">
        <f>IFERROR(__xludf.DUMMYFUNCTION("""COMPUTED_VALUE"""),"APOYO A CICLISMO")</f>
        <v>APOYO A CICLISMO</v>
      </c>
      <c r="T265" s="64" t="str">
        <f>IFERROR(__xludf.DUMMYFUNCTION("""COMPUTED_VALUE"""),"DESCARGA DE BATERÍA")</f>
        <v>DESCARGA DE BATERÍA</v>
      </c>
      <c r="U265" s="64" t="str">
        <f>IFERROR(__xludf.DUMMYFUNCTION("""COMPUTED_VALUE"""),"PROBLEMAS DE SALUD")</f>
        <v>PROBLEMAS DE SALUD</v>
      </c>
      <c r="V265" s="64" t="str">
        <f>IFERROR(__xludf.DUMMYFUNCTION("""COMPUTED_VALUE"""),"OLVIDO LA LLAVE")</f>
        <v>OLVIDO LA LLAVE</v>
      </c>
      <c r="W265" s="64" t="str">
        <f>IFERROR(__xludf.DUMMYFUNCTION("""COMPUTED_VALUE"""),"CARGA SOBREDIMENSIONADA")</f>
        <v>CARGA SOBREDIMENSIONADA</v>
      </c>
      <c r="X265" s="64" t="str">
        <f>IFERROR(__xludf.DUMMYFUNCTION("""COMPUTED_VALUE"""),"VEHÍCULO ABANDONADO")</f>
        <v>VEHÍCULO ABANDONADO</v>
      </c>
      <c r="Y265" s="64" t="str">
        <f>IFERROR(__xludf.DUMMYFUNCTION("""COMPUTED_VALUE"""),"DESPRENDIMIENTO")</f>
        <v>DESPRENDIMIENTO</v>
      </c>
      <c r="Z265" s="64" t="str">
        <f>IFERROR(__xludf.DUMMYFUNCTION("""COMPUTED_VALUE"""),"CAÍDA DE POSTE")</f>
        <v>CAÍDA DE POSTE</v>
      </c>
      <c r="AA265" s="64" t="str">
        <f>IFERROR(__xludf.DUMMYFUNCTION("""COMPUTED_VALUE"""),"CAÍDA DE RAMA")</f>
        <v>CAÍDA DE RAMA</v>
      </c>
      <c r="AB265" s="64" t="str">
        <f>IFERROR(__xludf.DUMMYFUNCTION("""COMPUTED_VALUE"""),"OPERATIVO DGT")</f>
        <v>OPERATIVO DGT</v>
      </c>
      <c r="AC265" s="64" t="str">
        <f>IFERROR(__xludf.DUMMYFUNCTION("""COMPUTED_VALUE"""),"OPERATIVO PMT")</f>
        <v>OPERATIVO PMT</v>
      </c>
      <c r="AD265" s="64" t="str">
        <f>IFERROR(__xludf.DUMMYFUNCTION("""COMPUTED_VALUE"""),"APOYO A DIGEF")</f>
        <v>APOYO A DIGEF</v>
      </c>
      <c r="AE265" s="64" t="str">
        <f>IFERROR(__xludf.DUMMYFUNCTION("""COMPUTED_VALUE"""),"OPERATIVO PNC TRANSITO")</f>
        <v>OPERATIVO PNC TRANSITO</v>
      </c>
      <c r="AF265" s="64" t="str">
        <f>IFERROR(__xludf.DUMMYFUNCTION("""COMPUTED_VALUE"""),"SOBRECARGA ")</f>
        <v>SOBRECARGA </v>
      </c>
      <c r="AG265" s="64" t="str">
        <f>IFERROR(__xludf.DUMMYFUNCTION("""COMPUTED_VALUE"""),"OPERATIVO EN CONJUNTO")</f>
        <v>OPERATIVO EN CONJUNTO</v>
      </c>
      <c r="AH265" s="64" t="str">
        <f>IFERROR(__xludf.DUMMYFUNCTION("""COMPUTED_VALUE"""),"PUESTO DE ATENCION AL USUARIO")</f>
        <v>PUESTO DE ATENCION AL USUARIO</v>
      </c>
      <c r="AI265" s="64" t="str">
        <f>IFERROR(__xludf.DUMMYFUNCTION("""COMPUTED_VALUE"""),"INCENDIO EN RUTA")</f>
        <v>INCENDIO EN RUTA</v>
      </c>
      <c r="AJ265" s="64" t="str">
        <f>IFERROR(__xludf.DUMMYFUNCTION("""COMPUTED_VALUE"""),"APOYO ANTORCHA ")</f>
        <v>APOYO ANTORCHA </v>
      </c>
    </row>
    <row r="266">
      <c r="B266" s="64" t="s">
        <v>38</v>
      </c>
      <c r="C266" s="64" t="str">
        <f>IFERROR(__xludf.DUMMYFUNCTION(" TRANSPOSE( unique ( QUERY(DATOPRO,""select Col2 where Col1 = '""&amp;B266&amp;""'"")))"),"ATAQUE ARMADO")</f>
        <v>ATAQUE ARMADO</v>
      </c>
      <c r="D266" s="64" t="str">
        <f>IFERROR(__xludf.DUMMYFUNCTION("""COMPUTED_VALUE"""),"DESBALANCE DE CARGA")</f>
        <v>DESBALANCE DE CARGA</v>
      </c>
      <c r="E266" s="64" t="str">
        <f>IFERROR(__xludf.DUMMYFUNCTION("""COMPUTED_VALUE"""),"PERSONA FALLECIDA")</f>
        <v>PERSONA FALLECIDA</v>
      </c>
      <c r="F266" s="64" t="str">
        <f>IFERROR(__xludf.DUMMYFUNCTION("""COMPUTED_VALUE"""),"DESPRENDIMIENTO DE NEUMATICO")</f>
        <v>DESPRENDIMIENTO DE NEUMATICO</v>
      </c>
      <c r="G266" s="64" t="str">
        <f>IFERROR(__xludf.DUMMYFUNCTION("""COMPUTED_VALUE"""),"SALIDA DE PISTA")</f>
        <v>SALIDA DE PISTA</v>
      </c>
      <c r="H266" s="64" t="str">
        <f>IFERROR(__xludf.DUMMYFUNCTION("""COMPUTED_VALUE"""),"DESPRENDIMIENTO DE CONTENEDOR")</f>
        <v>DESPRENDIMIENTO DE CONTENEDOR</v>
      </c>
      <c r="I266" s="64" t="str">
        <f>IFERROR(__xludf.DUMMYFUNCTION("""COMPUTED_VALUE"""),"CAÍDA DE CARGA")</f>
        <v>CAÍDA DE CARGA</v>
      </c>
      <c r="J266" s="64" t="str">
        <f>IFERROR(__xludf.DUMMYFUNCTION("""COMPUTED_VALUE"""),"CHOQUE")</f>
        <v>CHOQUE</v>
      </c>
      <c r="K266" s="64" t="str">
        <f>IFERROR(__xludf.DUMMYFUNCTION("""COMPUTED_VALUE"""),"COLISIÓN")</f>
        <v>COLISIÓN</v>
      </c>
      <c r="L266" s="64" t="str">
        <f>IFERROR(__xludf.DUMMYFUNCTION("""COMPUTED_VALUE"""),"COLISIÓN MÚLTIPLE")</f>
        <v>COLISIÓN MÚLTIPLE</v>
      </c>
      <c r="M266" s="64" t="str">
        <f>IFERROR(__xludf.DUMMYFUNCTION("""COMPUTED_VALUE"""),"DERRAPE")</f>
        <v>DERRAPE</v>
      </c>
      <c r="N266" s="64" t="str">
        <f>IFERROR(__xludf.DUMMYFUNCTION("""COMPUTED_VALUE"""),"VEHÍCULO INCENDIADO")</f>
        <v>VEHÍCULO INCENDIADO</v>
      </c>
      <c r="O266" s="64" t="str">
        <f>IFERROR(__xludf.DUMMYFUNCTION("""COMPUTED_VALUE"""),"VUELCO")</f>
        <v>VUELCO</v>
      </c>
      <c r="P266" s="64" t="str">
        <f>IFERROR(__xludf.DUMMYFUNCTION("""COMPUTED_VALUE"""),"DESPRENDIMIENTO")</f>
        <v>DESPRENDIMIENTO</v>
      </c>
      <c r="Q266" s="64" t="str">
        <f>IFERROR(__xludf.DUMMYFUNCTION("""COMPUTED_VALUE"""),"CAÍDA DE ÁRBOL")</f>
        <v>CAÍDA DE ÁRBOL</v>
      </c>
      <c r="R266" s="64" t="str">
        <f>IFERROR(__xludf.DUMMYFUNCTION("""COMPUTED_VALUE"""),"DESPRENDIMIENTO DE EJE")</f>
        <v>DESPRENDIMIENTO DE EJE</v>
      </c>
      <c r="S266" s="64" t="str">
        <f>IFERROR(__xludf.DUMMYFUNCTION("""COMPUTED_VALUE"""),"PERSONA ATROPELLADA")</f>
        <v>PERSONA ATROPELLADA</v>
      </c>
    </row>
    <row r="267">
      <c r="B267" s="64" t="s">
        <v>54</v>
      </c>
      <c r="C267" s="64" t="str">
        <f>IFERROR(__xludf.DUMMYFUNCTION(" TRANSPOSE( unique ( QUERY(DATOPRO,""select Col2 where Col1 = '""&amp;B267&amp;""'"")))"),"PINCHAZO")</f>
        <v>PINCHAZO</v>
      </c>
      <c r="D267" s="64" t="str">
        <f>IFERROR(__xludf.DUMMYFUNCTION("""COMPUTED_VALUE"""),"TRABAJOS DE CARRETERA")</f>
        <v>TRABAJOS DE CARRETERA</v>
      </c>
      <c r="E267" s="64" t="str">
        <f>IFERROR(__xludf.DUMMYFUNCTION("""COMPUTED_VALUE"""),"CONSIGNACIÓN")</f>
        <v>CONSIGNACIÓN</v>
      </c>
      <c r="F267" s="64" t="str">
        <f>IFERROR(__xludf.DUMMYFUNCTION("""COMPUTED_VALUE"""),"DERRAME")</f>
        <v>DERRAME</v>
      </c>
      <c r="G267" s="64" t="str">
        <f>IFERROR(__xludf.DUMMYFUNCTION("""COMPUTED_VALUE"""),"CALENTAMIENTO")</f>
        <v>CALENTAMIENTO</v>
      </c>
      <c r="H267" s="64" t="str">
        <f>IFERROR(__xludf.DUMMYFUNCTION("""COMPUTED_VALUE"""),"ESCOLTANDO")</f>
        <v>ESCOLTANDO</v>
      </c>
      <c r="I267" s="64" t="str">
        <f>IFERROR(__xludf.DUMMYFUNCTION("""COMPUTED_VALUE"""),"FALTA DE COMBUSTIBLE")</f>
        <v>FALTA DE COMBUSTIBLE</v>
      </c>
      <c r="J267" s="64" t="str">
        <f>IFERROR(__xludf.DUMMYFUNCTION("""COMPUTED_VALUE"""),"DESPERFECTOS MECÁNICOS")</f>
        <v>DESPERFECTOS MECÁNICOS</v>
      </c>
      <c r="K267" s="64" t="str">
        <f>IFERROR(__xludf.DUMMYFUNCTION("""COMPUTED_VALUE"""),"LLAMADA DE ATENCIÓN")</f>
        <v>LLAMADA DE ATENCIÓN</v>
      </c>
      <c r="L267" s="64" t="str">
        <f>IFERROR(__xludf.DUMMYFUNCTION("""COMPUTED_VALUE"""),"OPERATIVOS")</f>
        <v>OPERATIVOS</v>
      </c>
      <c r="M267" s="64" t="str">
        <f>IFERROR(__xludf.DUMMYFUNCTION("""COMPUTED_VALUE"""),"SANCIÓN")</f>
        <v>SANCIÓN</v>
      </c>
      <c r="N267" s="64" t="str">
        <f>IFERROR(__xludf.DUMMYFUNCTION("""COMPUTED_VALUE"""),"SISTEMA ELECTRICO")</f>
        <v>SISTEMA ELECTRICO</v>
      </c>
      <c r="O267" s="64" t="str">
        <f>IFERROR(__xludf.DUMMYFUNCTION("""COMPUTED_VALUE"""),"ASISTENCIA AL USUARIO")</f>
        <v>ASISTENCIA AL USUARIO</v>
      </c>
      <c r="P267" s="64" t="str">
        <f>IFERROR(__xludf.DUMMYFUNCTION("""COMPUTED_VALUE"""),"DOBLE REMOLQUE")</f>
        <v>DOBLE REMOLQUE</v>
      </c>
      <c r="Q267" s="64" t="str">
        <f>IFERROR(__xludf.DUMMYFUNCTION("""COMPUTED_VALUE"""),"SINAPRESE")</f>
        <v>SINAPRESE</v>
      </c>
      <c r="R267" s="64" t="str">
        <f>IFERROR(__xludf.DUMMYFUNCTION("""COMPUTED_VALUE"""),"APOYO ATLETISMO")</f>
        <v>APOYO ATLETISMO</v>
      </c>
      <c r="S267" s="64" t="str">
        <f>IFERROR(__xludf.DUMMYFUNCTION("""COMPUTED_VALUE"""),"APOYO A CICLISMO")</f>
        <v>APOYO A CICLISMO</v>
      </c>
      <c r="T267" s="64" t="str">
        <f>IFERROR(__xludf.DUMMYFUNCTION("""COMPUTED_VALUE"""),"DESCARGA DE BATERÍA")</f>
        <v>DESCARGA DE BATERÍA</v>
      </c>
      <c r="U267" s="64" t="str">
        <f>IFERROR(__xludf.DUMMYFUNCTION("""COMPUTED_VALUE"""),"PROBLEMAS DE SALUD")</f>
        <v>PROBLEMAS DE SALUD</v>
      </c>
      <c r="V267" s="64" t="str">
        <f>IFERROR(__xludf.DUMMYFUNCTION("""COMPUTED_VALUE"""),"OLVIDO LA LLAVE")</f>
        <v>OLVIDO LA LLAVE</v>
      </c>
      <c r="W267" s="64" t="str">
        <f>IFERROR(__xludf.DUMMYFUNCTION("""COMPUTED_VALUE"""),"CARGA SOBREDIMENSIONADA")</f>
        <v>CARGA SOBREDIMENSIONADA</v>
      </c>
      <c r="X267" s="64" t="str">
        <f>IFERROR(__xludf.DUMMYFUNCTION("""COMPUTED_VALUE"""),"VEHÍCULO ABANDONADO")</f>
        <v>VEHÍCULO ABANDONADO</v>
      </c>
      <c r="Y267" s="64" t="str">
        <f>IFERROR(__xludf.DUMMYFUNCTION("""COMPUTED_VALUE"""),"DESPRENDIMIENTO")</f>
        <v>DESPRENDIMIENTO</v>
      </c>
      <c r="Z267" s="64" t="str">
        <f>IFERROR(__xludf.DUMMYFUNCTION("""COMPUTED_VALUE"""),"CAÍDA DE POSTE")</f>
        <v>CAÍDA DE POSTE</v>
      </c>
      <c r="AA267" s="64" t="str">
        <f>IFERROR(__xludf.DUMMYFUNCTION("""COMPUTED_VALUE"""),"CAÍDA DE RAMA")</f>
        <v>CAÍDA DE RAMA</v>
      </c>
      <c r="AB267" s="64" t="str">
        <f>IFERROR(__xludf.DUMMYFUNCTION("""COMPUTED_VALUE"""),"OPERATIVO DGT")</f>
        <v>OPERATIVO DGT</v>
      </c>
      <c r="AC267" s="64" t="str">
        <f>IFERROR(__xludf.DUMMYFUNCTION("""COMPUTED_VALUE"""),"OPERATIVO PMT")</f>
        <v>OPERATIVO PMT</v>
      </c>
      <c r="AD267" s="64" t="str">
        <f>IFERROR(__xludf.DUMMYFUNCTION("""COMPUTED_VALUE"""),"APOYO A DIGEF")</f>
        <v>APOYO A DIGEF</v>
      </c>
      <c r="AE267" s="64" t="str">
        <f>IFERROR(__xludf.DUMMYFUNCTION("""COMPUTED_VALUE"""),"OPERATIVO PNC TRANSITO")</f>
        <v>OPERATIVO PNC TRANSITO</v>
      </c>
      <c r="AF267" s="64" t="str">
        <f>IFERROR(__xludf.DUMMYFUNCTION("""COMPUTED_VALUE"""),"SOBRECARGA ")</f>
        <v>SOBRECARGA </v>
      </c>
      <c r="AG267" s="64" t="str">
        <f>IFERROR(__xludf.DUMMYFUNCTION("""COMPUTED_VALUE"""),"OPERATIVO EN CONJUNTO")</f>
        <v>OPERATIVO EN CONJUNTO</v>
      </c>
      <c r="AH267" s="64" t="str">
        <f>IFERROR(__xludf.DUMMYFUNCTION("""COMPUTED_VALUE"""),"PUESTO DE ATENCION AL USUARIO")</f>
        <v>PUESTO DE ATENCION AL USUARIO</v>
      </c>
      <c r="AI267" s="64" t="str">
        <f>IFERROR(__xludf.DUMMYFUNCTION("""COMPUTED_VALUE"""),"INCENDIO EN RUTA")</f>
        <v>INCENDIO EN RUTA</v>
      </c>
      <c r="AJ267" s="64" t="str">
        <f>IFERROR(__xludf.DUMMYFUNCTION("""COMPUTED_VALUE"""),"APOYO ANTORCHA ")</f>
        <v>APOYO ANTORCHA </v>
      </c>
    </row>
    <row r="268">
      <c r="B268" s="64" t="s">
        <v>38</v>
      </c>
      <c r="C268" s="64" t="str">
        <f>IFERROR(__xludf.DUMMYFUNCTION(" TRANSPOSE( unique ( QUERY(DATOPRO,""select Col2 where Col1 = '""&amp;B268&amp;""'"")))"),"ATAQUE ARMADO")</f>
        <v>ATAQUE ARMADO</v>
      </c>
      <c r="D268" s="64" t="str">
        <f>IFERROR(__xludf.DUMMYFUNCTION("""COMPUTED_VALUE"""),"DESBALANCE DE CARGA")</f>
        <v>DESBALANCE DE CARGA</v>
      </c>
      <c r="E268" s="64" t="str">
        <f>IFERROR(__xludf.DUMMYFUNCTION("""COMPUTED_VALUE"""),"PERSONA FALLECIDA")</f>
        <v>PERSONA FALLECIDA</v>
      </c>
      <c r="F268" s="64" t="str">
        <f>IFERROR(__xludf.DUMMYFUNCTION("""COMPUTED_VALUE"""),"DESPRENDIMIENTO DE NEUMATICO")</f>
        <v>DESPRENDIMIENTO DE NEUMATICO</v>
      </c>
      <c r="G268" s="64" t="str">
        <f>IFERROR(__xludf.DUMMYFUNCTION("""COMPUTED_VALUE"""),"SALIDA DE PISTA")</f>
        <v>SALIDA DE PISTA</v>
      </c>
      <c r="H268" s="64" t="str">
        <f>IFERROR(__xludf.DUMMYFUNCTION("""COMPUTED_VALUE"""),"DESPRENDIMIENTO DE CONTENEDOR")</f>
        <v>DESPRENDIMIENTO DE CONTENEDOR</v>
      </c>
      <c r="I268" s="64" t="str">
        <f>IFERROR(__xludf.DUMMYFUNCTION("""COMPUTED_VALUE"""),"CAÍDA DE CARGA")</f>
        <v>CAÍDA DE CARGA</v>
      </c>
      <c r="J268" s="64" t="str">
        <f>IFERROR(__xludf.DUMMYFUNCTION("""COMPUTED_VALUE"""),"CHOQUE")</f>
        <v>CHOQUE</v>
      </c>
      <c r="K268" s="64" t="str">
        <f>IFERROR(__xludf.DUMMYFUNCTION("""COMPUTED_VALUE"""),"COLISIÓN")</f>
        <v>COLISIÓN</v>
      </c>
      <c r="L268" s="64" t="str">
        <f>IFERROR(__xludf.DUMMYFUNCTION("""COMPUTED_VALUE"""),"COLISIÓN MÚLTIPLE")</f>
        <v>COLISIÓN MÚLTIPLE</v>
      </c>
      <c r="M268" s="64" t="str">
        <f>IFERROR(__xludf.DUMMYFUNCTION("""COMPUTED_VALUE"""),"DERRAPE")</f>
        <v>DERRAPE</v>
      </c>
      <c r="N268" s="64" t="str">
        <f>IFERROR(__xludf.DUMMYFUNCTION("""COMPUTED_VALUE"""),"VEHÍCULO INCENDIADO")</f>
        <v>VEHÍCULO INCENDIADO</v>
      </c>
      <c r="O268" s="64" t="str">
        <f>IFERROR(__xludf.DUMMYFUNCTION("""COMPUTED_VALUE"""),"VUELCO")</f>
        <v>VUELCO</v>
      </c>
      <c r="P268" s="64" t="str">
        <f>IFERROR(__xludf.DUMMYFUNCTION("""COMPUTED_VALUE"""),"DESPRENDIMIENTO")</f>
        <v>DESPRENDIMIENTO</v>
      </c>
      <c r="Q268" s="64" t="str">
        <f>IFERROR(__xludf.DUMMYFUNCTION("""COMPUTED_VALUE"""),"CAÍDA DE ÁRBOL")</f>
        <v>CAÍDA DE ÁRBOL</v>
      </c>
      <c r="R268" s="64" t="str">
        <f>IFERROR(__xludf.DUMMYFUNCTION("""COMPUTED_VALUE"""),"DESPRENDIMIENTO DE EJE")</f>
        <v>DESPRENDIMIENTO DE EJE</v>
      </c>
      <c r="S268" s="64" t="str">
        <f>IFERROR(__xludf.DUMMYFUNCTION("""COMPUTED_VALUE"""),"PERSONA ATROPELLADA")</f>
        <v>PERSONA ATROPELLADA</v>
      </c>
    </row>
    <row r="269">
      <c r="B269" s="64" t="s">
        <v>54</v>
      </c>
      <c r="C269" s="64" t="str">
        <f>IFERROR(__xludf.DUMMYFUNCTION(" TRANSPOSE( unique ( QUERY(DATOPRO,""select Col2 where Col1 = '""&amp;B269&amp;""'"")))"),"PINCHAZO")</f>
        <v>PINCHAZO</v>
      </c>
      <c r="D269" s="64" t="str">
        <f>IFERROR(__xludf.DUMMYFUNCTION("""COMPUTED_VALUE"""),"TRABAJOS DE CARRETERA")</f>
        <v>TRABAJOS DE CARRETERA</v>
      </c>
      <c r="E269" s="64" t="str">
        <f>IFERROR(__xludf.DUMMYFUNCTION("""COMPUTED_VALUE"""),"CONSIGNACIÓN")</f>
        <v>CONSIGNACIÓN</v>
      </c>
      <c r="F269" s="64" t="str">
        <f>IFERROR(__xludf.DUMMYFUNCTION("""COMPUTED_VALUE"""),"DERRAME")</f>
        <v>DERRAME</v>
      </c>
      <c r="G269" s="64" t="str">
        <f>IFERROR(__xludf.DUMMYFUNCTION("""COMPUTED_VALUE"""),"CALENTAMIENTO")</f>
        <v>CALENTAMIENTO</v>
      </c>
      <c r="H269" s="64" t="str">
        <f>IFERROR(__xludf.DUMMYFUNCTION("""COMPUTED_VALUE"""),"ESCOLTANDO")</f>
        <v>ESCOLTANDO</v>
      </c>
      <c r="I269" s="64" t="str">
        <f>IFERROR(__xludf.DUMMYFUNCTION("""COMPUTED_VALUE"""),"FALTA DE COMBUSTIBLE")</f>
        <v>FALTA DE COMBUSTIBLE</v>
      </c>
      <c r="J269" s="64" t="str">
        <f>IFERROR(__xludf.DUMMYFUNCTION("""COMPUTED_VALUE"""),"DESPERFECTOS MECÁNICOS")</f>
        <v>DESPERFECTOS MECÁNICOS</v>
      </c>
      <c r="K269" s="64" t="str">
        <f>IFERROR(__xludf.DUMMYFUNCTION("""COMPUTED_VALUE"""),"LLAMADA DE ATENCIÓN")</f>
        <v>LLAMADA DE ATENCIÓN</v>
      </c>
      <c r="L269" s="64" t="str">
        <f>IFERROR(__xludf.DUMMYFUNCTION("""COMPUTED_VALUE"""),"OPERATIVOS")</f>
        <v>OPERATIVOS</v>
      </c>
      <c r="M269" s="64" t="str">
        <f>IFERROR(__xludf.DUMMYFUNCTION("""COMPUTED_VALUE"""),"SANCIÓN")</f>
        <v>SANCIÓN</v>
      </c>
      <c r="N269" s="64" t="str">
        <f>IFERROR(__xludf.DUMMYFUNCTION("""COMPUTED_VALUE"""),"SISTEMA ELECTRICO")</f>
        <v>SISTEMA ELECTRICO</v>
      </c>
      <c r="O269" s="64" t="str">
        <f>IFERROR(__xludf.DUMMYFUNCTION("""COMPUTED_VALUE"""),"ASISTENCIA AL USUARIO")</f>
        <v>ASISTENCIA AL USUARIO</v>
      </c>
      <c r="P269" s="64" t="str">
        <f>IFERROR(__xludf.DUMMYFUNCTION("""COMPUTED_VALUE"""),"DOBLE REMOLQUE")</f>
        <v>DOBLE REMOLQUE</v>
      </c>
      <c r="Q269" s="64" t="str">
        <f>IFERROR(__xludf.DUMMYFUNCTION("""COMPUTED_VALUE"""),"SINAPRESE")</f>
        <v>SINAPRESE</v>
      </c>
      <c r="R269" s="64" t="str">
        <f>IFERROR(__xludf.DUMMYFUNCTION("""COMPUTED_VALUE"""),"APOYO ATLETISMO")</f>
        <v>APOYO ATLETISMO</v>
      </c>
      <c r="S269" s="64" t="str">
        <f>IFERROR(__xludf.DUMMYFUNCTION("""COMPUTED_VALUE"""),"APOYO A CICLISMO")</f>
        <v>APOYO A CICLISMO</v>
      </c>
      <c r="T269" s="64" t="str">
        <f>IFERROR(__xludf.DUMMYFUNCTION("""COMPUTED_VALUE"""),"DESCARGA DE BATERÍA")</f>
        <v>DESCARGA DE BATERÍA</v>
      </c>
      <c r="U269" s="64" t="str">
        <f>IFERROR(__xludf.DUMMYFUNCTION("""COMPUTED_VALUE"""),"PROBLEMAS DE SALUD")</f>
        <v>PROBLEMAS DE SALUD</v>
      </c>
      <c r="V269" s="64" t="str">
        <f>IFERROR(__xludf.DUMMYFUNCTION("""COMPUTED_VALUE"""),"OLVIDO LA LLAVE")</f>
        <v>OLVIDO LA LLAVE</v>
      </c>
      <c r="W269" s="64" t="str">
        <f>IFERROR(__xludf.DUMMYFUNCTION("""COMPUTED_VALUE"""),"CARGA SOBREDIMENSIONADA")</f>
        <v>CARGA SOBREDIMENSIONADA</v>
      </c>
      <c r="X269" s="64" t="str">
        <f>IFERROR(__xludf.DUMMYFUNCTION("""COMPUTED_VALUE"""),"VEHÍCULO ABANDONADO")</f>
        <v>VEHÍCULO ABANDONADO</v>
      </c>
      <c r="Y269" s="64" t="str">
        <f>IFERROR(__xludf.DUMMYFUNCTION("""COMPUTED_VALUE"""),"DESPRENDIMIENTO")</f>
        <v>DESPRENDIMIENTO</v>
      </c>
      <c r="Z269" s="64" t="str">
        <f>IFERROR(__xludf.DUMMYFUNCTION("""COMPUTED_VALUE"""),"CAÍDA DE POSTE")</f>
        <v>CAÍDA DE POSTE</v>
      </c>
      <c r="AA269" s="64" t="str">
        <f>IFERROR(__xludf.DUMMYFUNCTION("""COMPUTED_VALUE"""),"CAÍDA DE RAMA")</f>
        <v>CAÍDA DE RAMA</v>
      </c>
      <c r="AB269" s="64" t="str">
        <f>IFERROR(__xludf.DUMMYFUNCTION("""COMPUTED_VALUE"""),"OPERATIVO DGT")</f>
        <v>OPERATIVO DGT</v>
      </c>
      <c r="AC269" s="64" t="str">
        <f>IFERROR(__xludf.DUMMYFUNCTION("""COMPUTED_VALUE"""),"OPERATIVO PMT")</f>
        <v>OPERATIVO PMT</v>
      </c>
      <c r="AD269" s="64" t="str">
        <f>IFERROR(__xludf.DUMMYFUNCTION("""COMPUTED_VALUE"""),"APOYO A DIGEF")</f>
        <v>APOYO A DIGEF</v>
      </c>
      <c r="AE269" s="64" t="str">
        <f>IFERROR(__xludf.DUMMYFUNCTION("""COMPUTED_VALUE"""),"OPERATIVO PNC TRANSITO")</f>
        <v>OPERATIVO PNC TRANSITO</v>
      </c>
      <c r="AF269" s="64" t="str">
        <f>IFERROR(__xludf.DUMMYFUNCTION("""COMPUTED_VALUE"""),"SOBRECARGA ")</f>
        <v>SOBRECARGA </v>
      </c>
      <c r="AG269" s="64" t="str">
        <f>IFERROR(__xludf.DUMMYFUNCTION("""COMPUTED_VALUE"""),"OPERATIVO EN CONJUNTO")</f>
        <v>OPERATIVO EN CONJUNTO</v>
      </c>
      <c r="AH269" s="64" t="str">
        <f>IFERROR(__xludf.DUMMYFUNCTION("""COMPUTED_VALUE"""),"PUESTO DE ATENCION AL USUARIO")</f>
        <v>PUESTO DE ATENCION AL USUARIO</v>
      </c>
      <c r="AI269" s="64" t="str">
        <f>IFERROR(__xludf.DUMMYFUNCTION("""COMPUTED_VALUE"""),"INCENDIO EN RUTA")</f>
        <v>INCENDIO EN RUTA</v>
      </c>
      <c r="AJ269" s="64" t="str">
        <f>IFERROR(__xludf.DUMMYFUNCTION("""COMPUTED_VALUE"""),"APOYO ANTORCHA ")</f>
        <v>APOYO ANTORCHA </v>
      </c>
    </row>
    <row r="270">
      <c r="B270" s="64" t="s">
        <v>54</v>
      </c>
      <c r="C270" s="64" t="str">
        <f>IFERROR(__xludf.DUMMYFUNCTION(" TRANSPOSE( unique ( QUERY(DATOPRO,""select Col2 where Col1 = '""&amp;B270&amp;""'"")))"),"PINCHAZO")</f>
        <v>PINCHAZO</v>
      </c>
      <c r="D270" s="64" t="str">
        <f>IFERROR(__xludf.DUMMYFUNCTION("""COMPUTED_VALUE"""),"TRABAJOS DE CARRETERA")</f>
        <v>TRABAJOS DE CARRETERA</v>
      </c>
      <c r="E270" s="64" t="str">
        <f>IFERROR(__xludf.DUMMYFUNCTION("""COMPUTED_VALUE"""),"CONSIGNACIÓN")</f>
        <v>CONSIGNACIÓN</v>
      </c>
      <c r="F270" s="64" t="str">
        <f>IFERROR(__xludf.DUMMYFUNCTION("""COMPUTED_VALUE"""),"DERRAME")</f>
        <v>DERRAME</v>
      </c>
      <c r="G270" s="64" t="str">
        <f>IFERROR(__xludf.DUMMYFUNCTION("""COMPUTED_VALUE"""),"CALENTAMIENTO")</f>
        <v>CALENTAMIENTO</v>
      </c>
      <c r="H270" s="64" t="str">
        <f>IFERROR(__xludf.DUMMYFUNCTION("""COMPUTED_VALUE"""),"ESCOLTANDO")</f>
        <v>ESCOLTANDO</v>
      </c>
      <c r="I270" s="64" t="str">
        <f>IFERROR(__xludf.DUMMYFUNCTION("""COMPUTED_VALUE"""),"FALTA DE COMBUSTIBLE")</f>
        <v>FALTA DE COMBUSTIBLE</v>
      </c>
      <c r="J270" s="64" t="str">
        <f>IFERROR(__xludf.DUMMYFUNCTION("""COMPUTED_VALUE"""),"DESPERFECTOS MECÁNICOS")</f>
        <v>DESPERFECTOS MECÁNICOS</v>
      </c>
      <c r="K270" s="64" t="str">
        <f>IFERROR(__xludf.DUMMYFUNCTION("""COMPUTED_VALUE"""),"LLAMADA DE ATENCIÓN")</f>
        <v>LLAMADA DE ATENCIÓN</v>
      </c>
      <c r="L270" s="64" t="str">
        <f>IFERROR(__xludf.DUMMYFUNCTION("""COMPUTED_VALUE"""),"OPERATIVOS")</f>
        <v>OPERATIVOS</v>
      </c>
      <c r="M270" s="64" t="str">
        <f>IFERROR(__xludf.DUMMYFUNCTION("""COMPUTED_VALUE"""),"SANCIÓN")</f>
        <v>SANCIÓN</v>
      </c>
      <c r="N270" s="64" t="str">
        <f>IFERROR(__xludf.DUMMYFUNCTION("""COMPUTED_VALUE"""),"SISTEMA ELECTRICO")</f>
        <v>SISTEMA ELECTRICO</v>
      </c>
      <c r="O270" s="64" t="str">
        <f>IFERROR(__xludf.DUMMYFUNCTION("""COMPUTED_VALUE"""),"ASISTENCIA AL USUARIO")</f>
        <v>ASISTENCIA AL USUARIO</v>
      </c>
      <c r="P270" s="64" t="str">
        <f>IFERROR(__xludf.DUMMYFUNCTION("""COMPUTED_VALUE"""),"DOBLE REMOLQUE")</f>
        <v>DOBLE REMOLQUE</v>
      </c>
      <c r="Q270" s="64" t="str">
        <f>IFERROR(__xludf.DUMMYFUNCTION("""COMPUTED_VALUE"""),"SINAPRESE")</f>
        <v>SINAPRESE</v>
      </c>
      <c r="R270" s="64" t="str">
        <f>IFERROR(__xludf.DUMMYFUNCTION("""COMPUTED_VALUE"""),"APOYO ATLETISMO")</f>
        <v>APOYO ATLETISMO</v>
      </c>
      <c r="S270" s="64" t="str">
        <f>IFERROR(__xludf.DUMMYFUNCTION("""COMPUTED_VALUE"""),"APOYO A CICLISMO")</f>
        <v>APOYO A CICLISMO</v>
      </c>
      <c r="T270" s="64" t="str">
        <f>IFERROR(__xludf.DUMMYFUNCTION("""COMPUTED_VALUE"""),"DESCARGA DE BATERÍA")</f>
        <v>DESCARGA DE BATERÍA</v>
      </c>
      <c r="U270" s="64" t="str">
        <f>IFERROR(__xludf.DUMMYFUNCTION("""COMPUTED_VALUE"""),"PROBLEMAS DE SALUD")</f>
        <v>PROBLEMAS DE SALUD</v>
      </c>
      <c r="V270" s="64" t="str">
        <f>IFERROR(__xludf.DUMMYFUNCTION("""COMPUTED_VALUE"""),"OLVIDO LA LLAVE")</f>
        <v>OLVIDO LA LLAVE</v>
      </c>
      <c r="W270" s="64" t="str">
        <f>IFERROR(__xludf.DUMMYFUNCTION("""COMPUTED_VALUE"""),"CARGA SOBREDIMENSIONADA")</f>
        <v>CARGA SOBREDIMENSIONADA</v>
      </c>
      <c r="X270" s="64" t="str">
        <f>IFERROR(__xludf.DUMMYFUNCTION("""COMPUTED_VALUE"""),"VEHÍCULO ABANDONADO")</f>
        <v>VEHÍCULO ABANDONADO</v>
      </c>
      <c r="Y270" s="64" t="str">
        <f>IFERROR(__xludf.DUMMYFUNCTION("""COMPUTED_VALUE"""),"DESPRENDIMIENTO")</f>
        <v>DESPRENDIMIENTO</v>
      </c>
      <c r="Z270" s="64" t="str">
        <f>IFERROR(__xludf.DUMMYFUNCTION("""COMPUTED_VALUE"""),"CAÍDA DE POSTE")</f>
        <v>CAÍDA DE POSTE</v>
      </c>
      <c r="AA270" s="64" t="str">
        <f>IFERROR(__xludf.DUMMYFUNCTION("""COMPUTED_VALUE"""),"CAÍDA DE RAMA")</f>
        <v>CAÍDA DE RAMA</v>
      </c>
      <c r="AB270" s="64" t="str">
        <f>IFERROR(__xludf.DUMMYFUNCTION("""COMPUTED_VALUE"""),"OPERATIVO DGT")</f>
        <v>OPERATIVO DGT</v>
      </c>
      <c r="AC270" s="64" t="str">
        <f>IFERROR(__xludf.DUMMYFUNCTION("""COMPUTED_VALUE"""),"OPERATIVO PMT")</f>
        <v>OPERATIVO PMT</v>
      </c>
      <c r="AD270" s="64" t="str">
        <f>IFERROR(__xludf.DUMMYFUNCTION("""COMPUTED_VALUE"""),"APOYO A DIGEF")</f>
        <v>APOYO A DIGEF</v>
      </c>
      <c r="AE270" s="64" t="str">
        <f>IFERROR(__xludf.DUMMYFUNCTION("""COMPUTED_VALUE"""),"OPERATIVO PNC TRANSITO")</f>
        <v>OPERATIVO PNC TRANSITO</v>
      </c>
      <c r="AF270" s="64" t="str">
        <f>IFERROR(__xludf.DUMMYFUNCTION("""COMPUTED_VALUE"""),"SOBRECARGA ")</f>
        <v>SOBRECARGA </v>
      </c>
      <c r="AG270" s="64" t="str">
        <f>IFERROR(__xludf.DUMMYFUNCTION("""COMPUTED_VALUE"""),"OPERATIVO EN CONJUNTO")</f>
        <v>OPERATIVO EN CONJUNTO</v>
      </c>
      <c r="AH270" s="64" t="str">
        <f>IFERROR(__xludf.DUMMYFUNCTION("""COMPUTED_VALUE"""),"PUESTO DE ATENCION AL USUARIO")</f>
        <v>PUESTO DE ATENCION AL USUARIO</v>
      </c>
      <c r="AI270" s="64" t="str">
        <f>IFERROR(__xludf.DUMMYFUNCTION("""COMPUTED_VALUE"""),"INCENDIO EN RUTA")</f>
        <v>INCENDIO EN RUTA</v>
      </c>
      <c r="AJ270" s="64" t="str">
        <f>IFERROR(__xludf.DUMMYFUNCTION("""COMPUTED_VALUE"""),"APOYO ANTORCHA ")</f>
        <v>APOYO ANTORCHA </v>
      </c>
    </row>
    <row r="271">
      <c r="B271" s="64"/>
      <c r="C271" s="64" t="str">
        <f>IFERROR(__xludf.DUMMYFUNCTION(" TRANSPOSE( unique ( QUERY(DATOPRO,""select Col2 where Col1 = '""&amp;B271&amp;""'"")))"),"")</f>
        <v/>
      </c>
    </row>
    <row r="272">
      <c r="B272" s="64"/>
      <c r="C272" s="64" t="str">
        <f>IFERROR(__xludf.DUMMYFUNCTION(" TRANSPOSE( unique ( QUERY(DATOPRO,""select Col2 where Col1 = '""&amp;B272&amp;""'"")))"),"")</f>
        <v/>
      </c>
    </row>
    <row r="273">
      <c r="B273" s="64" t="s">
        <v>38</v>
      </c>
      <c r="C273" s="64" t="str">
        <f>IFERROR(__xludf.DUMMYFUNCTION(" TRANSPOSE( unique ( QUERY(DATOPRO,""select Col2 where Col1 = '""&amp;B273&amp;""'"")))"),"ATAQUE ARMADO")</f>
        <v>ATAQUE ARMADO</v>
      </c>
      <c r="D273" s="64" t="str">
        <f>IFERROR(__xludf.DUMMYFUNCTION("""COMPUTED_VALUE"""),"DESBALANCE DE CARGA")</f>
        <v>DESBALANCE DE CARGA</v>
      </c>
      <c r="E273" s="64" t="str">
        <f>IFERROR(__xludf.DUMMYFUNCTION("""COMPUTED_VALUE"""),"PERSONA FALLECIDA")</f>
        <v>PERSONA FALLECIDA</v>
      </c>
      <c r="F273" s="64" t="str">
        <f>IFERROR(__xludf.DUMMYFUNCTION("""COMPUTED_VALUE"""),"DESPRENDIMIENTO DE NEUMATICO")</f>
        <v>DESPRENDIMIENTO DE NEUMATICO</v>
      </c>
      <c r="G273" s="64" t="str">
        <f>IFERROR(__xludf.DUMMYFUNCTION("""COMPUTED_VALUE"""),"SALIDA DE PISTA")</f>
        <v>SALIDA DE PISTA</v>
      </c>
      <c r="H273" s="64" t="str">
        <f>IFERROR(__xludf.DUMMYFUNCTION("""COMPUTED_VALUE"""),"DESPRENDIMIENTO DE CONTENEDOR")</f>
        <v>DESPRENDIMIENTO DE CONTENEDOR</v>
      </c>
      <c r="I273" s="64" t="str">
        <f>IFERROR(__xludf.DUMMYFUNCTION("""COMPUTED_VALUE"""),"CAÍDA DE CARGA")</f>
        <v>CAÍDA DE CARGA</v>
      </c>
      <c r="J273" s="64" t="str">
        <f>IFERROR(__xludf.DUMMYFUNCTION("""COMPUTED_VALUE"""),"CHOQUE")</f>
        <v>CHOQUE</v>
      </c>
      <c r="K273" s="64" t="str">
        <f>IFERROR(__xludf.DUMMYFUNCTION("""COMPUTED_VALUE"""),"COLISIÓN")</f>
        <v>COLISIÓN</v>
      </c>
      <c r="L273" s="64" t="str">
        <f>IFERROR(__xludf.DUMMYFUNCTION("""COMPUTED_VALUE"""),"COLISIÓN MÚLTIPLE")</f>
        <v>COLISIÓN MÚLTIPLE</v>
      </c>
      <c r="M273" s="64" t="str">
        <f>IFERROR(__xludf.DUMMYFUNCTION("""COMPUTED_VALUE"""),"DERRAPE")</f>
        <v>DERRAPE</v>
      </c>
      <c r="N273" s="64" t="str">
        <f>IFERROR(__xludf.DUMMYFUNCTION("""COMPUTED_VALUE"""),"VEHÍCULO INCENDIADO")</f>
        <v>VEHÍCULO INCENDIADO</v>
      </c>
      <c r="O273" s="64" t="str">
        <f>IFERROR(__xludf.DUMMYFUNCTION("""COMPUTED_VALUE"""),"VUELCO")</f>
        <v>VUELCO</v>
      </c>
      <c r="P273" s="64" t="str">
        <f>IFERROR(__xludf.DUMMYFUNCTION("""COMPUTED_VALUE"""),"DESPRENDIMIENTO")</f>
        <v>DESPRENDIMIENTO</v>
      </c>
      <c r="Q273" s="64" t="str">
        <f>IFERROR(__xludf.DUMMYFUNCTION("""COMPUTED_VALUE"""),"CAÍDA DE ÁRBOL")</f>
        <v>CAÍDA DE ÁRBOL</v>
      </c>
      <c r="R273" s="64" t="str">
        <f>IFERROR(__xludf.DUMMYFUNCTION("""COMPUTED_VALUE"""),"DESPRENDIMIENTO DE EJE")</f>
        <v>DESPRENDIMIENTO DE EJE</v>
      </c>
      <c r="S273" s="64" t="str">
        <f>IFERROR(__xludf.DUMMYFUNCTION("""COMPUTED_VALUE"""),"PERSONA ATROPELLADA")</f>
        <v>PERSONA ATROPELLADA</v>
      </c>
    </row>
    <row r="274">
      <c r="B274" s="64" t="s">
        <v>54</v>
      </c>
      <c r="C274" s="64" t="str">
        <f>IFERROR(__xludf.DUMMYFUNCTION(" TRANSPOSE( unique ( QUERY(DATOPRO,""select Col2 where Col1 = '""&amp;B274&amp;""'"")))"),"PINCHAZO")</f>
        <v>PINCHAZO</v>
      </c>
      <c r="D274" s="64" t="str">
        <f>IFERROR(__xludf.DUMMYFUNCTION("""COMPUTED_VALUE"""),"TRABAJOS DE CARRETERA")</f>
        <v>TRABAJOS DE CARRETERA</v>
      </c>
      <c r="E274" s="64" t="str">
        <f>IFERROR(__xludf.DUMMYFUNCTION("""COMPUTED_VALUE"""),"CONSIGNACIÓN")</f>
        <v>CONSIGNACIÓN</v>
      </c>
      <c r="F274" s="64" t="str">
        <f>IFERROR(__xludf.DUMMYFUNCTION("""COMPUTED_VALUE"""),"DERRAME")</f>
        <v>DERRAME</v>
      </c>
      <c r="G274" s="64" t="str">
        <f>IFERROR(__xludf.DUMMYFUNCTION("""COMPUTED_VALUE"""),"CALENTAMIENTO")</f>
        <v>CALENTAMIENTO</v>
      </c>
      <c r="H274" s="64" t="str">
        <f>IFERROR(__xludf.DUMMYFUNCTION("""COMPUTED_VALUE"""),"ESCOLTANDO")</f>
        <v>ESCOLTANDO</v>
      </c>
      <c r="I274" s="64" t="str">
        <f>IFERROR(__xludf.DUMMYFUNCTION("""COMPUTED_VALUE"""),"FALTA DE COMBUSTIBLE")</f>
        <v>FALTA DE COMBUSTIBLE</v>
      </c>
      <c r="J274" s="64" t="str">
        <f>IFERROR(__xludf.DUMMYFUNCTION("""COMPUTED_VALUE"""),"DESPERFECTOS MECÁNICOS")</f>
        <v>DESPERFECTOS MECÁNICOS</v>
      </c>
      <c r="K274" s="64" t="str">
        <f>IFERROR(__xludf.DUMMYFUNCTION("""COMPUTED_VALUE"""),"LLAMADA DE ATENCIÓN")</f>
        <v>LLAMADA DE ATENCIÓN</v>
      </c>
      <c r="L274" s="64" t="str">
        <f>IFERROR(__xludf.DUMMYFUNCTION("""COMPUTED_VALUE"""),"OPERATIVOS")</f>
        <v>OPERATIVOS</v>
      </c>
      <c r="M274" s="64" t="str">
        <f>IFERROR(__xludf.DUMMYFUNCTION("""COMPUTED_VALUE"""),"SANCIÓN")</f>
        <v>SANCIÓN</v>
      </c>
      <c r="N274" s="64" t="str">
        <f>IFERROR(__xludf.DUMMYFUNCTION("""COMPUTED_VALUE"""),"SISTEMA ELECTRICO")</f>
        <v>SISTEMA ELECTRICO</v>
      </c>
      <c r="O274" s="64" t="str">
        <f>IFERROR(__xludf.DUMMYFUNCTION("""COMPUTED_VALUE"""),"ASISTENCIA AL USUARIO")</f>
        <v>ASISTENCIA AL USUARIO</v>
      </c>
      <c r="P274" s="64" t="str">
        <f>IFERROR(__xludf.DUMMYFUNCTION("""COMPUTED_VALUE"""),"DOBLE REMOLQUE")</f>
        <v>DOBLE REMOLQUE</v>
      </c>
      <c r="Q274" s="64" t="str">
        <f>IFERROR(__xludf.DUMMYFUNCTION("""COMPUTED_VALUE"""),"SINAPRESE")</f>
        <v>SINAPRESE</v>
      </c>
      <c r="R274" s="64" t="str">
        <f>IFERROR(__xludf.DUMMYFUNCTION("""COMPUTED_VALUE"""),"APOYO ATLETISMO")</f>
        <v>APOYO ATLETISMO</v>
      </c>
      <c r="S274" s="64" t="str">
        <f>IFERROR(__xludf.DUMMYFUNCTION("""COMPUTED_VALUE"""),"APOYO A CICLISMO")</f>
        <v>APOYO A CICLISMO</v>
      </c>
      <c r="T274" s="64" t="str">
        <f>IFERROR(__xludf.DUMMYFUNCTION("""COMPUTED_VALUE"""),"DESCARGA DE BATERÍA")</f>
        <v>DESCARGA DE BATERÍA</v>
      </c>
      <c r="U274" s="64" t="str">
        <f>IFERROR(__xludf.DUMMYFUNCTION("""COMPUTED_VALUE"""),"PROBLEMAS DE SALUD")</f>
        <v>PROBLEMAS DE SALUD</v>
      </c>
      <c r="V274" s="64" t="str">
        <f>IFERROR(__xludf.DUMMYFUNCTION("""COMPUTED_VALUE"""),"OLVIDO LA LLAVE")</f>
        <v>OLVIDO LA LLAVE</v>
      </c>
      <c r="W274" s="64" t="str">
        <f>IFERROR(__xludf.DUMMYFUNCTION("""COMPUTED_VALUE"""),"CARGA SOBREDIMENSIONADA")</f>
        <v>CARGA SOBREDIMENSIONADA</v>
      </c>
      <c r="X274" s="64" t="str">
        <f>IFERROR(__xludf.DUMMYFUNCTION("""COMPUTED_VALUE"""),"VEHÍCULO ABANDONADO")</f>
        <v>VEHÍCULO ABANDONADO</v>
      </c>
      <c r="Y274" s="64" t="str">
        <f>IFERROR(__xludf.DUMMYFUNCTION("""COMPUTED_VALUE"""),"DESPRENDIMIENTO")</f>
        <v>DESPRENDIMIENTO</v>
      </c>
      <c r="Z274" s="64" t="str">
        <f>IFERROR(__xludf.DUMMYFUNCTION("""COMPUTED_VALUE"""),"CAÍDA DE POSTE")</f>
        <v>CAÍDA DE POSTE</v>
      </c>
      <c r="AA274" s="64" t="str">
        <f>IFERROR(__xludf.DUMMYFUNCTION("""COMPUTED_VALUE"""),"CAÍDA DE RAMA")</f>
        <v>CAÍDA DE RAMA</v>
      </c>
      <c r="AB274" s="64" t="str">
        <f>IFERROR(__xludf.DUMMYFUNCTION("""COMPUTED_VALUE"""),"OPERATIVO DGT")</f>
        <v>OPERATIVO DGT</v>
      </c>
      <c r="AC274" s="64" t="str">
        <f>IFERROR(__xludf.DUMMYFUNCTION("""COMPUTED_VALUE"""),"OPERATIVO PMT")</f>
        <v>OPERATIVO PMT</v>
      </c>
      <c r="AD274" s="64" t="str">
        <f>IFERROR(__xludf.DUMMYFUNCTION("""COMPUTED_VALUE"""),"APOYO A DIGEF")</f>
        <v>APOYO A DIGEF</v>
      </c>
      <c r="AE274" s="64" t="str">
        <f>IFERROR(__xludf.DUMMYFUNCTION("""COMPUTED_VALUE"""),"OPERATIVO PNC TRANSITO")</f>
        <v>OPERATIVO PNC TRANSITO</v>
      </c>
      <c r="AF274" s="64" t="str">
        <f>IFERROR(__xludf.DUMMYFUNCTION("""COMPUTED_VALUE"""),"SOBRECARGA ")</f>
        <v>SOBRECARGA </v>
      </c>
      <c r="AG274" s="64" t="str">
        <f>IFERROR(__xludf.DUMMYFUNCTION("""COMPUTED_VALUE"""),"OPERATIVO EN CONJUNTO")</f>
        <v>OPERATIVO EN CONJUNTO</v>
      </c>
      <c r="AH274" s="64" t="str">
        <f>IFERROR(__xludf.DUMMYFUNCTION("""COMPUTED_VALUE"""),"PUESTO DE ATENCION AL USUARIO")</f>
        <v>PUESTO DE ATENCION AL USUARIO</v>
      </c>
      <c r="AI274" s="64" t="str">
        <f>IFERROR(__xludf.DUMMYFUNCTION("""COMPUTED_VALUE"""),"INCENDIO EN RUTA")</f>
        <v>INCENDIO EN RUTA</v>
      </c>
      <c r="AJ274" s="64" t="str">
        <f>IFERROR(__xludf.DUMMYFUNCTION("""COMPUTED_VALUE"""),"APOYO ANTORCHA ")</f>
        <v>APOYO ANTORCHA </v>
      </c>
    </row>
    <row r="275">
      <c r="B275" s="64" t="s">
        <v>54</v>
      </c>
      <c r="C275" s="64" t="str">
        <f>IFERROR(__xludf.DUMMYFUNCTION(" TRANSPOSE( unique ( QUERY(DATOPRO,""select Col2 where Col1 = '""&amp;B275&amp;""'"")))"),"PINCHAZO")</f>
        <v>PINCHAZO</v>
      </c>
      <c r="D275" s="64" t="str">
        <f>IFERROR(__xludf.DUMMYFUNCTION("""COMPUTED_VALUE"""),"TRABAJOS DE CARRETERA")</f>
        <v>TRABAJOS DE CARRETERA</v>
      </c>
      <c r="E275" s="64" t="str">
        <f>IFERROR(__xludf.DUMMYFUNCTION("""COMPUTED_VALUE"""),"CONSIGNACIÓN")</f>
        <v>CONSIGNACIÓN</v>
      </c>
      <c r="F275" s="64" t="str">
        <f>IFERROR(__xludf.DUMMYFUNCTION("""COMPUTED_VALUE"""),"DERRAME")</f>
        <v>DERRAME</v>
      </c>
      <c r="G275" s="64" t="str">
        <f>IFERROR(__xludf.DUMMYFUNCTION("""COMPUTED_VALUE"""),"CALENTAMIENTO")</f>
        <v>CALENTAMIENTO</v>
      </c>
      <c r="H275" s="64" t="str">
        <f>IFERROR(__xludf.DUMMYFUNCTION("""COMPUTED_VALUE"""),"ESCOLTANDO")</f>
        <v>ESCOLTANDO</v>
      </c>
      <c r="I275" s="64" t="str">
        <f>IFERROR(__xludf.DUMMYFUNCTION("""COMPUTED_VALUE"""),"FALTA DE COMBUSTIBLE")</f>
        <v>FALTA DE COMBUSTIBLE</v>
      </c>
      <c r="J275" s="64" t="str">
        <f>IFERROR(__xludf.DUMMYFUNCTION("""COMPUTED_VALUE"""),"DESPERFECTOS MECÁNICOS")</f>
        <v>DESPERFECTOS MECÁNICOS</v>
      </c>
      <c r="K275" s="64" t="str">
        <f>IFERROR(__xludf.DUMMYFUNCTION("""COMPUTED_VALUE"""),"LLAMADA DE ATENCIÓN")</f>
        <v>LLAMADA DE ATENCIÓN</v>
      </c>
      <c r="L275" s="64" t="str">
        <f>IFERROR(__xludf.DUMMYFUNCTION("""COMPUTED_VALUE"""),"OPERATIVOS")</f>
        <v>OPERATIVOS</v>
      </c>
      <c r="M275" s="64" t="str">
        <f>IFERROR(__xludf.DUMMYFUNCTION("""COMPUTED_VALUE"""),"SANCIÓN")</f>
        <v>SANCIÓN</v>
      </c>
      <c r="N275" s="64" t="str">
        <f>IFERROR(__xludf.DUMMYFUNCTION("""COMPUTED_VALUE"""),"SISTEMA ELECTRICO")</f>
        <v>SISTEMA ELECTRICO</v>
      </c>
      <c r="O275" s="64" t="str">
        <f>IFERROR(__xludf.DUMMYFUNCTION("""COMPUTED_VALUE"""),"ASISTENCIA AL USUARIO")</f>
        <v>ASISTENCIA AL USUARIO</v>
      </c>
      <c r="P275" s="64" t="str">
        <f>IFERROR(__xludf.DUMMYFUNCTION("""COMPUTED_VALUE"""),"DOBLE REMOLQUE")</f>
        <v>DOBLE REMOLQUE</v>
      </c>
      <c r="Q275" s="64" t="str">
        <f>IFERROR(__xludf.DUMMYFUNCTION("""COMPUTED_VALUE"""),"SINAPRESE")</f>
        <v>SINAPRESE</v>
      </c>
      <c r="R275" s="64" t="str">
        <f>IFERROR(__xludf.DUMMYFUNCTION("""COMPUTED_VALUE"""),"APOYO ATLETISMO")</f>
        <v>APOYO ATLETISMO</v>
      </c>
      <c r="S275" s="64" t="str">
        <f>IFERROR(__xludf.DUMMYFUNCTION("""COMPUTED_VALUE"""),"APOYO A CICLISMO")</f>
        <v>APOYO A CICLISMO</v>
      </c>
      <c r="T275" s="64" t="str">
        <f>IFERROR(__xludf.DUMMYFUNCTION("""COMPUTED_VALUE"""),"DESCARGA DE BATERÍA")</f>
        <v>DESCARGA DE BATERÍA</v>
      </c>
      <c r="U275" s="64" t="str">
        <f>IFERROR(__xludf.DUMMYFUNCTION("""COMPUTED_VALUE"""),"PROBLEMAS DE SALUD")</f>
        <v>PROBLEMAS DE SALUD</v>
      </c>
      <c r="V275" s="64" t="str">
        <f>IFERROR(__xludf.DUMMYFUNCTION("""COMPUTED_VALUE"""),"OLVIDO LA LLAVE")</f>
        <v>OLVIDO LA LLAVE</v>
      </c>
      <c r="W275" s="64" t="str">
        <f>IFERROR(__xludf.DUMMYFUNCTION("""COMPUTED_VALUE"""),"CARGA SOBREDIMENSIONADA")</f>
        <v>CARGA SOBREDIMENSIONADA</v>
      </c>
      <c r="X275" s="64" t="str">
        <f>IFERROR(__xludf.DUMMYFUNCTION("""COMPUTED_VALUE"""),"VEHÍCULO ABANDONADO")</f>
        <v>VEHÍCULO ABANDONADO</v>
      </c>
      <c r="Y275" s="64" t="str">
        <f>IFERROR(__xludf.DUMMYFUNCTION("""COMPUTED_VALUE"""),"DESPRENDIMIENTO")</f>
        <v>DESPRENDIMIENTO</v>
      </c>
      <c r="Z275" s="64" t="str">
        <f>IFERROR(__xludf.DUMMYFUNCTION("""COMPUTED_VALUE"""),"CAÍDA DE POSTE")</f>
        <v>CAÍDA DE POSTE</v>
      </c>
      <c r="AA275" s="64" t="str">
        <f>IFERROR(__xludf.DUMMYFUNCTION("""COMPUTED_VALUE"""),"CAÍDA DE RAMA")</f>
        <v>CAÍDA DE RAMA</v>
      </c>
      <c r="AB275" s="64" t="str">
        <f>IFERROR(__xludf.DUMMYFUNCTION("""COMPUTED_VALUE"""),"OPERATIVO DGT")</f>
        <v>OPERATIVO DGT</v>
      </c>
      <c r="AC275" s="64" t="str">
        <f>IFERROR(__xludf.DUMMYFUNCTION("""COMPUTED_VALUE"""),"OPERATIVO PMT")</f>
        <v>OPERATIVO PMT</v>
      </c>
      <c r="AD275" s="64" t="str">
        <f>IFERROR(__xludf.DUMMYFUNCTION("""COMPUTED_VALUE"""),"APOYO A DIGEF")</f>
        <v>APOYO A DIGEF</v>
      </c>
      <c r="AE275" s="64" t="str">
        <f>IFERROR(__xludf.DUMMYFUNCTION("""COMPUTED_VALUE"""),"OPERATIVO PNC TRANSITO")</f>
        <v>OPERATIVO PNC TRANSITO</v>
      </c>
      <c r="AF275" s="64" t="str">
        <f>IFERROR(__xludf.DUMMYFUNCTION("""COMPUTED_VALUE"""),"SOBRECARGA ")</f>
        <v>SOBRECARGA </v>
      </c>
      <c r="AG275" s="64" t="str">
        <f>IFERROR(__xludf.DUMMYFUNCTION("""COMPUTED_VALUE"""),"OPERATIVO EN CONJUNTO")</f>
        <v>OPERATIVO EN CONJUNTO</v>
      </c>
      <c r="AH275" s="64" t="str">
        <f>IFERROR(__xludf.DUMMYFUNCTION("""COMPUTED_VALUE"""),"PUESTO DE ATENCION AL USUARIO")</f>
        <v>PUESTO DE ATENCION AL USUARIO</v>
      </c>
      <c r="AI275" s="64" t="str">
        <f>IFERROR(__xludf.DUMMYFUNCTION("""COMPUTED_VALUE"""),"INCENDIO EN RUTA")</f>
        <v>INCENDIO EN RUTA</v>
      </c>
      <c r="AJ275" s="64" t="str">
        <f>IFERROR(__xludf.DUMMYFUNCTION("""COMPUTED_VALUE"""),"APOYO ANTORCHA ")</f>
        <v>APOYO ANTORCHA </v>
      </c>
    </row>
    <row r="276">
      <c r="B276" s="64" t="s">
        <v>38</v>
      </c>
      <c r="C276" s="64" t="str">
        <f>IFERROR(__xludf.DUMMYFUNCTION(" TRANSPOSE( unique ( QUERY(DATOPRO,""select Col2 where Col1 = '""&amp;B276&amp;""'"")))"),"ATAQUE ARMADO")</f>
        <v>ATAQUE ARMADO</v>
      </c>
      <c r="D276" s="64" t="str">
        <f>IFERROR(__xludf.DUMMYFUNCTION("""COMPUTED_VALUE"""),"DESBALANCE DE CARGA")</f>
        <v>DESBALANCE DE CARGA</v>
      </c>
      <c r="E276" s="64" t="str">
        <f>IFERROR(__xludf.DUMMYFUNCTION("""COMPUTED_VALUE"""),"PERSONA FALLECIDA")</f>
        <v>PERSONA FALLECIDA</v>
      </c>
      <c r="F276" s="64" t="str">
        <f>IFERROR(__xludf.DUMMYFUNCTION("""COMPUTED_VALUE"""),"DESPRENDIMIENTO DE NEUMATICO")</f>
        <v>DESPRENDIMIENTO DE NEUMATICO</v>
      </c>
      <c r="G276" s="64" t="str">
        <f>IFERROR(__xludf.DUMMYFUNCTION("""COMPUTED_VALUE"""),"SALIDA DE PISTA")</f>
        <v>SALIDA DE PISTA</v>
      </c>
      <c r="H276" s="64" t="str">
        <f>IFERROR(__xludf.DUMMYFUNCTION("""COMPUTED_VALUE"""),"DESPRENDIMIENTO DE CONTENEDOR")</f>
        <v>DESPRENDIMIENTO DE CONTENEDOR</v>
      </c>
      <c r="I276" s="64" t="str">
        <f>IFERROR(__xludf.DUMMYFUNCTION("""COMPUTED_VALUE"""),"CAÍDA DE CARGA")</f>
        <v>CAÍDA DE CARGA</v>
      </c>
      <c r="J276" s="64" t="str">
        <f>IFERROR(__xludf.DUMMYFUNCTION("""COMPUTED_VALUE"""),"CHOQUE")</f>
        <v>CHOQUE</v>
      </c>
      <c r="K276" s="64" t="str">
        <f>IFERROR(__xludf.DUMMYFUNCTION("""COMPUTED_VALUE"""),"COLISIÓN")</f>
        <v>COLISIÓN</v>
      </c>
      <c r="L276" s="64" t="str">
        <f>IFERROR(__xludf.DUMMYFUNCTION("""COMPUTED_VALUE"""),"COLISIÓN MÚLTIPLE")</f>
        <v>COLISIÓN MÚLTIPLE</v>
      </c>
      <c r="M276" s="64" t="str">
        <f>IFERROR(__xludf.DUMMYFUNCTION("""COMPUTED_VALUE"""),"DERRAPE")</f>
        <v>DERRAPE</v>
      </c>
      <c r="N276" s="64" t="str">
        <f>IFERROR(__xludf.DUMMYFUNCTION("""COMPUTED_VALUE"""),"VEHÍCULO INCENDIADO")</f>
        <v>VEHÍCULO INCENDIADO</v>
      </c>
      <c r="O276" s="64" t="str">
        <f>IFERROR(__xludf.DUMMYFUNCTION("""COMPUTED_VALUE"""),"VUELCO")</f>
        <v>VUELCO</v>
      </c>
      <c r="P276" s="64" t="str">
        <f>IFERROR(__xludf.DUMMYFUNCTION("""COMPUTED_VALUE"""),"DESPRENDIMIENTO")</f>
        <v>DESPRENDIMIENTO</v>
      </c>
      <c r="Q276" s="64" t="str">
        <f>IFERROR(__xludf.DUMMYFUNCTION("""COMPUTED_VALUE"""),"CAÍDA DE ÁRBOL")</f>
        <v>CAÍDA DE ÁRBOL</v>
      </c>
      <c r="R276" s="64" t="str">
        <f>IFERROR(__xludf.DUMMYFUNCTION("""COMPUTED_VALUE"""),"DESPRENDIMIENTO DE EJE")</f>
        <v>DESPRENDIMIENTO DE EJE</v>
      </c>
      <c r="S276" s="64" t="str">
        <f>IFERROR(__xludf.DUMMYFUNCTION("""COMPUTED_VALUE"""),"PERSONA ATROPELLADA")</f>
        <v>PERSONA ATROPELLADA</v>
      </c>
    </row>
    <row r="277">
      <c r="B277" s="64" t="s">
        <v>38</v>
      </c>
      <c r="C277" s="64" t="str">
        <f>IFERROR(__xludf.DUMMYFUNCTION(" TRANSPOSE( unique ( QUERY(DATOPRO,""select Col2 where Col1 = '""&amp;B277&amp;""'"")))"),"ATAQUE ARMADO")</f>
        <v>ATAQUE ARMADO</v>
      </c>
      <c r="D277" s="64" t="str">
        <f>IFERROR(__xludf.DUMMYFUNCTION("""COMPUTED_VALUE"""),"DESBALANCE DE CARGA")</f>
        <v>DESBALANCE DE CARGA</v>
      </c>
      <c r="E277" s="64" t="str">
        <f>IFERROR(__xludf.DUMMYFUNCTION("""COMPUTED_VALUE"""),"PERSONA FALLECIDA")</f>
        <v>PERSONA FALLECIDA</v>
      </c>
      <c r="F277" s="64" t="str">
        <f>IFERROR(__xludf.DUMMYFUNCTION("""COMPUTED_VALUE"""),"DESPRENDIMIENTO DE NEUMATICO")</f>
        <v>DESPRENDIMIENTO DE NEUMATICO</v>
      </c>
      <c r="G277" s="64" t="str">
        <f>IFERROR(__xludf.DUMMYFUNCTION("""COMPUTED_VALUE"""),"SALIDA DE PISTA")</f>
        <v>SALIDA DE PISTA</v>
      </c>
      <c r="H277" s="64" t="str">
        <f>IFERROR(__xludf.DUMMYFUNCTION("""COMPUTED_VALUE"""),"DESPRENDIMIENTO DE CONTENEDOR")</f>
        <v>DESPRENDIMIENTO DE CONTENEDOR</v>
      </c>
      <c r="I277" s="64" t="str">
        <f>IFERROR(__xludf.DUMMYFUNCTION("""COMPUTED_VALUE"""),"CAÍDA DE CARGA")</f>
        <v>CAÍDA DE CARGA</v>
      </c>
      <c r="J277" s="64" t="str">
        <f>IFERROR(__xludf.DUMMYFUNCTION("""COMPUTED_VALUE"""),"CHOQUE")</f>
        <v>CHOQUE</v>
      </c>
      <c r="K277" s="64" t="str">
        <f>IFERROR(__xludf.DUMMYFUNCTION("""COMPUTED_VALUE"""),"COLISIÓN")</f>
        <v>COLISIÓN</v>
      </c>
      <c r="L277" s="64" t="str">
        <f>IFERROR(__xludf.DUMMYFUNCTION("""COMPUTED_VALUE"""),"COLISIÓN MÚLTIPLE")</f>
        <v>COLISIÓN MÚLTIPLE</v>
      </c>
      <c r="M277" s="64" t="str">
        <f>IFERROR(__xludf.DUMMYFUNCTION("""COMPUTED_VALUE"""),"DERRAPE")</f>
        <v>DERRAPE</v>
      </c>
      <c r="N277" s="64" t="str">
        <f>IFERROR(__xludf.DUMMYFUNCTION("""COMPUTED_VALUE"""),"VEHÍCULO INCENDIADO")</f>
        <v>VEHÍCULO INCENDIADO</v>
      </c>
      <c r="O277" s="64" t="str">
        <f>IFERROR(__xludf.DUMMYFUNCTION("""COMPUTED_VALUE"""),"VUELCO")</f>
        <v>VUELCO</v>
      </c>
      <c r="P277" s="64" t="str">
        <f>IFERROR(__xludf.DUMMYFUNCTION("""COMPUTED_VALUE"""),"DESPRENDIMIENTO")</f>
        <v>DESPRENDIMIENTO</v>
      </c>
      <c r="Q277" s="64" t="str">
        <f>IFERROR(__xludf.DUMMYFUNCTION("""COMPUTED_VALUE"""),"CAÍDA DE ÁRBOL")</f>
        <v>CAÍDA DE ÁRBOL</v>
      </c>
      <c r="R277" s="64" t="str">
        <f>IFERROR(__xludf.DUMMYFUNCTION("""COMPUTED_VALUE"""),"DESPRENDIMIENTO DE EJE")</f>
        <v>DESPRENDIMIENTO DE EJE</v>
      </c>
      <c r="S277" s="64" t="str">
        <f>IFERROR(__xludf.DUMMYFUNCTION("""COMPUTED_VALUE"""),"PERSONA ATROPELLADA")</f>
        <v>PERSONA ATROPELLADA</v>
      </c>
    </row>
    <row r="278">
      <c r="B278" s="64" t="s">
        <v>38</v>
      </c>
      <c r="C278" s="64" t="str">
        <f>IFERROR(__xludf.DUMMYFUNCTION(" TRANSPOSE( unique ( QUERY(DATOPRO,""select Col2 where Col1 = '""&amp;B278&amp;""'"")))"),"ATAQUE ARMADO")</f>
        <v>ATAQUE ARMADO</v>
      </c>
      <c r="D278" s="64" t="str">
        <f>IFERROR(__xludf.DUMMYFUNCTION("""COMPUTED_VALUE"""),"DESBALANCE DE CARGA")</f>
        <v>DESBALANCE DE CARGA</v>
      </c>
      <c r="E278" s="64" t="str">
        <f>IFERROR(__xludf.DUMMYFUNCTION("""COMPUTED_VALUE"""),"PERSONA FALLECIDA")</f>
        <v>PERSONA FALLECIDA</v>
      </c>
      <c r="F278" s="64" t="str">
        <f>IFERROR(__xludf.DUMMYFUNCTION("""COMPUTED_VALUE"""),"DESPRENDIMIENTO DE NEUMATICO")</f>
        <v>DESPRENDIMIENTO DE NEUMATICO</v>
      </c>
      <c r="G278" s="64" t="str">
        <f>IFERROR(__xludf.DUMMYFUNCTION("""COMPUTED_VALUE"""),"SALIDA DE PISTA")</f>
        <v>SALIDA DE PISTA</v>
      </c>
      <c r="H278" s="64" t="str">
        <f>IFERROR(__xludf.DUMMYFUNCTION("""COMPUTED_VALUE"""),"DESPRENDIMIENTO DE CONTENEDOR")</f>
        <v>DESPRENDIMIENTO DE CONTENEDOR</v>
      </c>
      <c r="I278" s="64" t="str">
        <f>IFERROR(__xludf.DUMMYFUNCTION("""COMPUTED_VALUE"""),"CAÍDA DE CARGA")</f>
        <v>CAÍDA DE CARGA</v>
      </c>
      <c r="J278" s="64" t="str">
        <f>IFERROR(__xludf.DUMMYFUNCTION("""COMPUTED_VALUE"""),"CHOQUE")</f>
        <v>CHOQUE</v>
      </c>
      <c r="K278" s="64" t="str">
        <f>IFERROR(__xludf.DUMMYFUNCTION("""COMPUTED_VALUE"""),"COLISIÓN")</f>
        <v>COLISIÓN</v>
      </c>
      <c r="L278" s="64" t="str">
        <f>IFERROR(__xludf.DUMMYFUNCTION("""COMPUTED_VALUE"""),"COLISIÓN MÚLTIPLE")</f>
        <v>COLISIÓN MÚLTIPLE</v>
      </c>
      <c r="M278" s="64" t="str">
        <f>IFERROR(__xludf.DUMMYFUNCTION("""COMPUTED_VALUE"""),"DERRAPE")</f>
        <v>DERRAPE</v>
      </c>
      <c r="N278" s="64" t="str">
        <f>IFERROR(__xludf.DUMMYFUNCTION("""COMPUTED_VALUE"""),"VEHÍCULO INCENDIADO")</f>
        <v>VEHÍCULO INCENDIADO</v>
      </c>
      <c r="O278" s="64" t="str">
        <f>IFERROR(__xludf.DUMMYFUNCTION("""COMPUTED_VALUE"""),"VUELCO")</f>
        <v>VUELCO</v>
      </c>
      <c r="P278" s="64" t="str">
        <f>IFERROR(__xludf.DUMMYFUNCTION("""COMPUTED_VALUE"""),"DESPRENDIMIENTO")</f>
        <v>DESPRENDIMIENTO</v>
      </c>
      <c r="Q278" s="64" t="str">
        <f>IFERROR(__xludf.DUMMYFUNCTION("""COMPUTED_VALUE"""),"CAÍDA DE ÁRBOL")</f>
        <v>CAÍDA DE ÁRBOL</v>
      </c>
      <c r="R278" s="64" t="str">
        <f>IFERROR(__xludf.DUMMYFUNCTION("""COMPUTED_VALUE"""),"DESPRENDIMIENTO DE EJE")</f>
        <v>DESPRENDIMIENTO DE EJE</v>
      </c>
      <c r="S278" s="64" t="str">
        <f>IFERROR(__xludf.DUMMYFUNCTION("""COMPUTED_VALUE"""),"PERSONA ATROPELLADA")</f>
        <v>PERSONA ATROPELLADA</v>
      </c>
    </row>
    <row r="279">
      <c r="B279" s="64"/>
      <c r="C279" s="64" t="str">
        <f>IFERROR(__xludf.DUMMYFUNCTION(" TRANSPOSE( unique ( QUERY(DATOPRO,""select Col2 where Col1 = '""&amp;B279&amp;""'"")))"),"")</f>
        <v/>
      </c>
    </row>
    <row r="280">
      <c r="B280" s="64" t="s">
        <v>38</v>
      </c>
      <c r="C280" s="64" t="str">
        <f>IFERROR(__xludf.DUMMYFUNCTION(" TRANSPOSE( unique ( QUERY(DATOPRO,""select Col2 where Col1 = '""&amp;B280&amp;""'"")))"),"ATAQUE ARMADO")</f>
        <v>ATAQUE ARMADO</v>
      </c>
      <c r="D280" s="64" t="str">
        <f>IFERROR(__xludf.DUMMYFUNCTION("""COMPUTED_VALUE"""),"DESBALANCE DE CARGA")</f>
        <v>DESBALANCE DE CARGA</v>
      </c>
      <c r="E280" s="64" t="str">
        <f>IFERROR(__xludf.DUMMYFUNCTION("""COMPUTED_VALUE"""),"PERSONA FALLECIDA")</f>
        <v>PERSONA FALLECIDA</v>
      </c>
      <c r="F280" s="64" t="str">
        <f>IFERROR(__xludf.DUMMYFUNCTION("""COMPUTED_VALUE"""),"DESPRENDIMIENTO DE NEUMATICO")</f>
        <v>DESPRENDIMIENTO DE NEUMATICO</v>
      </c>
      <c r="G280" s="64" t="str">
        <f>IFERROR(__xludf.DUMMYFUNCTION("""COMPUTED_VALUE"""),"SALIDA DE PISTA")</f>
        <v>SALIDA DE PISTA</v>
      </c>
      <c r="H280" s="64" t="str">
        <f>IFERROR(__xludf.DUMMYFUNCTION("""COMPUTED_VALUE"""),"DESPRENDIMIENTO DE CONTENEDOR")</f>
        <v>DESPRENDIMIENTO DE CONTENEDOR</v>
      </c>
      <c r="I280" s="64" t="str">
        <f>IFERROR(__xludf.DUMMYFUNCTION("""COMPUTED_VALUE"""),"CAÍDA DE CARGA")</f>
        <v>CAÍDA DE CARGA</v>
      </c>
      <c r="J280" s="64" t="str">
        <f>IFERROR(__xludf.DUMMYFUNCTION("""COMPUTED_VALUE"""),"CHOQUE")</f>
        <v>CHOQUE</v>
      </c>
      <c r="K280" s="64" t="str">
        <f>IFERROR(__xludf.DUMMYFUNCTION("""COMPUTED_VALUE"""),"COLISIÓN")</f>
        <v>COLISIÓN</v>
      </c>
      <c r="L280" s="64" t="str">
        <f>IFERROR(__xludf.DUMMYFUNCTION("""COMPUTED_VALUE"""),"COLISIÓN MÚLTIPLE")</f>
        <v>COLISIÓN MÚLTIPLE</v>
      </c>
      <c r="M280" s="64" t="str">
        <f>IFERROR(__xludf.DUMMYFUNCTION("""COMPUTED_VALUE"""),"DERRAPE")</f>
        <v>DERRAPE</v>
      </c>
      <c r="N280" s="64" t="str">
        <f>IFERROR(__xludf.DUMMYFUNCTION("""COMPUTED_VALUE"""),"VEHÍCULO INCENDIADO")</f>
        <v>VEHÍCULO INCENDIADO</v>
      </c>
      <c r="O280" s="64" t="str">
        <f>IFERROR(__xludf.DUMMYFUNCTION("""COMPUTED_VALUE"""),"VUELCO")</f>
        <v>VUELCO</v>
      </c>
      <c r="P280" s="64" t="str">
        <f>IFERROR(__xludf.DUMMYFUNCTION("""COMPUTED_VALUE"""),"DESPRENDIMIENTO")</f>
        <v>DESPRENDIMIENTO</v>
      </c>
      <c r="Q280" s="64" t="str">
        <f>IFERROR(__xludf.DUMMYFUNCTION("""COMPUTED_VALUE"""),"CAÍDA DE ÁRBOL")</f>
        <v>CAÍDA DE ÁRBOL</v>
      </c>
      <c r="R280" s="64" t="str">
        <f>IFERROR(__xludf.DUMMYFUNCTION("""COMPUTED_VALUE"""),"DESPRENDIMIENTO DE EJE")</f>
        <v>DESPRENDIMIENTO DE EJE</v>
      </c>
      <c r="S280" s="64" t="str">
        <f>IFERROR(__xludf.DUMMYFUNCTION("""COMPUTED_VALUE"""),"PERSONA ATROPELLADA")</f>
        <v>PERSONA ATROPELLADA</v>
      </c>
    </row>
    <row r="281">
      <c r="B281" s="64" t="s">
        <v>54</v>
      </c>
      <c r="C281" s="64" t="str">
        <f>IFERROR(__xludf.DUMMYFUNCTION(" TRANSPOSE( unique ( QUERY(DATOPRO,""select Col2 where Col1 = '""&amp;B281&amp;""'"")))"),"PINCHAZO")</f>
        <v>PINCHAZO</v>
      </c>
      <c r="D281" s="64" t="str">
        <f>IFERROR(__xludf.DUMMYFUNCTION("""COMPUTED_VALUE"""),"TRABAJOS DE CARRETERA")</f>
        <v>TRABAJOS DE CARRETERA</v>
      </c>
      <c r="E281" s="64" t="str">
        <f>IFERROR(__xludf.DUMMYFUNCTION("""COMPUTED_VALUE"""),"CONSIGNACIÓN")</f>
        <v>CONSIGNACIÓN</v>
      </c>
      <c r="F281" s="64" t="str">
        <f>IFERROR(__xludf.DUMMYFUNCTION("""COMPUTED_VALUE"""),"DERRAME")</f>
        <v>DERRAME</v>
      </c>
      <c r="G281" s="64" t="str">
        <f>IFERROR(__xludf.DUMMYFUNCTION("""COMPUTED_VALUE"""),"CALENTAMIENTO")</f>
        <v>CALENTAMIENTO</v>
      </c>
      <c r="H281" s="64" t="str">
        <f>IFERROR(__xludf.DUMMYFUNCTION("""COMPUTED_VALUE"""),"ESCOLTANDO")</f>
        <v>ESCOLTANDO</v>
      </c>
      <c r="I281" s="64" t="str">
        <f>IFERROR(__xludf.DUMMYFUNCTION("""COMPUTED_VALUE"""),"FALTA DE COMBUSTIBLE")</f>
        <v>FALTA DE COMBUSTIBLE</v>
      </c>
      <c r="J281" s="64" t="str">
        <f>IFERROR(__xludf.DUMMYFUNCTION("""COMPUTED_VALUE"""),"DESPERFECTOS MECÁNICOS")</f>
        <v>DESPERFECTOS MECÁNICOS</v>
      </c>
      <c r="K281" s="64" t="str">
        <f>IFERROR(__xludf.DUMMYFUNCTION("""COMPUTED_VALUE"""),"LLAMADA DE ATENCIÓN")</f>
        <v>LLAMADA DE ATENCIÓN</v>
      </c>
      <c r="L281" s="64" t="str">
        <f>IFERROR(__xludf.DUMMYFUNCTION("""COMPUTED_VALUE"""),"OPERATIVOS")</f>
        <v>OPERATIVOS</v>
      </c>
      <c r="M281" s="64" t="str">
        <f>IFERROR(__xludf.DUMMYFUNCTION("""COMPUTED_VALUE"""),"SANCIÓN")</f>
        <v>SANCIÓN</v>
      </c>
      <c r="N281" s="64" t="str">
        <f>IFERROR(__xludf.DUMMYFUNCTION("""COMPUTED_VALUE"""),"SISTEMA ELECTRICO")</f>
        <v>SISTEMA ELECTRICO</v>
      </c>
      <c r="O281" s="64" t="str">
        <f>IFERROR(__xludf.DUMMYFUNCTION("""COMPUTED_VALUE"""),"ASISTENCIA AL USUARIO")</f>
        <v>ASISTENCIA AL USUARIO</v>
      </c>
      <c r="P281" s="64" t="str">
        <f>IFERROR(__xludf.DUMMYFUNCTION("""COMPUTED_VALUE"""),"DOBLE REMOLQUE")</f>
        <v>DOBLE REMOLQUE</v>
      </c>
      <c r="Q281" s="64" t="str">
        <f>IFERROR(__xludf.DUMMYFUNCTION("""COMPUTED_VALUE"""),"SINAPRESE")</f>
        <v>SINAPRESE</v>
      </c>
      <c r="R281" s="64" t="str">
        <f>IFERROR(__xludf.DUMMYFUNCTION("""COMPUTED_VALUE"""),"APOYO ATLETISMO")</f>
        <v>APOYO ATLETISMO</v>
      </c>
      <c r="S281" s="64" t="str">
        <f>IFERROR(__xludf.DUMMYFUNCTION("""COMPUTED_VALUE"""),"APOYO A CICLISMO")</f>
        <v>APOYO A CICLISMO</v>
      </c>
      <c r="T281" s="64" t="str">
        <f>IFERROR(__xludf.DUMMYFUNCTION("""COMPUTED_VALUE"""),"DESCARGA DE BATERÍA")</f>
        <v>DESCARGA DE BATERÍA</v>
      </c>
      <c r="U281" s="64" t="str">
        <f>IFERROR(__xludf.DUMMYFUNCTION("""COMPUTED_VALUE"""),"PROBLEMAS DE SALUD")</f>
        <v>PROBLEMAS DE SALUD</v>
      </c>
      <c r="V281" s="64" t="str">
        <f>IFERROR(__xludf.DUMMYFUNCTION("""COMPUTED_VALUE"""),"OLVIDO LA LLAVE")</f>
        <v>OLVIDO LA LLAVE</v>
      </c>
      <c r="W281" s="64" t="str">
        <f>IFERROR(__xludf.DUMMYFUNCTION("""COMPUTED_VALUE"""),"CARGA SOBREDIMENSIONADA")</f>
        <v>CARGA SOBREDIMENSIONADA</v>
      </c>
      <c r="X281" s="64" t="str">
        <f>IFERROR(__xludf.DUMMYFUNCTION("""COMPUTED_VALUE"""),"VEHÍCULO ABANDONADO")</f>
        <v>VEHÍCULO ABANDONADO</v>
      </c>
      <c r="Y281" s="64" t="str">
        <f>IFERROR(__xludf.DUMMYFUNCTION("""COMPUTED_VALUE"""),"DESPRENDIMIENTO")</f>
        <v>DESPRENDIMIENTO</v>
      </c>
      <c r="Z281" s="64" t="str">
        <f>IFERROR(__xludf.DUMMYFUNCTION("""COMPUTED_VALUE"""),"CAÍDA DE POSTE")</f>
        <v>CAÍDA DE POSTE</v>
      </c>
      <c r="AA281" s="64" t="str">
        <f>IFERROR(__xludf.DUMMYFUNCTION("""COMPUTED_VALUE"""),"CAÍDA DE RAMA")</f>
        <v>CAÍDA DE RAMA</v>
      </c>
      <c r="AB281" s="64" t="str">
        <f>IFERROR(__xludf.DUMMYFUNCTION("""COMPUTED_VALUE"""),"OPERATIVO DGT")</f>
        <v>OPERATIVO DGT</v>
      </c>
      <c r="AC281" s="64" t="str">
        <f>IFERROR(__xludf.DUMMYFUNCTION("""COMPUTED_VALUE"""),"OPERATIVO PMT")</f>
        <v>OPERATIVO PMT</v>
      </c>
      <c r="AD281" s="64" t="str">
        <f>IFERROR(__xludf.DUMMYFUNCTION("""COMPUTED_VALUE"""),"APOYO A DIGEF")</f>
        <v>APOYO A DIGEF</v>
      </c>
      <c r="AE281" s="64" t="str">
        <f>IFERROR(__xludf.DUMMYFUNCTION("""COMPUTED_VALUE"""),"OPERATIVO PNC TRANSITO")</f>
        <v>OPERATIVO PNC TRANSITO</v>
      </c>
      <c r="AF281" s="64" t="str">
        <f>IFERROR(__xludf.DUMMYFUNCTION("""COMPUTED_VALUE"""),"SOBRECARGA ")</f>
        <v>SOBRECARGA </v>
      </c>
      <c r="AG281" s="64" t="str">
        <f>IFERROR(__xludf.DUMMYFUNCTION("""COMPUTED_VALUE"""),"OPERATIVO EN CONJUNTO")</f>
        <v>OPERATIVO EN CONJUNTO</v>
      </c>
      <c r="AH281" s="64" t="str">
        <f>IFERROR(__xludf.DUMMYFUNCTION("""COMPUTED_VALUE"""),"PUESTO DE ATENCION AL USUARIO")</f>
        <v>PUESTO DE ATENCION AL USUARIO</v>
      </c>
      <c r="AI281" s="64" t="str">
        <f>IFERROR(__xludf.DUMMYFUNCTION("""COMPUTED_VALUE"""),"INCENDIO EN RUTA")</f>
        <v>INCENDIO EN RUTA</v>
      </c>
      <c r="AJ281" s="64" t="str">
        <f>IFERROR(__xludf.DUMMYFUNCTION("""COMPUTED_VALUE"""),"APOYO ANTORCHA ")</f>
        <v>APOYO ANTORCHA </v>
      </c>
    </row>
    <row r="282">
      <c r="B282" s="64"/>
      <c r="C282" s="64" t="str">
        <f>IFERROR(__xludf.DUMMYFUNCTION(" TRANSPOSE( unique ( QUERY(DATOPRO,""select Col2 where Col1 = '""&amp;B282&amp;""'"")))"),"")</f>
        <v/>
      </c>
    </row>
    <row r="283">
      <c r="B283" s="64" t="s">
        <v>38</v>
      </c>
      <c r="C283" s="64" t="str">
        <f>IFERROR(__xludf.DUMMYFUNCTION(" TRANSPOSE( unique ( QUERY(DATOPRO,""select Col2 where Col1 = '""&amp;B283&amp;""'"")))"),"ATAQUE ARMADO")</f>
        <v>ATAQUE ARMADO</v>
      </c>
      <c r="D283" s="64" t="str">
        <f>IFERROR(__xludf.DUMMYFUNCTION("""COMPUTED_VALUE"""),"DESBALANCE DE CARGA")</f>
        <v>DESBALANCE DE CARGA</v>
      </c>
      <c r="E283" s="64" t="str">
        <f>IFERROR(__xludf.DUMMYFUNCTION("""COMPUTED_VALUE"""),"PERSONA FALLECIDA")</f>
        <v>PERSONA FALLECIDA</v>
      </c>
      <c r="F283" s="64" t="str">
        <f>IFERROR(__xludf.DUMMYFUNCTION("""COMPUTED_VALUE"""),"DESPRENDIMIENTO DE NEUMATICO")</f>
        <v>DESPRENDIMIENTO DE NEUMATICO</v>
      </c>
      <c r="G283" s="64" t="str">
        <f>IFERROR(__xludf.DUMMYFUNCTION("""COMPUTED_VALUE"""),"SALIDA DE PISTA")</f>
        <v>SALIDA DE PISTA</v>
      </c>
      <c r="H283" s="64" t="str">
        <f>IFERROR(__xludf.DUMMYFUNCTION("""COMPUTED_VALUE"""),"DESPRENDIMIENTO DE CONTENEDOR")</f>
        <v>DESPRENDIMIENTO DE CONTENEDOR</v>
      </c>
      <c r="I283" s="64" t="str">
        <f>IFERROR(__xludf.DUMMYFUNCTION("""COMPUTED_VALUE"""),"CAÍDA DE CARGA")</f>
        <v>CAÍDA DE CARGA</v>
      </c>
      <c r="J283" s="64" t="str">
        <f>IFERROR(__xludf.DUMMYFUNCTION("""COMPUTED_VALUE"""),"CHOQUE")</f>
        <v>CHOQUE</v>
      </c>
      <c r="K283" s="64" t="str">
        <f>IFERROR(__xludf.DUMMYFUNCTION("""COMPUTED_VALUE"""),"COLISIÓN")</f>
        <v>COLISIÓN</v>
      </c>
      <c r="L283" s="64" t="str">
        <f>IFERROR(__xludf.DUMMYFUNCTION("""COMPUTED_VALUE"""),"COLISIÓN MÚLTIPLE")</f>
        <v>COLISIÓN MÚLTIPLE</v>
      </c>
      <c r="M283" s="64" t="str">
        <f>IFERROR(__xludf.DUMMYFUNCTION("""COMPUTED_VALUE"""),"DERRAPE")</f>
        <v>DERRAPE</v>
      </c>
      <c r="N283" s="64" t="str">
        <f>IFERROR(__xludf.DUMMYFUNCTION("""COMPUTED_VALUE"""),"VEHÍCULO INCENDIADO")</f>
        <v>VEHÍCULO INCENDIADO</v>
      </c>
      <c r="O283" s="64" t="str">
        <f>IFERROR(__xludf.DUMMYFUNCTION("""COMPUTED_VALUE"""),"VUELCO")</f>
        <v>VUELCO</v>
      </c>
      <c r="P283" s="64" t="str">
        <f>IFERROR(__xludf.DUMMYFUNCTION("""COMPUTED_VALUE"""),"DESPRENDIMIENTO")</f>
        <v>DESPRENDIMIENTO</v>
      </c>
      <c r="Q283" s="64" t="str">
        <f>IFERROR(__xludf.DUMMYFUNCTION("""COMPUTED_VALUE"""),"CAÍDA DE ÁRBOL")</f>
        <v>CAÍDA DE ÁRBOL</v>
      </c>
      <c r="R283" s="64" t="str">
        <f>IFERROR(__xludf.DUMMYFUNCTION("""COMPUTED_VALUE"""),"DESPRENDIMIENTO DE EJE")</f>
        <v>DESPRENDIMIENTO DE EJE</v>
      </c>
      <c r="S283" s="64" t="str">
        <f>IFERROR(__xludf.DUMMYFUNCTION("""COMPUTED_VALUE"""),"PERSONA ATROPELLADA")</f>
        <v>PERSONA ATROPELLADA</v>
      </c>
    </row>
    <row r="284">
      <c r="B284" s="64" t="s">
        <v>38</v>
      </c>
      <c r="C284" s="64" t="str">
        <f>IFERROR(__xludf.DUMMYFUNCTION(" TRANSPOSE( unique ( QUERY(DATOPRO,""select Col2 where Col1 = '""&amp;B284&amp;""'"")))"),"ATAQUE ARMADO")</f>
        <v>ATAQUE ARMADO</v>
      </c>
      <c r="D284" s="64" t="str">
        <f>IFERROR(__xludf.DUMMYFUNCTION("""COMPUTED_VALUE"""),"DESBALANCE DE CARGA")</f>
        <v>DESBALANCE DE CARGA</v>
      </c>
      <c r="E284" s="64" t="str">
        <f>IFERROR(__xludf.DUMMYFUNCTION("""COMPUTED_VALUE"""),"PERSONA FALLECIDA")</f>
        <v>PERSONA FALLECIDA</v>
      </c>
      <c r="F284" s="64" t="str">
        <f>IFERROR(__xludf.DUMMYFUNCTION("""COMPUTED_VALUE"""),"DESPRENDIMIENTO DE NEUMATICO")</f>
        <v>DESPRENDIMIENTO DE NEUMATICO</v>
      </c>
      <c r="G284" s="64" t="str">
        <f>IFERROR(__xludf.DUMMYFUNCTION("""COMPUTED_VALUE"""),"SALIDA DE PISTA")</f>
        <v>SALIDA DE PISTA</v>
      </c>
      <c r="H284" s="64" t="str">
        <f>IFERROR(__xludf.DUMMYFUNCTION("""COMPUTED_VALUE"""),"DESPRENDIMIENTO DE CONTENEDOR")</f>
        <v>DESPRENDIMIENTO DE CONTENEDOR</v>
      </c>
      <c r="I284" s="64" t="str">
        <f>IFERROR(__xludf.DUMMYFUNCTION("""COMPUTED_VALUE"""),"CAÍDA DE CARGA")</f>
        <v>CAÍDA DE CARGA</v>
      </c>
      <c r="J284" s="64" t="str">
        <f>IFERROR(__xludf.DUMMYFUNCTION("""COMPUTED_VALUE"""),"CHOQUE")</f>
        <v>CHOQUE</v>
      </c>
      <c r="K284" s="64" t="str">
        <f>IFERROR(__xludf.DUMMYFUNCTION("""COMPUTED_VALUE"""),"COLISIÓN")</f>
        <v>COLISIÓN</v>
      </c>
      <c r="L284" s="64" t="str">
        <f>IFERROR(__xludf.DUMMYFUNCTION("""COMPUTED_VALUE"""),"COLISIÓN MÚLTIPLE")</f>
        <v>COLISIÓN MÚLTIPLE</v>
      </c>
      <c r="M284" s="64" t="str">
        <f>IFERROR(__xludf.DUMMYFUNCTION("""COMPUTED_VALUE"""),"DERRAPE")</f>
        <v>DERRAPE</v>
      </c>
      <c r="N284" s="64" t="str">
        <f>IFERROR(__xludf.DUMMYFUNCTION("""COMPUTED_VALUE"""),"VEHÍCULO INCENDIADO")</f>
        <v>VEHÍCULO INCENDIADO</v>
      </c>
      <c r="O284" s="64" t="str">
        <f>IFERROR(__xludf.DUMMYFUNCTION("""COMPUTED_VALUE"""),"VUELCO")</f>
        <v>VUELCO</v>
      </c>
      <c r="P284" s="64" t="str">
        <f>IFERROR(__xludf.DUMMYFUNCTION("""COMPUTED_VALUE"""),"DESPRENDIMIENTO")</f>
        <v>DESPRENDIMIENTO</v>
      </c>
      <c r="Q284" s="64" t="str">
        <f>IFERROR(__xludf.DUMMYFUNCTION("""COMPUTED_VALUE"""),"CAÍDA DE ÁRBOL")</f>
        <v>CAÍDA DE ÁRBOL</v>
      </c>
      <c r="R284" s="64" t="str">
        <f>IFERROR(__xludf.DUMMYFUNCTION("""COMPUTED_VALUE"""),"DESPRENDIMIENTO DE EJE")</f>
        <v>DESPRENDIMIENTO DE EJE</v>
      </c>
      <c r="S284" s="64" t="str">
        <f>IFERROR(__xludf.DUMMYFUNCTION("""COMPUTED_VALUE"""),"PERSONA ATROPELLADA")</f>
        <v>PERSONA ATROPELLADA</v>
      </c>
    </row>
    <row r="285">
      <c r="B285" s="64" t="s">
        <v>323</v>
      </c>
      <c r="C285" s="64" t="str">
        <f>IFERROR(__xludf.DUMMYFUNCTION(" TRANSPOSE( unique ( QUERY(DATOPRO,""select Col2 where Col1 = '""&amp;B285&amp;""'"")))"),"ACUMULACIÓN DE AGUA")</f>
        <v>ACUMULACIÓN DE AGUA</v>
      </c>
      <c r="D285" s="64" t="str">
        <f>IFERROR(__xludf.DUMMYFUNCTION("""COMPUTED_VALUE"""),"DERRUMBE")</f>
        <v>DERRUMBE</v>
      </c>
      <c r="E285" s="64" t="str">
        <f>IFERROR(__xludf.DUMMYFUNCTION("""COMPUTED_VALUE"""),"REGULACION DE TRANSITO ")</f>
        <v>REGULACION DE TRANSITO </v>
      </c>
      <c r="F285" s="64" t="str">
        <f>IFERROR(__xludf.DUMMYFUNCTION("""COMPUTED_VALUE"""),"DESBORDAMIENTO DE RÍO")</f>
        <v>DESBORDAMIENTO DE RÍO</v>
      </c>
      <c r="G285" s="64" t="str">
        <f>IFERROR(__xludf.DUMMYFUNCTION("""COMPUTED_VALUE"""),"DESPRENDIMIENTO DE ROCAS")</f>
        <v>DESPRENDIMIENTO DE ROCAS</v>
      </c>
      <c r="H285" s="64" t="str">
        <f>IFERROR(__xludf.DUMMYFUNCTION("""COMPUTED_VALUE"""),"SOCAVAMIENTO")</f>
        <v>SOCAVAMIENTO</v>
      </c>
      <c r="I285" s="64" t="str">
        <f>IFERROR(__xludf.DUMMYFUNCTION("""COMPUTED_VALUE"""),"CAÍDA DE VALLA PUBLICITARÍA")</f>
        <v>CAÍDA DE VALLA PUBLICITARÍA</v>
      </c>
      <c r="J285" s="64" t="str">
        <f>IFERROR(__xludf.DUMMYFUNCTION("""COMPUTED_VALUE"""),"CARRETERA DAÑADA")</f>
        <v>CARRETERA DAÑADA</v>
      </c>
      <c r="K285" s="64" t="str">
        <f>IFERROR(__xludf.DUMMYFUNCTION("""COMPUTED_VALUE"""),"HUNDIMIENTO")</f>
        <v>HUNDIMIENTO</v>
      </c>
      <c r="L285" s="64" t="str">
        <f>IFERROR(__xludf.DUMMYFUNCTION("""COMPUTED_VALUE"""),"CAÍDA DE PUENTE")</f>
        <v>CAÍDA DE PUENTE</v>
      </c>
      <c r="M285" s="64" t="str">
        <f>IFERROR(__xludf.DUMMYFUNCTION("""COMPUTED_VALUE"""),"INCENDIO FORESTAL")</f>
        <v>INCENDIO FORESTAL</v>
      </c>
      <c r="N285" s="64" t="str">
        <f>IFERROR(__xludf.DUMMYFUNCTION("""COMPUTED_VALUE"""),"DESLAVE")</f>
        <v>DESLAVE</v>
      </c>
      <c r="O285" s="64" t="str">
        <f>IFERROR(__xludf.DUMMYFUNCTION("""COMPUTED_VALUE"""),"CAÍDA DE ÁRBOL")</f>
        <v>CAÍDA DE ÁRBOL</v>
      </c>
      <c r="P285" s="64" t="str">
        <f>IFERROR(__xludf.DUMMYFUNCTION("""COMPUTED_VALUE"""),"LIMPIEZA DE CUNETAS ")</f>
        <v>LIMPIEZA DE CUNETAS </v>
      </c>
      <c r="Q285" s="64" t="str">
        <f>IFERROR(__xludf.DUMMYFUNCTION("""COMPUTED_VALUE"""),"SEMOVIENTE ")</f>
        <v>SEMOVIENTE </v>
      </c>
    </row>
    <row r="286">
      <c r="B286" s="64" t="s">
        <v>54</v>
      </c>
      <c r="C286" s="64" t="str">
        <f>IFERROR(__xludf.DUMMYFUNCTION(" TRANSPOSE( unique ( QUERY(DATOPRO,""select Col2 where Col1 = '""&amp;B286&amp;""'"")))"),"PINCHAZO")</f>
        <v>PINCHAZO</v>
      </c>
      <c r="D286" s="64" t="str">
        <f>IFERROR(__xludf.DUMMYFUNCTION("""COMPUTED_VALUE"""),"TRABAJOS DE CARRETERA")</f>
        <v>TRABAJOS DE CARRETERA</v>
      </c>
      <c r="E286" s="64" t="str">
        <f>IFERROR(__xludf.DUMMYFUNCTION("""COMPUTED_VALUE"""),"CONSIGNACIÓN")</f>
        <v>CONSIGNACIÓN</v>
      </c>
      <c r="F286" s="64" t="str">
        <f>IFERROR(__xludf.DUMMYFUNCTION("""COMPUTED_VALUE"""),"DERRAME")</f>
        <v>DERRAME</v>
      </c>
      <c r="G286" s="64" t="str">
        <f>IFERROR(__xludf.DUMMYFUNCTION("""COMPUTED_VALUE"""),"CALENTAMIENTO")</f>
        <v>CALENTAMIENTO</v>
      </c>
      <c r="H286" s="64" t="str">
        <f>IFERROR(__xludf.DUMMYFUNCTION("""COMPUTED_VALUE"""),"ESCOLTANDO")</f>
        <v>ESCOLTANDO</v>
      </c>
      <c r="I286" s="64" t="str">
        <f>IFERROR(__xludf.DUMMYFUNCTION("""COMPUTED_VALUE"""),"FALTA DE COMBUSTIBLE")</f>
        <v>FALTA DE COMBUSTIBLE</v>
      </c>
      <c r="J286" s="64" t="str">
        <f>IFERROR(__xludf.DUMMYFUNCTION("""COMPUTED_VALUE"""),"DESPERFECTOS MECÁNICOS")</f>
        <v>DESPERFECTOS MECÁNICOS</v>
      </c>
      <c r="K286" s="64" t="str">
        <f>IFERROR(__xludf.DUMMYFUNCTION("""COMPUTED_VALUE"""),"LLAMADA DE ATENCIÓN")</f>
        <v>LLAMADA DE ATENCIÓN</v>
      </c>
      <c r="L286" s="64" t="str">
        <f>IFERROR(__xludf.DUMMYFUNCTION("""COMPUTED_VALUE"""),"OPERATIVOS")</f>
        <v>OPERATIVOS</v>
      </c>
      <c r="M286" s="64" t="str">
        <f>IFERROR(__xludf.DUMMYFUNCTION("""COMPUTED_VALUE"""),"SANCIÓN")</f>
        <v>SANCIÓN</v>
      </c>
      <c r="N286" s="64" t="str">
        <f>IFERROR(__xludf.DUMMYFUNCTION("""COMPUTED_VALUE"""),"SISTEMA ELECTRICO")</f>
        <v>SISTEMA ELECTRICO</v>
      </c>
      <c r="O286" s="64" t="str">
        <f>IFERROR(__xludf.DUMMYFUNCTION("""COMPUTED_VALUE"""),"ASISTENCIA AL USUARIO")</f>
        <v>ASISTENCIA AL USUARIO</v>
      </c>
      <c r="P286" s="64" t="str">
        <f>IFERROR(__xludf.DUMMYFUNCTION("""COMPUTED_VALUE"""),"DOBLE REMOLQUE")</f>
        <v>DOBLE REMOLQUE</v>
      </c>
      <c r="Q286" s="64" t="str">
        <f>IFERROR(__xludf.DUMMYFUNCTION("""COMPUTED_VALUE"""),"SINAPRESE")</f>
        <v>SINAPRESE</v>
      </c>
      <c r="R286" s="64" t="str">
        <f>IFERROR(__xludf.DUMMYFUNCTION("""COMPUTED_VALUE"""),"APOYO ATLETISMO")</f>
        <v>APOYO ATLETISMO</v>
      </c>
      <c r="S286" s="64" t="str">
        <f>IFERROR(__xludf.DUMMYFUNCTION("""COMPUTED_VALUE"""),"APOYO A CICLISMO")</f>
        <v>APOYO A CICLISMO</v>
      </c>
      <c r="T286" s="64" t="str">
        <f>IFERROR(__xludf.DUMMYFUNCTION("""COMPUTED_VALUE"""),"DESCARGA DE BATERÍA")</f>
        <v>DESCARGA DE BATERÍA</v>
      </c>
      <c r="U286" s="64" t="str">
        <f>IFERROR(__xludf.DUMMYFUNCTION("""COMPUTED_VALUE"""),"PROBLEMAS DE SALUD")</f>
        <v>PROBLEMAS DE SALUD</v>
      </c>
      <c r="V286" s="64" t="str">
        <f>IFERROR(__xludf.DUMMYFUNCTION("""COMPUTED_VALUE"""),"OLVIDO LA LLAVE")</f>
        <v>OLVIDO LA LLAVE</v>
      </c>
      <c r="W286" s="64" t="str">
        <f>IFERROR(__xludf.DUMMYFUNCTION("""COMPUTED_VALUE"""),"CARGA SOBREDIMENSIONADA")</f>
        <v>CARGA SOBREDIMENSIONADA</v>
      </c>
      <c r="X286" s="64" t="str">
        <f>IFERROR(__xludf.DUMMYFUNCTION("""COMPUTED_VALUE"""),"VEHÍCULO ABANDONADO")</f>
        <v>VEHÍCULO ABANDONADO</v>
      </c>
      <c r="Y286" s="64" t="str">
        <f>IFERROR(__xludf.DUMMYFUNCTION("""COMPUTED_VALUE"""),"DESPRENDIMIENTO")</f>
        <v>DESPRENDIMIENTO</v>
      </c>
      <c r="Z286" s="64" t="str">
        <f>IFERROR(__xludf.DUMMYFUNCTION("""COMPUTED_VALUE"""),"CAÍDA DE POSTE")</f>
        <v>CAÍDA DE POSTE</v>
      </c>
      <c r="AA286" s="64" t="str">
        <f>IFERROR(__xludf.DUMMYFUNCTION("""COMPUTED_VALUE"""),"CAÍDA DE RAMA")</f>
        <v>CAÍDA DE RAMA</v>
      </c>
      <c r="AB286" s="64" t="str">
        <f>IFERROR(__xludf.DUMMYFUNCTION("""COMPUTED_VALUE"""),"OPERATIVO DGT")</f>
        <v>OPERATIVO DGT</v>
      </c>
      <c r="AC286" s="64" t="str">
        <f>IFERROR(__xludf.DUMMYFUNCTION("""COMPUTED_VALUE"""),"OPERATIVO PMT")</f>
        <v>OPERATIVO PMT</v>
      </c>
      <c r="AD286" s="64" t="str">
        <f>IFERROR(__xludf.DUMMYFUNCTION("""COMPUTED_VALUE"""),"APOYO A DIGEF")</f>
        <v>APOYO A DIGEF</v>
      </c>
      <c r="AE286" s="64" t="str">
        <f>IFERROR(__xludf.DUMMYFUNCTION("""COMPUTED_VALUE"""),"OPERATIVO PNC TRANSITO")</f>
        <v>OPERATIVO PNC TRANSITO</v>
      </c>
      <c r="AF286" s="64" t="str">
        <f>IFERROR(__xludf.DUMMYFUNCTION("""COMPUTED_VALUE"""),"SOBRECARGA ")</f>
        <v>SOBRECARGA </v>
      </c>
      <c r="AG286" s="64" t="str">
        <f>IFERROR(__xludf.DUMMYFUNCTION("""COMPUTED_VALUE"""),"OPERATIVO EN CONJUNTO")</f>
        <v>OPERATIVO EN CONJUNTO</v>
      </c>
      <c r="AH286" s="64" t="str">
        <f>IFERROR(__xludf.DUMMYFUNCTION("""COMPUTED_VALUE"""),"PUESTO DE ATENCION AL USUARIO")</f>
        <v>PUESTO DE ATENCION AL USUARIO</v>
      </c>
      <c r="AI286" s="64" t="str">
        <f>IFERROR(__xludf.DUMMYFUNCTION("""COMPUTED_VALUE"""),"INCENDIO EN RUTA")</f>
        <v>INCENDIO EN RUTA</v>
      </c>
      <c r="AJ286" s="64" t="str">
        <f>IFERROR(__xludf.DUMMYFUNCTION("""COMPUTED_VALUE"""),"APOYO ANTORCHA ")</f>
        <v>APOYO ANTORCHA </v>
      </c>
    </row>
    <row r="287">
      <c r="B287" s="64"/>
      <c r="C287" s="64" t="str">
        <f>IFERROR(__xludf.DUMMYFUNCTION(" TRANSPOSE( unique ( QUERY(DATOPRO,""select Col2 where Col1 = '""&amp;B287&amp;""'"")))"),"")</f>
        <v/>
      </c>
    </row>
    <row r="288">
      <c r="B288" s="64" t="s">
        <v>38</v>
      </c>
      <c r="C288" s="64" t="str">
        <f>IFERROR(__xludf.DUMMYFUNCTION(" TRANSPOSE( unique ( QUERY(DATOPRO,""select Col2 where Col1 = '""&amp;B288&amp;""'"")))"),"ATAQUE ARMADO")</f>
        <v>ATAQUE ARMADO</v>
      </c>
      <c r="D288" s="64" t="str">
        <f>IFERROR(__xludf.DUMMYFUNCTION("""COMPUTED_VALUE"""),"DESBALANCE DE CARGA")</f>
        <v>DESBALANCE DE CARGA</v>
      </c>
      <c r="E288" s="64" t="str">
        <f>IFERROR(__xludf.DUMMYFUNCTION("""COMPUTED_VALUE"""),"PERSONA FALLECIDA")</f>
        <v>PERSONA FALLECIDA</v>
      </c>
      <c r="F288" s="64" t="str">
        <f>IFERROR(__xludf.DUMMYFUNCTION("""COMPUTED_VALUE"""),"DESPRENDIMIENTO DE NEUMATICO")</f>
        <v>DESPRENDIMIENTO DE NEUMATICO</v>
      </c>
      <c r="G288" s="64" t="str">
        <f>IFERROR(__xludf.DUMMYFUNCTION("""COMPUTED_VALUE"""),"SALIDA DE PISTA")</f>
        <v>SALIDA DE PISTA</v>
      </c>
      <c r="H288" s="64" t="str">
        <f>IFERROR(__xludf.DUMMYFUNCTION("""COMPUTED_VALUE"""),"DESPRENDIMIENTO DE CONTENEDOR")</f>
        <v>DESPRENDIMIENTO DE CONTENEDOR</v>
      </c>
      <c r="I288" s="64" t="str">
        <f>IFERROR(__xludf.DUMMYFUNCTION("""COMPUTED_VALUE"""),"CAÍDA DE CARGA")</f>
        <v>CAÍDA DE CARGA</v>
      </c>
      <c r="J288" s="64" t="str">
        <f>IFERROR(__xludf.DUMMYFUNCTION("""COMPUTED_VALUE"""),"CHOQUE")</f>
        <v>CHOQUE</v>
      </c>
      <c r="K288" s="64" t="str">
        <f>IFERROR(__xludf.DUMMYFUNCTION("""COMPUTED_VALUE"""),"COLISIÓN")</f>
        <v>COLISIÓN</v>
      </c>
      <c r="L288" s="64" t="str">
        <f>IFERROR(__xludf.DUMMYFUNCTION("""COMPUTED_VALUE"""),"COLISIÓN MÚLTIPLE")</f>
        <v>COLISIÓN MÚLTIPLE</v>
      </c>
      <c r="M288" s="64" t="str">
        <f>IFERROR(__xludf.DUMMYFUNCTION("""COMPUTED_VALUE"""),"DERRAPE")</f>
        <v>DERRAPE</v>
      </c>
      <c r="N288" s="64" t="str">
        <f>IFERROR(__xludf.DUMMYFUNCTION("""COMPUTED_VALUE"""),"VEHÍCULO INCENDIADO")</f>
        <v>VEHÍCULO INCENDIADO</v>
      </c>
      <c r="O288" s="64" t="str">
        <f>IFERROR(__xludf.DUMMYFUNCTION("""COMPUTED_VALUE"""),"VUELCO")</f>
        <v>VUELCO</v>
      </c>
      <c r="P288" s="64" t="str">
        <f>IFERROR(__xludf.DUMMYFUNCTION("""COMPUTED_VALUE"""),"DESPRENDIMIENTO")</f>
        <v>DESPRENDIMIENTO</v>
      </c>
      <c r="Q288" s="64" t="str">
        <f>IFERROR(__xludf.DUMMYFUNCTION("""COMPUTED_VALUE"""),"CAÍDA DE ÁRBOL")</f>
        <v>CAÍDA DE ÁRBOL</v>
      </c>
      <c r="R288" s="64" t="str">
        <f>IFERROR(__xludf.DUMMYFUNCTION("""COMPUTED_VALUE"""),"DESPRENDIMIENTO DE EJE")</f>
        <v>DESPRENDIMIENTO DE EJE</v>
      </c>
      <c r="S288" s="64" t="str">
        <f>IFERROR(__xludf.DUMMYFUNCTION("""COMPUTED_VALUE"""),"PERSONA ATROPELLADA")</f>
        <v>PERSONA ATROPELLADA</v>
      </c>
    </row>
    <row r="289">
      <c r="B289" s="64"/>
      <c r="C289" s="64" t="str">
        <f>IFERROR(__xludf.DUMMYFUNCTION(" TRANSPOSE( unique ( QUERY(DATOPRO,""select Col2 where Col1 = '""&amp;B289&amp;""'"")))"),"")</f>
        <v/>
      </c>
    </row>
    <row r="290">
      <c r="B290" s="64" t="s">
        <v>38</v>
      </c>
      <c r="C290" s="64" t="str">
        <f>IFERROR(__xludf.DUMMYFUNCTION(" TRANSPOSE( unique ( QUERY(DATOPRO,""select Col2 where Col1 = '""&amp;B290&amp;""'"")))"),"ATAQUE ARMADO")</f>
        <v>ATAQUE ARMADO</v>
      </c>
      <c r="D290" s="64" t="str">
        <f>IFERROR(__xludf.DUMMYFUNCTION("""COMPUTED_VALUE"""),"DESBALANCE DE CARGA")</f>
        <v>DESBALANCE DE CARGA</v>
      </c>
      <c r="E290" s="64" t="str">
        <f>IFERROR(__xludf.DUMMYFUNCTION("""COMPUTED_VALUE"""),"PERSONA FALLECIDA")</f>
        <v>PERSONA FALLECIDA</v>
      </c>
      <c r="F290" s="64" t="str">
        <f>IFERROR(__xludf.DUMMYFUNCTION("""COMPUTED_VALUE"""),"DESPRENDIMIENTO DE NEUMATICO")</f>
        <v>DESPRENDIMIENTO DE NEUMATICO</v>
      </c>
      <c r="G290" s="64" t="str">
        <f>IFERROR(__xludf.DUMMYFUNCTION("""COMPUTED_VALUE"""),"SALIDA DE PISTA")</f>
        <v>SALIDA DE PISTA</v>
      </c>
      <c r="H290" s="64" t="str">
        <f>IFERROR(__xludf.DUMMYFUNCTION("""COMPUTED_VALUE"""),"DESPRENDIMIENTO DE CONTENEDOR")</f>
        <v>DESPRENDIMIENTO DE CONTENEDOR</v>
      </c>
      <c r="I290" s="64" t="str">
        <f>IFERROR(__xludf.DUMMYFUNCTION("""COMPUTED_VALUE"""),"CAÍDA DE CARGA")</f>
        <v>CAÍDA DE CARGA</v>
      </c>
      <c r="J290" s="64" t="str">
        <f>IFERROR(__xludf.DUMMYFUNCTION("""COMPUTED_VALUE"""),"CHOQUE")</f>
        <v>CHOQUE</v>
      </c>
      <c r="K290" s="64" t="str">
        <f>IFERROR(__xludf.DUMMYFUNCTION("""COMPUTED_VALUE"""),"COLISIÓN")</f>
        <v>COLISIÓN</v>
      </c>
      <c r="L290" s="64" t="str">
        <f>IFERROR(__xludf.DUMMYFUNCTION("""COMPUTED_VALUE"""),"COLISIÓN MÚLTIPLE")</f>
        <v>COLISIÓN MÚLTIPLE</v>
      </c>
      <c r="M290" s="64" t="str">
        <f>IFERROR(__xludf.DUMMYFUNCTION("""COMPUTED_VALUE"""),"DERRAPE")</f>
        <v>DERRAPE</v>
      </c>
      <c r="N290" s="64" t="str">
        <f>IFERROR(__xludf.DUMMYFUNCTION("""COMPUTED_VALUE"""),"VEHÍCULO INCENDIADO")</f>
        <v>VEHÍCULO INCENDIADO</v>
      </c>
      <c r="O290" s="64" t="str">
        <f>IFERROR(__xludf.DUMMYFUNCTION("""COMPUTED_VALUE"""),"VUELCO")</f>
        <v>VUELCO</v>
      </c>
      <c r="P290" s="64" t="str">
        <f>IFERROR(__xludf.DUMMYFUNCTION("""COMPUTED_VALUE"""),"DESPRENDIMIENTO")</f>
        <v>DESPRENDIMIENTO</v>
      </c>
      <c r="Q290" s="64" t="str">
        <f>IFERROR(__xludf.DUMMYFUNCTION("""COMPUTED_VALUE"""),"CAÍDA DE ÁRBOL")</f>
        <v>CAÍDA DE ÁRBOL</v>
      </c>
      <c r="R290" s="64" t="str">
        <f>IFERROR(__xludf.DUMMYFUNCTION("""COMPUTED_VALUE"""),"DESPRENDIMIENTO DE EJE")</f>
        <v>DESPRENDIMIENTO DE EJE</v>
      </c>
      <c r="S290" s="64" t="str">
        <f>IFERROR(__xludf.DUMMYFUNCTION("""COMPUTED_VALUE"""),"PERSONA ATROPELLADA")</f>
        <v>PERSONA ATROPELLADA</v>
      </c>
    </row>
    <row r="291">
      <c r="B291" s="64" t="s">
        <v>54</v>
      </c>
      <c r="C291" s="64" t="str">
        <f>IFERROR(__xludf.DUMMYFUNCTION(" TRANSPOSE( unique ( QUERY(DATOPRO,""select Col2 where Col1 = '""&amp;B291&amp;""'"")))"),"PINCHAZO")</f>
        <v>PINCHAZO</v>
      </c>
      <c r="D291" s="64" t="str">
        <f>IFERROR(__xludf.DUMMYFUNCTION("""COMPUTED_VALUE"""),"TRABAJOS DE CARRETERA")</f>
        <v>TRABAJOS DE CARRETERA</v>
      </c>
      <c r="E291" s="64" t="str">
        <f>IFERROR(__xludf.DUMMYFUNCTION("""COMPUTED_VALUE"""),"CONSIGNACIÓN")</f>
        <v>CONSIGNACIÓN</v>
      </c>
      <c r="F291" s="64" t="str">
        <f>IFERROR(__xludf.DUMMYFUNCTION("""COMPUTED_VALUE"""),"DERRAME")</f>
        <v>DERRAME</v>
      </c>
      <c r="G291" s="64" t="str">
        <f>IFERROR(__xludf.DUMMYFUNCTION("""COMPUTED_VALUE"""),"CALENTAMIENTO")</f>
        <v>CALENTAMIENTO</v>
      </c>
      <c r="H291" s="64" t="str">
        <f>IFERROR(__xludf.DUMMYFUNCTION("""COMPUTED_VALUE"""),"ESCOLTANDO")</f>
        <v>ESCOLTANDO</v>
      </c>
      <c r="I291" s="64" t="str">
        <f>IFERROR(__xludf.DUMMYFUNCTION("""COMPUTED_VALUE"""),"FALTA DE COMBUSTIBLE")</f>
        <v>FALTA DE COMBUSTIBLE</v>
      </c>
      <c r="J291" s="64" t="str">
        <f>IFERROR(__xludf.DUMMYFUNCTION("""COMPUTED_VALUE"""),"DESPERFECTOS MECÁNICOS")</f>
        <v>DESPERFECTOS MECÁNICOS</v>
      </c>
      <c r="K291" s="64" t="str">
        <f>IFERROR(__xludf.DUMMYFUNCTION("""COMPUTED_VALUE"""),"LLAMADA DE ATENCIÓN")</f>
        <v>LLAMADA DE ATENCIÓN</v>
      </c>
      <c r="L291" s="64" t="str">
        <f>IFERROR(__xludf.DUMMYFUNCTION("""COMPUTED_VALUE"""),"OPERATIVOS")</f>
        <v>OPERATIVOS</v>
      </c>
      <c r="M291" s="64" t="str">
        <f>IFERROR(__xludf.DUMMYFUNCTION("""COMPUTED_VALUE"""),"SANCIÓN")</f>
        <v>SANCIÓN</v>
      </c>
      <c r="N291" s="64" t="str">
        <f>IFERROR(__xludf.DUMMYFUNCTION("""COMPUTED_VALUE"""),"SISTEMA ELECTRICO")</f>
        <v>SISTEMA ELECTRICO</v>
      </c>
      <c r="O291" s="64" t="str">
        <f>IFERROR(__xludf.DUMMYFUNCTION("""COMPUTED_VALUE"""),"ASISTENCIA AL USUARIO")</f>
        <v>ASISTENCIA AL USUARIO</v>
      </c>
      <c r="P291" s="64" t="str">
        <f>IFERROR(__xludf.DUMMYFUNCTION("""COMPUTED_VALUE"""),"DOBLE REMOLQUE")</f>
        <v>DOBLE REMOLQUE</v>
      </c>
      <c r="Q291" s="64" t="str">
        <f>IFERROR(__xludf.DUMMYFUNCTION("""COMPUTED_VALUE"""),"SINAPRESE")</f>
        <v>SINAPRESE</v>
      </c>
      <c r="R291" s="64" t="str">
        <f>IFERROR(__xludf.DUMMYFUNCTION("""COMPUTED_VALUE"""),"APOYO ATLETISMO")</f>
        <v>APOYO ATLETISMO</v>
      </c>
      <c r="S291" s="64" t="str">
        <f>IFERROR(__xludf.DUMMYFUNCTION("""COMPUTED_VALUE"""),"APOYO A CICLISMO")</f>
        <v>APOYO A CICLISMO</v>
      </c>
      <c r="T291" s="64" t="str">
        <f>IFERROR(__xludf.DUMMYFUNCTION("""COMPUTED_VALUE"""),"DESCARGA DE BATERÍA")</f>
        <v>DESCARGA DE BATERÍA</v>
      </c>
      <c r="U291" s="64" t="str">
        <f>IFERROR(__xludf.DUMMYFUNCTION("""COMPUTED_VALUE"""),"PROBLEMAS DE SALUD")</f>
        <v>PROBLEMAS DE SALUD</v>
      </c>
      <c r="V291" s="64" t="str">
        <f>IFERROR(__xludf.DUMMYFUNCTION("""COMPUTED_VALUE"""),"OLVIDO LA LLAVE")</f>
        <v>OLVIDO LA LLAVE</v>
      </c>
      <c r="W291" s="64" t="str">
        <f>IFERROR(__xludf.DUMMYFUNCTION("""COMPUTED_VALUE"""),"CARGA SOBREDIMENSIONADA")</f>
        <v>CARGA SOBREDIMENSIONADA</v>
      </c>
      <c r="X291" s="64" t="str">
        <f>IFERROR(__xludf.DUMMYFUNCTION("""COMPUTED_VALUE"""),"VEHÍCULO ABANDONADO")</f>
        <v>VEHÍCULO ABANDONADO</v>
      </c>
      <c r="Y291" s="64" t="str">
        <f>IFERROR(__xludf.DUMMYFUNCTION("""COMPUTED_VALUE"""),"DESPRENDIMIENTO")</f>
        <v>DESPRENDIMIENTO</v>
      </c>
      <c r="Z291" s="64" t="str">
        <f>IFERROR(__xludf.DUMMYFUNCTION("""COMPUTED_VALUE"""),"CAÍDA DE POSTE")</f>
        <v>CAÍDA DE POSTE</v>
      </c>
      <c r="AA291" s="64" t="str">
        <f>IFERROR(__xludf.DUMMYFUNCTION("""COMPUTED_VALUE"""),"CAÍDA DE RAMA")</f>
        <v>CAÍDA DE RAMA</v>
      </c>
      <c r="AB291" s="64" t="str">
        <f>IFERROR(__xludf.DUMMYFUNCTION("""COMPUTED_VALUE"""),"OPERATIVO DGT")</f>
        <v>OPERATIVO DGT</v>
      </c>
      <c r="AC291" s="64" t="str">
        <f>IFERROR(__xludf.DUMMYFUNCTION("""COMPUTED_VALUE"""),"OPERATIVO PMT")</f>
        <v>OPERATIVO PMT</v>
      </c>
      <c r="AD291" s="64" t="str">
        <f>IFERROR(__xludf.DUMMYFUNCTION("""COMPUTED_VALUE"""),"APOYO A DIGEF")</f>
        <v>APOYO A DIGEF</v>
      </c>
      <c r="AE291" s="64" t="str">
        <f>IFERROR(__xludf.DUMMYFUNCTION("""COMPUTED_VALUE"""),"OPERATIVO PNC TRANSITO")</f>
        <v>OPERATIVO PNC TRANSITO</v>
      </c>
      <c r="AF291" s="64" t="str">
        <f>IFERROR(__xludf.DUMMYFUNCTION("""COMPUTED_VALUE"""),"SOBRECARGA ")</f>
        <v>SOBRECARGA </v>
      </c>
      <c r="AG291" s="64" t="str">
        <f>IFERROR(__xludf.DUMMYFUNCTION("""COMPUTED_VALUE"""),"OPERATIVO EN CONJUNTO")</f>
        <v>OPERATIVO EN CONJUNTO</v>
      </c>
      <c r="AH291" s="64" t="str">
        <f>IFERROR(__xludf.DUMMYFUNCTION("""COMPUTED_VALUE"""),"PUESTO DE ATENCION AL USUARIO")</f>
        <v>PUESTO DE ATENCION AL USUARIO</v>
      </c>
      <c r="AI291" s="64" t="str">
        <f>IFERROR(__xludf.DUMMYFUNCTION("""COMPUTED_VALUE"""),"INCENDIO EN RUTA")</f>
        <v>INCENDIO EN RUTA</v>
      </c>
      <c r="AJ291" s="64" t="str">
        <f>IFERROR(__xludf.DUMMYFUNCTION("""COMPUTED_VALUE"""),"APOYO ANTORCHA ")</f>
        <v>APOYO ANTORCHA </v>
      </c>
    </row>
    <row r="292">
      <c r="B292" s="64" t="s">
        <v>323</v>
      </c>
      <c r="C292" s="64" t="str">
        <f>IFERROR(__xludf.DUMMYFUNCTION(" TRANSPOSE( unique ( QUERY(DATOPRO,""select Col2 where Col1 = '""&amp;B292&amp;""'"")))"),"ACUMULACIÓN DE AGUA")</f>
        <v>ACUMULACIÓN DE AGUA</v>
      </c>
      <c r="D292" s="64" t="str">
        <f>IFERROR(__xludf.DUMMYFUNCTION("""COMPUTED_VALUE"""),"DERRUMBE")</f>
        <v>DERRUMBE</v>
      </c>
      <c r="E292" s="64" t="str">
        <f>IFERROR(__xludf.DUMMYFUNCTION("""COMPUTED_VALUE"""),"REGULACION DE TRANSITO ")</f>
        <v>REGULACION DE TRANSITO </v>
      </c>
      <c r="F292" s="64" t="str">
        <f>IFERROR(__xludf.DUMMYFUNCTION("""COMPUTED_VALUE"""),"DESBORDAMIENTO DE RÍO")</f>
        <v>DESBORDAMIENTO DE RÍO</v>
      </c>
      <c r="G292" s="64" t="str">
        <f>IFERROR(__xludf.DUMMYFUNCTION("""COMPUTED_VALUE"""),"DESPRENDIMIENTO DE ROCAS")</f>
        <v>DESPRENDIMIENTO DE ROCAS</v>
      </c>
      <c r="H292" s="64" t="str">
        <f>IFERROR(__xludf.DUMMYFUNCTION("""COMPUTED_VALUE"""),"SOCAVAMIENTO")</f>
        <v>SOCAVAMIENTO</v>
      </c>
      <c r="I292" s="64" t="str">
        <f>IFERROR(__xludf.DUMMYFUNCTION("""COMPUTED_VALUE"""),"CAÍDA DE VALLA PUBLICITARÍA")</f>
        <v>CAÍDA DE VALLA PUBLICITARÍA</v>
      </c>
      <c r="J292" s="64" t="str">
        <f>IFERROR(__xludf.DUMMYFUNCTION("""COMPUTED_VALUE"""),"CARRETERA DAÑADA")</f>
        <v>CARRETERA DAÑADA</v>
      </c>
      <c r="K292" s="64" t="str">
        <f>IFERROR(__xludf.DUMMYFUNCTION("""COMPUTED_VALUE"""),"HUNDIMIENTO")</f>
        <v>HUNDIMIENTO</v>
      </c>
      <c r="L292" s="64" t="str">
        <f>IFERROR(__xludf.DUMMYFUNCTION("""COMPUTED_VALUE"""),"CAÍDA DE PUENTE")</f>
        <v>CAÍDA DE PUENTE</v>
      </c>
      <c r="M292" s="64" t="str">
        <f>IFERROR(__xludf.DUMMYFUNCTION("""COMPUTED_VALUE"""),"INCENDIO FORESTAL")</f>
        <v>INCENDIO FORESTAL</v>
      </c>
      <c r="N292" s="64" t="str">
        <f>IFERROR(__xludf.DUMMYFUNCTION("""COMPUTED_VALUE"""),"DESLAVE")</f>
        <v>DESLAVE</v>
      </c>
      <c r="O292" s="64" t="str">
        <f>IFERROR(__xludf.DUMMYFUNCTION("""COMPUTED_VALUE"""),"CAÍDA DE ÁRBOL")</f>
        <v>CAÍDA DE ÁRBOL</v>
      </c>
      <c r="P292" s="64" t="str">
        <f>IFERROR(__xludf.DUMMYFUNCTION("""COMPUTED_VALUE"""),"LIMPIEZA DE CUNETAS ")</f>
        <v>LIMPIEZA DE CUNETAS </v>
      </c>
      <c r="Q292" s="64" t="str">
        <f>IFERROR(__xludf.DUMMYFUNCTION("""COMPUTED_VALUE"""),"SEMOVIENTE ")</f>
        <v>SEMOVIENTE </v>
      </c>
    </row>
    <row r="293">
      <c r="B293" s="64"/>
      <c r="C293" s="64" t="str">
        <f>IFERROR(__xludf.DUMMYFUNCTION(" TRANSPOSE( unique ( QUERY(DATOPRO,""select Col2 where Col1 = '""&amp;B293&amp;""'"")))"),"")</f>
        <v/>
      </c>
    </row>
    <row r="294">
      <c r="B294" s="64" t="s">
        <v>38</v>
      </c>
      <c r="C294" s="64" t="str">
        <f>IFERROR(__xludf.DUMMYFUNCTION(" TRANSPOSE( unique ( QUERY(DATOPRO,""select Col2 where Col1 = '""&amp;B294&amp;""'"")))"),"ATAQUE ARMADO")</f>
        <v>ATAQUE ARMADO</v>
      </c>
      <c r="D294" s="64" t="str">
        <f>IFERROR(__xludf.DUMMYFUNCTION("""COMPUTED_VALUE"""),"DESBALANCE DE CARGA")</f>
        <v>DESBALANCE DE CARGA</v>
      </c>
      <c r="E294" s="64" t="str">
        <f>IFERROR(__xludf.DUMMYFUNCTION("""COMPUTED_VALUE"""),"PERSONA FALLECIDA")</f>
        <v>PERSONA FALLECIDA</v>
      </c>
      <c r="F294" s="64" t="str">
        <f>IFERROR(__xludf.DUMMYFUNCTION("""COMPUTED_VALUE"""),"DESPRENDIMIENTO DE NEUMATICO")</f>
        <v>DESPRENDIMIENTO DE NEUMATICO</v>
      </c>
      <c r="G294" s="64" t="str">
        <f>IFERROR(__xludf.DUMMYFUNCTION("""COMPUTED_VALUE"""),"SALIDA DE PISTA")</f>
        <v>SALIDA DE PISTA</v>
      </c>
      <c r="H294" s="64" t="str">
        <f>IFERROR(__xludf.DUMMYFUNCTION("""COMPUTED_VALUE"""),"DESPRENDIMIENTO DE CONTENEDOR")</f>
        <v>DESPRENDIMIENTO DE CONTENEDOR</v>
      </c>
      <c r="I294" s="64" t="str">
        <f>IFERROR(__xludf.DUMMYFUNCTION("""COMPUTED_VALUE"""),"CAÍDA DE CARGA")</f>
        <v>CAÍDA DE CARGA</v>
      </c>
      <c r="J294" s="64" t="str">
        <f>IFERROR(__xludf.DUMMYFUNCTION("""COMPUTED_VALUE"""),"CHOQUE")</f>
        <v>CHOQUE</v>
      </c>
      <c r="K294" s="64" t="str">
        <f>IFERROR(__xludf.DUMMYFUNCTION("""COMPUTED_VALUE"""),"COLISIÓN")</f>
        <v>COLISIÓN</v>
      </c>
      <c r="L294" s="64" t="str">
        <f>IFERROR(__xludf.DUMMYFUNCTION("""COMPUTED_VALUE"""),"COLISIÓN MÚLTIPLE")</f>
        <v>COLISIÓN MÚLTIPLE</v>
      </c>
      <c r="M294" s="64" t="str">
        <f>IFERROR(__xludf.DUMMYFUNCTION("""COMPUTED_VALUE"""),"DERRAPE")</f>
        <v>DERRAPE</v>
      </c>
      <c r="N294" s="64" t="str">
        <f>IFERROR(__xludf.DUMMYFUNCTION("""COMPUTED_VALUE"""),"VEHÍCULO INCENDIADO")</f>
        <v>VEHÍCULO INCENDIADO</v>
      </c>
      <c r="O294" s="64" t="str">
        <f>IFERROR(__xludf.DUMMYFUNCTION("""COMPUTED_VALUE"""),"VUELCO")</f>
        <v>VUELCO</v>
      </c>
      <c r="P294" s="64" t="str">
        <f>IFERROR(__xludf.DUMMYFUNCTION("""COMPUTED_VALUE"""),"DESPRENDIMIENTO")</f>
        <v>DESPRENDIMIENTO</v>
      </c>
      <c r="Q294" s="64" t="str">
        <f>IFERROR(__xludf.DUMMYFUNCTION("""COMPUTED_VALUE"""),"CAÍDA DE ÁRBOL")</f>
        <v>CAÍDA DE ÁRBOL</v>
      </c>
      <c r="R294" s="64" t="str">
        <f>IFERROR(__xludf.DUMMYFUNCTION("""COMPUTED_VALUE"""),"DESPRENDIMIENTO DE EJE")</f>
        <v>DESPRENDIMIENTO DE EJE</v>
      </c>
      <c r="S294" s="64" t="str">
        <f>IFERROR(__xludf.DUMMYFUNCTION("""COMPUTED_VALUE"""),"PERSONA ATROPELLADA")</f>
        <v>PERSONA ATROPELLADA</v>
      </c>
    </row>
    <row r="295">
      <c r="B295" s="64"/>
      <c r="C295" s="64" t="str">
        <f>IFERROR(__xludf.DUMMYFUNCTION(" TRANSPOSE( unique ( QUERY(DATOPRO,""select Col2 where Col1 = '""&amp;B295&amp;""'"")))"),"")</f>
        <v/>
      </c>
    </row>
    <row r="296">
      <c r="B296" s="64" t="s">
        <v>38</v>
      </c>
      <c r="C296" s="64" t="str">
        <f>IFERROR(__xludf.DUMMYFUNCTION(" TRANSPOSE( unique ( QUERY(DATOPRO,""select Col2 where Col1 = '""&amp;B296&amp;""'"")))"),"ATAQUE ARMADO")</f>
        <v>ATAQUE ARMADO</v>
      </c>
      <c r="D296" s="64" t="str">
        <f>IFERROR(__xludf.DUMMYFUNCTION("""COMPUTED_VALUE"""),"DESBALANCE DE CARGA")</f>
        <v>DESBALANCE DE CARGA</v>
      </c>
      <c r="E296" s="64" t="str">
        <f>IFERROR(__xludf.DUMMYFUNCTION("""COMPUTED_VALUE"""),"PERSONA FALLECIDA")</f>
        <v>PERSONA FALLECIDA</v>
      </c>
      <c r="F296" s="64" t="str">
        <f>IFERROR(__xludf.DUMMYFUNCTION("""COMPUTED_VALUE"""),"DESPRENDIMIENTO DE NEUMATICO")</f>
        <v>DESPRENDIMIENTO DE NEUMATICO</v>
      </c>
      <c r="G296" s="64" t="str">
        <f>IFERROR(__xludf.DUMMYFUNCTION("""COMPUTED_VALUE"""),"SALIDA DE PISTA")</f>
        <v>SALIDA DE PISTA</v>
      </c>
      <c r="H296" s="64" t="str">
        <f>IFERROR(__xludf.DUMMYFUNCTION("""COMPUTED_VALUE"""),"DESPRENDIMIENTO DE CONTENEDOR")</f>
        <v>DESPRENDIMIENTO DE CONTENEDOR</v>
      </c>
      <c r="I296" s="64" t="str">
        <f>IFERROR(__xludf.DUMMYFUNCTION("""COMPUTED_VALUE"""),"CAÍDA DE CARGA")</f>
        <v>CAÍDA DE CARGA</v>
      </c>
      <c r="J296" s="64" t="str">
        <f>IFERROR(__xludf.DUMMYFUNCTION("""COMPUTED_VALUE"""),"CHOQUE")</f>
        <v>CHOQUE</v>
      </c>
      <c r="K296" s="64" t="str">
        <f>IFERROR(__xludf.DUMMYFUNCTION("""COMPUTED_VALUE"""),"COLISIÓN")</f>
        <v>COLISIÓN</v>
      </c>
      <c r="L296" s="64" t="str">
        <f>IFERROR(__xludf.DUMMYFUNCTION("""COMPUTED_VALUE"""),"COLISIÓN MÚLTIPLE")</f>
        <v>COLISIÓN MÚLTIPLE</v>
      </c>
      <c r="M296" s="64" t="str">
        <f>IFERROR(__xludf.DUMMYFUNCTION("""COMPUTED_VALUE"""),"DERRAPE")</f>
        <v>DERRAPE</v>
      </c>
      <c r="N296" s="64" t="str">
        <f>IFERROR(__xludf.DUMMYFUNCTION("""COMPUTED_VALUE"""),"VEHÍCULO INCENDIADO")</f>
        <v>VEHÍCULO INCENDIADO</v>
      </c>
      <c r="O296" s="64" t="str">
        <f>IFERROR(__xludf.DUMMYFUNCTION("""COMPUTED_VALUE"""),"VUELCO")</f>
        <v>VUELCO</v>
      </c>
      <c r="P296" s="64" t="str">
        <f>IFERROR(__xludf.DUMMYFUNCTION("""COMPUTED_VALUE"""),"DESPRENDIMIENTO")</f>
        <v>DESPRENDIMIENTO</v>
      </c>
      <c r="Q296" s="64" t="str">
        <f>IFERROR(__xludf.DUMMYFUNCTION("""COMPUTED_VALUE"""),"CAÍDA DE ÁRBOL")</f>
        <v>CAÍDA DE ÁRBOL</v>
      </c>
      <c r="R296" s="64" t="str">
        <f>IFERROR(__xludf.DUMMYFUNCTION("""COMPUTED_VALUE"""),"DESPRENDIMIENTO DE EJE")</f>
        <v>DESPRENDIMIENTO DE EJE</v>
      </c>
      <c r="S296" s="64" t="str">
        <f>IFERROR(__xludf.DUMMYFUNCTION("""COMPUTED_VALUE"""),"PERSONA ATROPELLADA")</f>
        <v>PERSONA ATROPELLADA</v>
      </c>
    </row>
    <row r="297">
      <c r="B297" s="64"/>
      <c r="C297" s="64" t="str">
        <f>IFERROR(__xludf.DUMMYFUNCTION(" TRANSPOSE( unique ( QUERY(DATOPRO,""select Col2 where Col1 = '""&amp;B297&amp;""'"")))"),"")</f>
        <v/>
      </c>
    </row>
    <row r="298">
      <c r="B298" s="64" t="s">
        <v>38</v>
      </c>
      <c r="C298" s="64" t="str">
        <f>IFERROR(__xludf.DUMMYFUNCTION(" TRANSPOSE( unique ( QUERY(DATOPRO,""select Col2 where Col1 = '""&amp;B298&amp;""'"")))"),"ATAQUE ARMADO")</f>
        <v>ATAQUE ARMADO</v>
      </c>
      <c r="D298" s="64" t="str">
        <f>IFERROR(__xludf.DUMMYFUNCTION("""COMPUTED_VALUE"""),"DESBALANCE DE CARGA")</f>
        <v>DESBALANCE DE CARGA</v>
      </c>
      <c r="E298" s="64" t="str">
        <f>IFERROR(__xludf.DUMMYFUNCTION("""COMPUTED_VALUE"""),"PERSONA FALLECIDA")</f>
        <v>PERSONA FALLECIDA</v>
      </c>
      <c r="F298" s="64" t="str">
        <f>IFERROR(__xludf.DUMMYFUNCTION("""COMPUTED_VALUE"""),"DESPRENDIMIENTO DE NEUMATICO")</f>
        <v>DESPRENDIMIENTO DE NEUMATICO</v>
      </c>
      <c r="G298" s="64" t="str">
        <f>IFERROR(__xludf.DUMMYFUNCTION("""COMPUTED_VALUE"""),"SALIDA DE PISTA")</f>
        <v>SALIDA DE PISTA</v>
      </c>
      <c r="H298" s="64" t="str">
        <f>IFERROR(__xludf.DUMMYFUNCTION("""COMPUTED_VALUE"""),"DESPRENDIMIENTO DE CONTENEDOR")</f>
        <v>DESPRENDIMIENTO DE CONTENEDOR</v>
      </c>
      <c r="I298" s="64" t="str">
        <f>IFERROR(__xludf.DUMMYFUNCTION("""COMPUTED_VALUE"""),"CAÍDA DE CARGA")</f>
        <v>CAÍDA DE CARGA</v>
      </c>
      <c r="J298" s="64" t="str">
        <f>IFERROR(__xludf.DUMMYFUNCTION("""COMPUTED_VALUE"""),"CHOQUE")</f>
        <v>CHOQUE</v>
      </c>
      <c r="K298" s="64" t="str">
        <f>IFERROR(__xludf.DUMMYFUNCTION("""COMPUTED_VALUE"""),"COLISIÓN")</f>
        <v>COLISIÓN</v>
      </c>
      <c r="L298" s="64" t="str">
        <f>IFERROR(__xludf.DUMMYFUNCTION("""COMPUTED_VALUE"""),"COLISIÓN MÚLTIPLE")</f>
        <v>COLISIÓN MÚLTIPLE</v>
      </c>
      <c r="M298" s="64" t="str">
        <f>IFERROR(__xludf.DUMMYFUNCTION("""COMPUTED_VALUE"""),"DERRAPE")</f>
        <v>DERRAPE</v>
      </c>
      <c r="N298" s="64" t="str">
        <f>IFERROR(__xludf.DUMMYFUNCTION("""COMPUTED_VALUE"""),"VEHÍCULO INCENDIADO")</f>
        <v>VEHÍCULO INCENDIADO</v>
      </c>
      <c r="O298" s="64" t="str">
        <f>IFERROR(__xludf.DUMMYFUNCTION("""COMPUTED_VALUE"""),"VUELCO")</f>
        <v>VUELCO</v>
      </c>
      <c r="P298" s="64" t="str">
        <f>IFERROR(__xludf.DUMMYFUNCTION("""COMPUTED_VALUE"""),"DESPRENDIMIENTO")</f>
        <v>DESPRENDIMIENTO</v>
      </c>
      <c r="Q298" s="64" t="str">
        <f>IFERROR(__xludf.DUMMYFUNCTION("""COMPUTED_VALUE"""),"CAÍDA DE ÁRBOL")</f>
        <v>CAÍDA DE ÁRBOL</v>
      </c>
      <c r="R298" s="64" t="str">
        <f>IFERROR(__xludf.DUMMYFUNCTION("""COMPUTED_VALUE"""),"DESPRENDIMIENTO DE EJE")</f>
        <v>DESPRENDIMIENTO DE EJE</v>
      </c>
      <c r="S298" s="64" t="str">
        <f>IFERROR(__xludf.DUMMYFUNCTION("""COMPUTED_VALUE"""),"PERSONA ATROPELLADA")</f>
        <v>PERSONA ATROPELLADA</v>
      </c>
    </row>
    <row r="299">
      <c r="B299" s="64" t="s">
        <v>54</v>
      </c>
      <c r="C299" s="64" t="str">
        <f>IFERROR(__xludf.DUMMYFUNCTION(" TRANSPOSE( unique ( QUERY(DATOPRO,""select Col2 where Col1 = '""&amp;B299&amp;""'"")))"),"PINCHAZO")</f>
        <v>PINCHAZO</v>
      </c>
      <c r="D299" s="64" t="str">
        <f>IFERROR(__xludf.DUMMYFUNCTION("""COMPUTED_VALUE"""),"TRABAJOS DE CARRETERA")</f>
        <v>TRABAJOS DE CARRETERA</v>
      </c>
      <c r="E299" s="64" t="str">
        <f>IFERROR(__xludf.DUMMYFUNCTION("""COMPUTED_VALUE"""),"CONSIGNACIÓN")</f>
        <v>CONSIGNACIÓN</v>
      </c>
      <c r="F299" s="64" t="str">
        <f>IFERROR(__xludf.DUMMYFUNCTION("""COMPUTED_VALUE"""),"DERRAME")</f>
        <v>DERRAME</v>
      </c>
      <c r="G299" s="64" t="str">
        <f>IFERROR(__xludf.DUMMYFUNCTION("""COMPUTED_VALUE"""),"CALENTAMIENTO")</f>
        <v>CALENTAMIENTO</v>
      </c>
      <c r="H299" s="64" t="str">
        <f>IFERROR(__xludf.DUMMYFUNCTION("""COMPUTED_VALUE"""),"ESCOLTANDO")</f>
        <v>ESCOLTANDO</v>
      </c>
      <c r="I299" s="64" t="str">
        <f>IFERROR(__xludf.DUMMYFUNCTION("""COMPUTED_VALUE"""),"FALTA DE COMBUSTIBLE")</f>
        <v>FALTA DE COMBUSTIBLE</v>
      </c>
      <c r="J299" s="64" t="str">
        <f>IFERROR(__xludf.DUMMYFUNCTION("""COMPUTED_VALUE"""),"DESPERFECTOS MECÁNICOS")</f>
        <v>DESPERFECTOS MECÁNICOS</v>
      </c>
      <c r="K299" s="64" t="str">
        <f>IFERROR(__xludf.DUMMYFUNCTION("""COMPUTED_VALUE"""),"LLAMADA DE ATENCIÓN")</f>
        <v>LLAMADA DE ATENCIÓN</v>
      </c>
      <c r="L299" s="64" t="str">
        <f>IFERROR(__xludf.DUMMYFUNCTION("""COMPUTED_VALUE"""),"OPERATIVOS")</f>
        <v>OPERATIVOS</v>
      </c>
      <c r="M299" s="64" t="str">
        <f>IFERROR(__xludf.DUMMYFUNCTION("""COMPUTED_VALUE"""),"SANCIÓN")</f>
        <v>SANCIÓN</v>
      </c>
      <c r="N299" s="64" t="str">
        <f>IFERROR(__xludf.DUMMYFUNCTION("""COMPUTED_VALUE"""),"SISTEMA ELECTRICO")</f>
        <v>SISTEMA ELECTRICO</v>
      </c>
      <c r="O299" s="64" t="str">
        <f>IFERROR(__xludf.DUMMYFUNCTION("""COMPUTED_VALUE"""),"ASISTENCIA AL USUARIO")</f>
        <v>ASISTENCIA AL USUARIO</v>
      </c>
      <c r="P299" s="64" t="str">
        <f>IFERROR(__xludf.DUMMYFUNCTION("""COMPUTED_VALUE"""),"DOBLE REMOLQUE")</f>
        <v>DOBLE REMOLQUE</v>
      </c>
      <c r="Q299" s="64" t="str">
        <f>IFERROR(__xludf.DUMMYFUNCTION("""COMPUTED_VALUE"""),"SINAPRESE")</f>
        <v>SINAPRESE</v>
      </c>
      <c r="R299" s="64" t="str">
        <f>IFERROR(__xludf.DUMMYFUNCTION("""COMPUTED_VALUE"""),"APOYO ATLETISMO")</f>
        <v>APOYO ATLETISMO</v>
      </c>
      <c r="S299" s="64" t="str">
        <f>IFERROR(__xludf.DUMMYFUNCTION("""COMPUTED_VALUE"""),"APOYO A CICLISMO")</f>
        <v>APOYO A CICLISMO</v>
      </c>
      <c r="T299" s="64" t="str">
        <f>IFERROR(__xludf.DUMMYFUNCTION("""COMPUTED_VALUE"""),"DESCARGA DE BATERÍA")</f>
        <v>DESCARGA DE BATERÍA</v>
      </c>
      <c r="U299" s="64" t="str">
        <f>IFERROR(__xludf.DUMMYFUNCTION("""COMPUTED_VALUE"""),"PROBLEMAS DE SALUD")</f>
        <v>PROBLEMAS DE SALUD</v>
      </c>
      <c r="V299" s="64" t="str">
        <f>IFERROR(__xludf.DUMMYFUNCTION("""COMPUTED_VALUE"""),"OLVIDO LA LLAVE")</f>
        <v>OLVIDO LA LLAVE</v>
      </c>
      <c r="W299" s="64" t="str">
        <f>IFERROR(__xludf.DUMMYFUNCTION("""COMPUTED_VALUE"""),"CARGA SOBREDIMENSIONADA")</f>
        <v>CARGA SOBREDIMENSIONADA</v>
      </c>
      <c r="X299" s="64" t="str">
        <f>IFERROR(__xludf.DUMMYFUNCTION("""COMPUTED_VALUE"""),"VEHÍCULO ABANDONADO")</f>
        <v>VEHÍCULO ABANDONADO</v>
      </c>
      <c r="Y299" s="64" t="str">
        <f>IFERROR(__xludf.DUMMYFUNCTION("""COMPUTED_VALUE"""),"DESPRENDIMIENTO")</f>
        <v>DESPRENDIMIENTO</v>
      </c>
      <c r="Z299" s="64" t="str">
        <f>IFERROR(__xludf.DUMMYFUNCTION("""COMPUTED_VALUE"""),"CAÍDA DE POSTE")</f>
        <v>CAÍDA DE POSTE</v>
      </c>
      <c r="AA299" s="64" t="str">
        <f>IFERROR(__xludf.DUMMYFUNCTION("""COMPUTED_VALUE"""),"CAÍDA DE RAMA")</f>
        <v>CAÍDA DE RAMA</v>
      </c>
      <c r="AB299" s="64" t="str">
        <f>IFERROR(__xludf.DUMMYFUNCTION("""COMPUTED_VALUE"""),"OPERATIVO DGT")</f>
        <v>OPERATIVO DGT</v>
      </c>
      <c r="AC299" s="64" t="str">
        <f>IFERROR(__xludf.DUMMYFUNCTION("""COMPUTED_VALUE"""),"OPERATIVO PMT")</f>
        <v>OPERATIVO PMT</v>
      </c>
      <c r="AD299" s="64" t="str">
        <f>IFERROR(__xludf.DUMMYFUNCTION("""COMPUTED_VALUE"""),"APOYO A DIGEF")</f>
        <v>APOYO A DIGEF</v>
      </c>
      <c r="AE299" s="64" t="str">
        <f>IFERROR(__xludf.DUMMYFUNCTION("""COMPUTED_VALUE"""),"OPERATIVO PNC TRANSITO")</f>
        <v>OPERATIVO PNC TRANSITO</v>
      </c>
      <c r="AF299" s="64" t="str">
        <f>IFERROR(__xludf.DUMMYFUNCTION("""COMPUTED_VALUE"""),"SOBRECARGA ")</f>
        <v>SOBRECARGA </v>
      </c>
      <c r="AG299" s="64" t="str">
        <f>IFERROR(__xludf.DUMMYFUNCTION("""COMPUTED_VALUE"""),"OPERATIVO EN CONJUNTO")</f>
        <v>OPERATIVO EN CONJUNTO</v>
      </c>
      <c r="AH299" s="64" t="str">
        <f>IFERROR(__xludf.DUMMYFUNCTION("""COMPUTED_VALUE"""),"PUESTO DE ATENCION AL USUARIO")</f>
        <v>PUESTO DE ATENCION AL USUARIO</v>
      </c>
      <c r="AI299" s="64" t="str">
        <f>IFERROR(__xludf.DUMMYFUNCTION("""COMPUTED_VALUE"""),"INCENDIO EN RUTA")</f>
        <v>INCENDIO EN RUTA</v>
      </c>
      <c r="AJ299" s="64" t="str">
        <f>IFERROR(__xludf.DUMMYFUNCTION("""COMPUTED_VALUE"""),"APOYO ANTORCHA ")</f>
        <v>APOYO ANTORCHA </v>
      </c>
    </row>
    <row r="300">
      <c r="B300" s="64" t="s">
        <v>54</v>
      </c>
      <c r="C300" s="64" t="str">
        <f>IFERROR(__xludf.DUMMYFUNCTION(" TRANSPOSE( unique ( QUERY(DATOPRO,""select Col2 where Col1 = '""&amp;B300&amp;""'"")))"),"PINCHAZO")</f>
        <v>PINCHAZO</v>
      </c>
      <c r="D300" s="64" t="str">
        <f>IFERROR(__xludf.DUMMYFUNCTION("""COMPUTED_VALUE"""),"TRABAJOS DE CARRETERA")</f>
        <v>TRABAJOS DE CARRETERA</v>
      </c>
      <c r="E300" s="64" t="str">
        <f>IFERROR(__xludf.DUMMYFUNCTION("""COMPUTED_VALUE"""),"CONSIGNACIÓN")</f>
        <v>CONSIGNACIÓN</v>
      </c>
      <c r="F300" s="64" t="str">
        <f>IFERROR(__xludf.DUMMYFUNCTION("""COMPUTED_VALUE"""),"DERRAME")</f>
        <v>DERRAME</v>
      </c>
      <c r="G300" s="64" t="str">
        <f>IFERROR(__xludf.DUMMYFUNCTION("""COMPUTED_VALUE"""),"CALENTAMIENTO")</f>
        <v>CALENTAMIENTO</v>
      </c>
      <c r="H300" s="64" t="str">
        <f>IFERROR(__xludf.DUMMYFUNCTION("""COMPUTED_VALUE"""),"ESCOLTANDO")</f>
        <v>ESCOLTANDO</v>
      </c>
      <c r="I300" s="64" t="str">
        <f>IFERROR(__xludf.DUMMYFUNCTION("""COMPUTED_VALUE"""),"FALTA DE COMBUSTIBLE")</f>
        <v>FALTA DE COMBUSTIBLE</v>
      </c>
      <c r="J300" s="64" t="str">
        <f>IFERROR(__xludf.DUMMYFUNCTION("""COMPUTED_VALUE"""),"DESPERFECTOS MECÁNICOS")</f>
        <v>DESPERFECTOS MECÁNICOS</v>
      </c>
      <c r="K300" s="64" t="str">
        <f>IFERROR(__xludf.DUMMYFUNCTION("""COMPUTED_VALUE"""),"LLAMADA DE ATENCIÓN")</f>
        <v>LLAMADA DE ATENCIÓN</v>
      </c>
      <c r="L300" s="64" t="str">
        <f>IFERROR(__xludf.DUMMYFUNCTION("""COMPUTED_VALUE"""),"OPERATIVOS")</f>
        <v>OPERATIVOS</v>
      </c>
      <c r="M300" s="64" t="str">
        <f>IFERROR(__xludf.DUMMYFUNCTION("""COMPUTED_VALUE"""),"SANCIÓN")</f>
        <v>SANCIÓN</v>
      </c>
      <c r="N300" s="64" t="str">
        <f>IFERROR(__xludf.DUMMYFUNCTION("""COMPUTED_VALUE"""),"SISTEMA ELECTRICO")</f>
        <v>SISTEMA ELECTRICO</v>
      </c>
      <c r="O300" s="64" t="str">
        <f>IFERROR(__xludf.DUMMYFUNCTION("""COMPUTED_VALUE"""),"ASISTENCIA AL USUARIO")</f>
        <v>ASISTENCIA AL USUARIO</v>
      </c>
      <c r="P300" s="64" t="str">
        <f>IFERROR(__xludf.DUMMYFUNCTION("""COMPUTED_VALUE"""),"DOBLE REMOLQUE")</f>
        <v>DOBLE REMOLQUE</v>
      </c>
      <c r="Q300" s="64" t="str">
        <f>IFERROR(__xludf.DUMMYFUNCTION("""COMPUTED_VALUE"""),"SINAPRESE")</f>
        <v>SINAPRESE</v>
      </c>
      <c r="R300" s="64" t="str">
        <f>IFERROR(__xludf.DUMMYFUNCTION("""COMPUTED_VALUE"""),"APOYO ATLETISMO")</f>
        <v>APOYO ATLETISMO</v>
      </c>
      <c r="S300" s="64" t="str">
        <f>IFERROR(__xludf.DUMMYFUNCTION("""COMPUTED_VALUE"""),"APOYO A CICLISMO")</f>
        <v>APOYO A CICLISMO</v>
      </c>
      <c r="T300" s="64" t="str">
        <f>IFERROR(__xludf.DUMMYFUNCTION("""COMPUTED_VALUE"""),"DESCARGA DE BATERÍA")</f>
        <v>DESCARGA DE BATERÍA</v>
      </c>
      <c r="U300" s="64" t="str">
        <f>IFERROR(__xludf.DUMMYFUNCTION("""COMPUTED_VALUE"""),"PROBLEMAS DE SALUD")</f>
        <v>PROBLEMAS DE SALUD</v>
      </c>
      <c r="V300" s="64" t="str">
        <f>IFERROR(__xludf.DUMMYFUNCTION("""COMPUTED_VALUE"""),"OLVIDO LA LLAVE")</f>
        <v>OLVIDO LA LLAVE</v>
      </c>
      <c r="W300" s="64" t="str">
        <f>IFERROR(__xludf.DUMMYFUNCTION("""COMPUTED_VALUE"""),"CARGA SOBREDIMENSIONADA")</f>
        <v>CARGA SOBREDIMENSIONADA</v>
      </c>
      <c r="X300" s="64" t="str">
        <f>IFERROR(__xludf.DUMMYFUNCTION("""COMPUTED_VALUE"""),"VEHÍCULO ABANDONADO")</f>
        <v>VEHÍCULO ABANDONADO</v>
      </c>
      <c r="Y300" s="64" t="str">
        <f>IFERROR(__xludf.DUMMYFUNCTION("""COMPUTED_VALUE"""),"DESPRENDIMIENTO")</f>
        <v>DESPRENDIMIENTO</v>
      </c>
      <c r="Z300" s="64" t="str">
        <f>IFERROR(__xludf.DUMMYFUNCTION("""COMPUTED_VALUE"""),"CAÍDA DE POSTE")</f>
        <v>CAÍDA DE POSTE</v>
      </c>
      <c r="AA300" s="64" t="str">
        <f>IFERROR(__xludf.DUMMYFUNCTION("""COMPUTED_VALUE"""),"CAÍDA DE RAMA")</f>
        <v>CAÍDA DE RAMA</v>
      </c>
      <c r="AB300" s="64" t="str">
        <f>IFERROR(__xludf.DUMMYFUNCTION("""COMPUTED_VALUE"""),"OPERATIVO DGT")</f>
        <v>OPERATIVO DGT</v>
      </c>
      <c r="AC300" s="64" t="str">
        <f>IFERROR(__xludf.DUMMYFUNCTION("""COMPUTED_VALUE"""),"OPERATIVO PMT")</f>
        <v>OPERATIVO PMT</v>
      </c>
      <c r="AD300" s="64" t="str">
        <f>IFERROR(__xludf.DUMMYFUNCTION("""COMPUTED_VALUE"""),"APOYO A DIGEF")</f>
        <v>APOYO A DIGEF</v>
      </c>
      <c r="AE300" s="64" t="str">
        <f>IFERROR(__xludf.DUMMYFUNCTION("""COMPUTED_VALUE"""),"OPERATIVO PNC TRANSITO")</f>
        <v>OPERATIVO PNC TRANSITO</v>
      </c>
      <c r="AF300" s="64" t="str">
        <f>IFERROR(__xludf.DUMMYFUNCTION("""COMPUTED_VALUE"""),"SOBRECARGA ")</f>
        <v>SOBRECARGA </v>
      </c>
      <c r="AG300" s="64" t="str">
        <f>IFERROR(__xludf.DUMMYFUNCTION("""COMPUTED_VALUE"""),"OPERATIVO EN CONJUNTO")</f>
        <v>OPERATIVO EN CONJUNTO</v>
      </c>
      <c r="AH300" s="64" t="str">
        <f>IFERROR(__xludf.DUMMYFUNCTION("""COMPUTED_VALUE"""),"PUESTO DE ATENCION AL USUARIO")</f>
        <v>PUESTO DE ATENCION AL USUARIO</v>
      </c>
      <c r="AI300" s="64" t="str">
        <f>IFERROR(__xludf.DUMMYFUNCTION("""COMPUTED_VALUE"""),"INCENDIO EN RUTA")</f>
        <v>INCENDIO EN RUTA</v>
      </c>
      <c r="AJ300" s="64" t="str">
        <f>IFERROR(__xludf.DUMMYFUNCTION("""COMPUTED_VALUE"""),"APOYO ANTORCHA ")</f>
        <v>APOYO ANTORCHA </v>
      </c>
    </row>
    <row r="301">
      <c r="B301" s="64" t="s">
        <v>54</v>
      </c>
      <c r="C301" s="64" t="str">
        <f>IFERROR(__xludf.DUMMYFUNCTION(" TRANSPOSE( unique ( QUERY(DATOPRO,""select Col2 where Col1 = '""&amp;B301&amp;""'"")))"),"PINCHAZO")</f>
        <v>PINCHAZO</v>
      </c>
      <c r="D301" s="64" t="str">
        <f>IFERROR(__xludf.DUMMYFUNCTION("""COMPUTED_VALUE"""),"TRABAJOS DE CARRETERA")</f>
        <v>TRABAJOS DE CARRETERA</v>
      </c>
      <c r="E301" s="64" t="str">
        <f>IFERROR(__xludf.DUMMYFUNCTION("""COMPUTED_VALUE"""),"CONSIGNACIÓN")</f>
        <v>CONSIGNACIÓN</v>
      </c>
      <c r="F301" s="64" t="str">
        <f>IFERROR(__xludf.DUMMYFUNCTION("""COMPUTED_VALUE"""),"DERRAME")</f>
        <v>DERRAME</v>
      </c>
      <c r="G301" s="64" t="str">
        <f>IFERROR(__xludf.DUMMYFUNCTION("""COMPUTED_VALUE"""),"CALENTAMIENTO")</f>
        <v>CALENTAMIENTO</v>
      </c>
      <c r="H301" s="64" t="str">
        <f>IFERROR(__xludf.DUMMYFUNCTION("""COMPUTED_VALUE"""),"ESCOLTANDO")</f>
        <v>ESCOLTANDO</v>
      </c>
      <c r="I301" s="64" t="str">
        <f>IFERROR(__xludf.DUMMYFUNCTION("""COMPUTED_VALUE"""),"FALTA DE COMBUSTIBLE")</f>
        <v>FALTA DE COMBUSTIBLE</v>
      </c>
      <c r="J301" s="64" t="str">
        <f>IFERROR(__xludf.DUMMYFUNCTION("""COMPUTED_VALUE"""),"DESPERFECTOS MECÁNICOS")</f>
        <v>DESPERFECTOS MECÁNICOS</v>
      </c>
      <c r="K301" s="64" t="str">
        <f>IFERROR(__xludf.DUMMYFUNCTION("""COMPUTED_VALUE"""),"LLAMADA DE ATENCIÓN")</f>
        <v>LLAMADA DE ATENCIÓN</v>
      </c>
      <c r="L301" s="64" t="str">
        <f>IFERROR(__xludf.DUMMYFUNCTION("""COMPUTED_VALUE"""),"OPERATIVOS")</f>
        <v>OPERATIVOS</v>
      </c>
      <c r="M301" s="64" t="str">
        <f>IFERROR(__xludf.DUMMYFUNCTION("""COMPUTED_VALUE"""),"SANCIÓN")</f>
        <v>SANCIÓN</v>
      </c>
      <c r="N301" s="64" t="str">
        <f>IFERROR(__xludf.DUMMYFUNCTION("""COMPUTED_VALUE"""),"SISTEMA ELECTRICO")</f>
        <v>SISTEMA ELECTRICO</v>
      </c>
      <c r="O301" s="64" t="str">
        <f>IFERROR(__xludf.DUMMYFUNCTION("""COMPUTED_VALUE"""),"ASISTENCIA AL USUARIO")</f>
        <v>ASISTENCIA AL USUARIO</v>
      </c>
      <c r="P301" s="64" t="str">
        <f>IFERROR(__xludf.DUMMYFUNCTION("""COMPUTED_VALUE"""),"DOBLE REMOLQUE")</f>
        <v>DOBLE REMOLQUE</v>
      </c>
      <c r="Q301" s="64" t="str">
        <f>IFERROR(__xludf.DUMMYFUNCTION("""COMPUTED_VALUE"""),"SINAPRESE")</f>
        <v>SINAPRESE</v>
      </c>
      <c r="R301" s="64" t="str">
        <f>IFERROR(__xludf.DUMMYFUNCTION("""COMPUTED_VALUE"""),"APOYO ATLETISMO")</f>
        <v>APOYO ATLETISMO</v>
      </c>
      <c r="S301" s="64" t="str">
        <f>IFERROR(__xludf.DUMMYFUNCTION("""COMPUTED_VALUE"""),"APOYO A CICLISMO")</f>
        <v>APOYO A CICLISMO</v>
      </c>
      <c r="T301" s="64" t="str">
        <f>IFERROR(__xludf.DUMMYFUNCTION("""COMPUTED_VALUE"""),"DESCARGA DE BATERÍA")</f>
        <v>DESCARGA DE BATERÍA</v>
      </c>
      <c r="U301" s="64" t="str">
        <f>IFERROR(__xludf.DUMMYFUNCTION("""COMPUTED_VALUE"""),"PROBLEMAS DE SALUD")</f>
        <v>PROBLEMAS DE SALUD</v>
      </c>
      <c r="V301" s="64" t="str">
        <f>IFERROR(__xludf.DUMMYFUNCTION("""COMPUTED_VALUE"""),"OLVIDO LA LLAVE")</f>
        <v>OLVIDO LA LLAVE</v>
      </c>
      <c r="W301" s="64" t="str">
        <f>IFERROR(__xludf.DUMMYFUNCTION("""COMPUTED_VALUE"""),"CARGA SOBREDIMENSIONADA")</f>
        <v>CARGA SOBREDIMENSIONADA</v>
      </c>
      <c r="X301" s="64" t="str">
        <f>IFERROR(__xludf.DUMMYFUNCTION("""COMPUTED_VALUE"""),"VEHÍCULO ABANDONADO")</f>
        <v>VEHÍCULO ABANDONADO</v>
      </c>
      <c r="Y301" s="64" t="str">
        <f>IFERROR(__xludf.DUMMYFUNCTION("""COMPUTED_VALUE"""),"DESPRENDIMIENTO")</f>
        <v>DESPRENDIMIENTO</v>
      </c>
      <c r="Z301" s="64" t="str">
        <f>IFERROR(__xludf.DUMMYFUNCTION("""COMPUTED_VALUE"""),"CAÍDA DE POSTE")</f>
        <v>CAÍDA DE POSTE</v>
      </c>
      <c r="AA301" s="64" t="str">
        <f>IFERROR(__xludf.DUMMYFUNCTION("""COMPUTED_VALUE"""),"CAÍDA DE RAMA")</f>
        <v>CAÍDA DE RAMA</v>
      </c>
      <c r="AB301" s="64" t="str">
        <f>IFERROR(__xludf.DUMMYFUNCTION("""COMPUTED_VALUE"""),"OPERATIVO DGT")</f>
        <v>OPERATIVO DGT</v>
      </c>
      <c r="AC301" s="64" t="str">
        <f>IFERROR(__xludf.DUMMYFUNCTION("""COMPUTED_VALUE"""),"OPERATIVO PMT")</f>
        <v>OPERATIVO PMT</v>
      </c>
      <c r="AD301" s="64" t="str">
        <f>IFERROR(__xludf.DUMMYFUNCTION("""COMPUTED_VALUE"""),"APOYO A DIGEF")</f>
        <v>APOYO A DIGEF</v>
      </c>
      <c r="AE301" s="64" t="str">
        <f>IFERROR(__xludf.DUMMYFUNCTION("""COMPUTED_VALUE"""),"OPERATIVO PNC TRANSITO")</f>
        <v>OPERATIVO PNC TRANSITO</v>
      </c>
      <c r="AF301" s="64" t="str">
        <f>IFERROR(__xludf.DUMMYFUNCTION("""COMPUTED_VALUE"""),"SOBRECARGA ")</f>
        <v>SOBRECARGA </v>
      </c>
      <c r="AG301" s="64" t="str">
        <f>IFERROR(__xludf.DUMMYFUNCTION("""COMPUTED_VALUE"""),"OPERATIVO EN CONJUNTO")</f>
        <v>OPERATIVO EN CONJUNTO</v>
      </c>
      <c r="AH301" s="64" t="str">
        <f>IFERROR(__xludf.DUMMYFUNCTION("""COMPUTED_VALUE"""),"PUESTO DE ATENCION AL USUARIO")</f>
        <v>PUESTO DE ATENCION AL USUARIO</v>
      </c>
      <c r="AI301" s="64" t="str">
        <f>IFERROR(__xludf.DUMMYFUNCTION("""COMPUTED_VALUE"""),"INCENDIO EN RUTA")</f>
        <v>INCENDIO EN RUTA</v>
      </c>
      <c r="AJ301" s="64" t="str">
        <f>IFERROR(__xludf.DUMMYFUNCTION("""COMPUTED_VALUE"""),"APOYO ANTORCHA ")</f>
        <v>APOYO ANTORCHA </v>
      </c>
    </row>
    <row r="302">
      <c r="B302" s="64" t="s">
        <v>54</v>
      </c>
      <c r="C302" s="64" t="str">
        <f>IFERROR(__xludf.DUMMYFUNCTION(" TRANSPOSE( unique ( QUERY(DATOPRO,""select Col2 where Col1 = '""&amp;B302&amp;""'"")))"),"PINCHAZO")</f>
        <v>PINCHAZO</v>
      </c>
      <c r="D302" s="64" t="str">
        <f>IFERROR(__xludf.DUMMYFUNCTION("""COMPUTED_VALUE"""),"TRABAJOS DE CARRETERA")</f>
        <v>TRABAJOS DE CARRETERA</v>
      </c>
      <c r="E302" s="64" t="str">
        <f>IFERROR(__xludf.DUMMYFUNCTION("""COMPUTED_VALUE"""),"CONSIGNACIÓN")</f>
        <v>CONSIGNACIÓN</v>
      </c>
      <c r="F302" s="64" t="str">
        <f>IFERROR(__xludf.DUMMYFUNCTION("""COMPUTED_VALUE"""),"DERRAME")</f>
        <v>DERRAME</v>
      </c>
      <c r="G302" s="64" t="str">
        <f>IFERROR(__xludf.DUMMYFUNCTION("""COMPUTED_VALUE"""),"CALENTAMIENTO")</f>
        <v>CALENTAMIENTO</v>
      </c>
      <c r="H302" s="64" t="str">
        <f>IFERROR(__xludf.DUMMYFUNCTION("""COMPUTED_VALUE"""),"ESCOLTANDO")</f>
        <v>ESCOLTANDO</v>
      </c>
      <c r="I302" s="64" t="str">
        <f>IFERROR(__xludf.DUMMYFUNCTION("""COMPUTED_VALUE"""),"FALTA DE COMBUSTIBLE")</f>
        <v>FALTA DE COMBUSTIBLE</v>
      </c>
      <c r="J302" s="64" t="str">
        <f>IFERROR(__xludf.DUMMYFUNCTION("""COMPUTED_VALUE"""),"DESPERFECTOS MECÁNICOS")</f>
        <v>DESPERFECTOS MECÁNICOS</v>
      </c>
      <c r="K302" s="64" t="str">
        <f>IFERROR(__xludf.DUMMYFUNCTION("""COMPUTED_VALUE"""),"LLAMADA DE ATENCIÓN")</f>
        <v>LLAMADA DE ATENCIÓN</v>
      </c>
      <c r="L302" s="64" t="str">
        <f>IFERROR(__xludf.DUMMYFUNCTION("""COMPUTED_VALUE"""),"OPERATIVOS")</f>
        <v>OPERATIVOS</v>
      </c>
      <c r="M302" s="64" t="str">
        <f>IFERROR(__xludf.DUMMYFUNCTION("""COMPUTED_VALUE"""),"SANCIÓN")</f>
        <v>SANCIÓN</v>
      </c>
      <c r="N302" s="64" t="str">
        <f>IFERROR(__xludf.DUMMYFUNCTION("""COMPUTED_VALUE"""),"SISTEMA ELECTRICO")</f>
        <v>SISTEMA ELECTRICO</v>
      </c>
      <c r="O302" s="64" t="str">
        <f>IFERROR(__xludf.DUMMYFUNCTION("""COMPUTED_VALUE"""),"ASISTENCIA AL USUARIO")</f>
        <v>ASISTENCIA AL USUARIO</v>
      </c>
      <c r="P302" s="64" t="str">
        <f>IFERROR(__xludf.DUMMYFUNCTION("""COMPUTED_VALUE"""),"DOBLE REMOLQUE")</f>
        <v>DOBLE REMOLQUE</v>
      </c>
      <c r="Q302" s="64" t="str">
        <f>IFERROR(__xludf.DUMMYFUNCTION("""COMPUTED_VALUE"""),"SINAPRESE")</f>
        <v>SINAPRESE</v>
      </c>
      <c r="R302" s="64" t="str">
        <f>IFERROR(__xludf.DUMMYFUNCTION("""COMPUTED_VALUE"""),"APOYO ATLETISMO")</f>
        <v>APOYO ATLETISMO</v>
      </c>
      <c r="S302" s="64" t="str">
        <f>IFERROR(__xludf.DUMMYFUNCTION("""COMPUTED_VALUE"""),"APOYO A CICLISMO")</f>
        <v>APOYO A CICLISMO</v>
      </c>
      <c r="T302" s="64" t="str">
        <f>IFERROR(__xludf.DUMMYFUNCTION("""COMPUTED_VALUE"""),"DESCARGA DE BATERÍA")</f>
        <v>DESCARGA DE BATERÍA</v>
      </c>
      <c r="U302" s="64" t="str">
        <f>IFERROR(__xludf.DUMMYFUNCTION("""COMPUTED_VALUE"""),"PROBLEMAS DE SALUD")</f>
        <v>PROBLEMAS DE SALUD</v>
      </c>
      <c r="V302" s="64" t="str">
        <f>IFERROR(__xludf.DUMMYFUNCTION("""COMPUTED_VALUE"""),"OLVIDO LA LLAVE")</f>
        <v>OLVIDO LA LLAVE</v>
      </c>
      <c r="W302" s="64" t="str">
        <f>IFERROR(__xludf.DUMMYFUNCTION("""COMPUTED_VALUE"""),"CARGA SOBREDIMENSIONADA")</f>
        <v>CARGA SOBREDIMENSIONADA</v>
      </c>
      <c r="X302" s="64" t="str">
        <f>IFERROR(__xludf.DUMMYFUNCTION("""COMPUTED_VALUE"""),"VEHÍCULO ABANDONADO")</f>
        <v>VEHÍCULO ABANDONADO</v>
      </c>
      <c r="Y302" s="64" t="str">
        <f>IFERROR(__xludf.DUMMYFUNCTION("""COMPUTED_VALUE"""),"DESPRENDIMIENTO")</f>
        <v>DESPRENDIMIENTO</v>
      </c>
      <c r="Z302" s="64" t="str">
        <f>IFERROR(__xludf.DUMMYFUNCTION("""COMPUTED_VALUE"""),"CAÍDA DE POSTE")</f>
        <v>CAÍDA DE POSTE</v>
      </c>
      <c r="AA302" s="64" t="str">
        <f>IFERROR(__xludf.DUMMYFUNCTION("""COMPUTED_VALUE"""),"CAÍDA DE RAMA")</f>
        <v>CAÍDA DE RAMA</v>
      </c>
      <c r="AB302" s="64" t="str">
        <f>IFERROR(__xludf.DUMMYFUNCTION("""COMPUTED_VALUE"""),"OPERATIVO DGT")</f>
        <v>OPERATIVO DGT</v>
      </c>
      <c r="AC302" s="64" t="str">
        <f>IFERROR(__xludf.DUMMYFUNCTION("""COMPUTED_VALUE"""),"OPERATIVO PMT")</f>
        <v>OPERATIVO PMT</v>
      </c>
      <c r="AD302" s="64" t="str">
        <f>IFERROR(__xludf.DUMMYFUNCTION("""COMPUTED_VALUE"""),"APOYO A DIGEF")</f>
        <v>APOYO A DIGEF</v>
      </c>
      <c r="AE302" s="64" t="str">
        <f>IFERROR(__xludf.DUMMYFUNCTION("""COMPUTED_VALUE"""),"OPERATIVO PNC TRANSITO")</f>
        <v>OPERATIVO PNC TRANSITO</v>
      </c>
      <c r="AF302" s="64" t="str">
        <f>IFERROR(__xludf.DUMMYFUNCTION("""COMPUTED_VALUE"""),"SOBRECARGA ")</f>
        <v>SOBRECARGA </v>
      </c>
      <c r="AG302" s="64" t="str">
        <f>IFERROR(__xludf.DUMMYFUNCTION("""COMPUTED_VALUE"""),"OPERATIVO EN CONJUNTO")</f>
        <v>OPERATIVO EN CONJUNTO</v>
      </c>
      <c r="AH302" s="64" t="str">
        <f>IFERROR(__xludf.DUMMYFUNCTION("""COMPUTED_VALUE"""),"PUESTO DE ATENCION AL USUARIO")</f>
        <v>PUESTO DE ATENCION AL USUARIO</v>
      </c>
      <c r="AI302" s="64" t="str">
        <f>IFERROR(__xludf.DUMMYFUNCTION("""COMPUTED_VALUE"""),"INCENDIO EN RUTA")</f>
        <v>INCENDIO EN RUTA</v>
      </c>
      <c r="AJ302" s="64" t="str">
        <f>IFERROR(__xludf.DUMMYFUNCTION("""COMPUTED_VALUE"""),"APOYO ANTORCHA ")</f>
        <v>APOYO ANTORCHA </v>
      </c>
    </row>
    <row r="303">
      <c r="B303" s="64" t="s">
        <v>38</v>
      </c>
      <c r="C303" s="64" t="str">
        <f>IFERROR(__xludf.DUMMYFUNCTION(" TRANSPOSE( unique ( QUERY(DATOPRO,""select Col2 where Col1 = '""&amp;B303&amp;""'"")))"),"ATAQUE ARMADO")</f>
        <v>ATAQUE ARMADO</v>
      </c>
      <c r="D303" s="64" t="str">
        <f>IFERROR(__xludf.DUMMYFUNCTION("""COMPUTED_VALUE"""),"DESBALANCE DE CARGA")</f>
        <v>DESBALANCE DE CARGA</v>
      </c>
      <c r="E303" s="64" t="str">
        <f>IFERROR(__xludf.DUMMYFUNCTION("""COMPUTED_VALUE"""),"PERSONA FALLECIDA")</f>
        <v>PERSONA FALLECIDA</v>
      </c>
      <c r="F303" s="64" t="str">
        <f>IFERROR(__xludf.DUMMYFUNCTION("""COMPUTED_VALUE"""),"DESPRENDIMIENTO DE NEUMATICO")</f>
        <v>DESPRENDIMIENTO DE NEUMATICO</v>
      </c>
      <c r="G303" s="64" t="str">
        <f>IFERROR(__xludf.DUMMYFUNCTION("""COMPUTED_VALUE"""),"SALIDA DE PISTA")</f>
        <v>SALIDA DE PISTA</v>
      </c>
      <c r="H303" s="64" t="str">
        <f>IFERROR(__xludf.DUMMYFUNCTION("""COMPUTED_VALUE"""),"DESPRENDIMIENTO DE CONTENEDOR")</f>
        <v>DESPRENDIMIENTO DE CONTENEDOR</v>
      </c>
      <c r="I303" s="64" t="str">
        <f>IFERROR(__xludf.DUMMYFUNCTION("""COMPUTED_VALUE"""),"CAÍDA DE CARGA")</f>
        <v>CAÍDA DE CARGA</v>
      </c>
      <c r="J303" s="64" t="str">
        <f>IFERROR(__xludf.DUMMYFUNCTION("""COMPUTED_VALUE"""),"CHOQUE")</f>
        <v>CHOQUE</v>
      </c>
      <c r="K303" s="64" t="str">
        <f>IFERROR(__xludf.DUMMYFUNCTION("""COMPUTED_VALUE"""),"COLISIÓN")</f>
        <v>COLISIÓN</v>
      </c>
      <c r="L303" s="64" t="str">
        <f>IFERROR(__xludf.DUMMYFUNCTION("""COMPUTED_VALUE"""),"COLISIÓN MÚLTIPLE")</f>
        <v>COLISIÓN MÚLTIPLE</v>
      </c>
      <c r="M303" s="64" t="str">
        <f>IFERROR(__xludf.DUMMYFUNCTION("""COMPUTED_VALUE"""),"DERRAPE")</f>
        <v>DERRAPE</v>
      </c>
      <c r="N303" s="64" t="str">
        <f>IFERROR(__xludf.DUMMYFUNCTION("""COMPUTED_VALUE"""),"VEHÍCULO INCENDIADO")</f>
        <v>VEHÍCULO INCENDIADO</v>
      </c>
      <c r="O303" s="64" t="str">
        <f>IFERROR(__xludf.DUMMYFUNCTION("""COMPUTED_VALUE"""),"VUELCO")</f>
        <v>VUELCO</v>
      </c>
      <c r="P303" s="64" t="str">
        <f>IFERROR(__xludf.DUMMYFUNCTION("""COMPUTED_VALUE"""),"DESPRENDIMIENTO")</f>
        <v>DESPRENDIMIENTO</v>
      </c>
      <c r="Q303" s="64" t="str">
        <f>IFERROR(__xludf.DUMMYFUNCTION("""COMPUTED_VALUE"""),"CAÍDA DE ÁRBOL")</f>
        <v>CAÍDA DE ÁRBOL</v>
      </c>
      <c r="R303" s="64" t="str">
        <f>IFERROR(__xludf.DUMMYFUNCTION("""COMPUTED_VALUE"""),"DESPRENDIMIENTO DE EJE")</f>
        <v>DESPRENDIMIENTO DE EJE</v>
      </c>
      <c r="S303" s="64" t="str">
        <f>IFERROR(__xludf.DUMMYFUNCTION("""COMPUTED_VALUE"""),"PERSONA ATROPELLADA")</f>
        <v>PERSONA ATROPELLADA</v>
      </c>
    </row>
    <row r="304">
      <c r="B304" s="64" t="s">
        <v>38</v>
      </c>
      <c r="C304" s="64" t="str">
        <f>IFERROR(__xludf.DUMMYFUNCTION(" TRANSPOSE( unique ( QUERY(DATOPRO,""select Col2 where Col1 = '""&amp;B304&amp;""'"")))"),"ATAQUE ARMADO")</f>
        <v>ATAQUE ARMADO</v>
      </c>
      <c r="D304" s="64" t="str">
        <f>IFERROR(__xludf.DUMMYFUNCTION("""COMPUTED_VALUE"""),"DESBALANCE DE CARGA")</f>
        <v>DESBALANCE DE CARGA</v>
      </c>
      <c r="E304" s="64" t="str">
        <f>IFERROR(__xludf.DUMMYFUNCTION("""COMPUTED_VALUE"""),"PERSONA FALLECIDA")</f>
        <v>PERSONA FALLECIDA</v>
      </c>
      <c r="F304" s="64" t="str">
        <f>IFERROR(__xludf.DUMMYFUNCTION("""COMPUTED_VALUE"""),"DESPRENDIMIENTO DE NEUMATICO")</f>
        <v>DESPRENDIMIENTO DE NEUMATICO</v>
      </c>
      <c r="G304" s="64" t="str">
        <f>IFERROR(__xludf.DUMMYFUNCTION("""COMPUTED_VALUE"""),"SALIDA DE PISTA")</f>
        <v>SALIDA DE PISTA</v>
      </c>
      <c r="H304" s="64" t="str">
        <f>IFERROR(__xludf.DUMMYFUNCTION("""COMPUTED_VALUE"""),"DESPRENDIMIENTO DE CONTENEDOR")</f>
        <v>DESPRENDIMIENTO DE CONTENEDOR</v>
      </c>
      <c r="I304" s="64" t="str">
        <f>IFERROR(__xludf.DUMMYFUNCTION("""COMPUTED_VALUE"""),"CAÍDA DE CARGA")</f>
        <v>CAÍDA DE CARGA</v>
      </c>
      <c r="J304" s="64" t="str">
        <f>IFERROR(__xludf.DUMMYFUNCTION("""COMPUTED_VALUE"""),"CHOQUE")</f>
        <v>CHOQUE</v>
      </c>
      <c r="K304" s="64" t="str">
        <f>IFERROR(__xludf.DUMMYFUNCTION("""COMPUTED_VALUE"""),"COLISIÓN")</f>
        <v>COLISIÓN</v>
      </c>
      <c r="L304" s="64" t="str">
        <f>IFERROR(__xludf.DUMMYFUNCTION("""COMPUTED_VALUE"""),"COLISIÓN MÚLTIPLE")</f>
        <v>COLISIÓN MÚLTIPLE</v>
      </c>
      <c r="M304" s="64" t="str">
        <f>IFERROR(__xludf.DUMMYFUNCTION("""COMPUTED_VALUE"""),"DERRAPE")</f>
        <v>DERRAPE</v>
      </c>
      <c r="N304" s="64" t="str">
        <f>IFERROR(__xludf.DUMMYFUNCTION("""COMPUTED_VALUE"""),"VEHÍCULO INCENDIADO")</f>
        <v>VEHÍCULO INCENDIADO</v>
      </c>
      <c r="O304" s="64" t="str">
        <f>IFERROR(__xludf.DUMMYFUNCTION("""COMPUTED_VALUE"""),"VUELCO")</f>
        <v>VUELCO</v>
      </c>
      <c r="P304" s="64" t="str">
        <f>IFERROR(__xludf.DUMMYFUNCTION("""COMPUTED_VALUE"""),"DESPRENDIMIENTO")</f>
        <v>DESPRENDIMIENTO</v>
      </c>
      <c r="Q304" s="64" t="str">
        <f>IFERROR(__xludf.DUMMYFUNCTION("""COMPUTED_VALUE"""),"CAÍDA DE ÁRBOL")</f>
        <v>CAÍDA DE ÁRBOL</v>
      </c>
      <c r="R304" s="64" t="str">
        <f>IFERROR(__xludf.DUMMYFUNCTION("""COMPUTED_VALUE"""),"DESPRENDIMIENTO DE EJE")</f>
        <v>DESPRENDIMIENTO DE EJE</v>
      </c>
      <c r="S304" s="64" t="str">
        <f>IFERROR(__xludf.DUMMYFUNCTION("""COMPUTED_VALUE"""),"PERSONA ATROPELLADA")</f>
        <v>PERSONA ATROPELLADA</v>
      </c>
    </row>
    <row r="305">
      <c r="B305" s="64" t="s">
        <v>54</v>
      </c>
      <c r="C305" s="64" t="str">
        <f>IFERROR(__xludf.DUMMYFUNCTION(" TRANSPOSE( unique ( QUERY(DATOPRO,""select Col2 where Col1 = '""&amp;B305&amp;""'"")))"),"PINCHAZO")</f>
        <v>PINCHAZO</v>
      </c>
      <c r="D305" s="64" t="str">
        <f>IFERROR(__xludf.DUMMYFUNCTION("""COMPUTED_VALUE"""),"TRABAJOS DE CARRETERA")</f>
        <v>TRABAJOS DE CARRETERA</v>
      </c>
      <c r="E305" s="64" t="str">
        <f>IFERROR(__xludf.DUMMYFUNCTION("""COMPUTED_VALUE"""),"CONSIGNACIÓN")</f>
        <v>CONSIGNACIÓN</v>
      </c>
      <c r="F305" s="64" t="str">
        <f>IFERROR(__xludf.DUMMYFUNCTION("""COMPUTED_VALUE"""),"DERRAME")</f>
        <v>DERRAME</v>
      </c>
      <c r="G305" s="64" t="str">
        <f>IFERROR(__xludf.DUMMYFUNCTION("""COMPUTED_VALUE"""),"CALENTAMIENTO")</f>
        <v>CALENTAMIENTO</v>
      </c>
      <c r="H305" s="64" t="str">
        <f>IFERROR(__xludf.DUMMYFUNCTION("""COMPUTED_VALUE"""),"ESCOLTANDO")</f>
        <v>ESCOLTANDO</v>
      </c>
      <c r="I305" s="64" t="str">
        <f>IFERROR(__xludf.DUMMYFUNCTION("""COMPUTED_VALUE"""),"FALTA DE COMBUSTIBLE")</f>
        <v>FALTA DE COMBUSTIBLE</v>
      </c>
      <c r="J305" s="64" t="str">
        <f>IFERROR(__xludf.DUMMYFUNCTION("""COMPUTED_VALUE"""),"DESPERFECTOS MECÁNICOS")</f>
        <v>DESPERFECTOS MECÁNICOS</v>
      </c>
      <c r="K305" s="64" t="str">
        <f>IFERROR(__xludf.DUMMYFUNCTION("""COMPUTED_VALUE"""),"LLAMADA DE ATENCIÓN")</f>
        <v>LLAMADA DE ATENCIÓN</v>
      </c>
      <c r="L305" s="64" t="str">
        <f>IFERROR(__xludf.DUMMYFUNCTION("""COMPUTED_VALUE"""),"OPERATIVOS")</f>
        <v>OPERATIVOS</v>
      </c>
      <c r="M305" s="64" t="str">
        <f>IFERROR(__xludf.DUMMYFUNCTION("""COMPUTED_VALUE"""),"SANCIÓN")</f>
        <v>SANCIÓN</v>
      </c>
      <c r="N305" s="64" t="str">
        <f>IFERROR(__xludf.DUMMYFUNCTION("""COMPUTED_VALUE"""),"SISTEMA ELECTRICO")</f>
        <v>SISTEMA ELECTRICO</v>
      </c>
      <c r="O305" s="64" t="str">
        <f>IFERROR(__xludf.DUMMYFUNCTION("""COMPUTED_VALUE"""),"ASISTENCIA AL USUARIO")</f>
        <v>ASISTENCIA AL USUARIO</v>
      </c>
      <c r="P305" s="64" t="str">
        <f>IFERROR(__xludf.DUMMYFUNCTION("""COMPUTED_VALUE"""),"DOBLE REMOLQUE")</f>
        <v>DOBLE REMOLQUE</v>
      </c>
      <c r="Q305" s="64" t="str">
        <f>IFERROR(__xludf.DUMMYFUNCTION("""COMPUTED_VALUE"""),"SINAPRESE")</f>
        <v>SINAPRESE</v>
      </c>
      <c r="R305" s="64" t="str">
        <f>IFERROR(__xludf.DUMMYFUNCTION("""COMPUTED_VALUE"""),"APOYO ATLETISMO")</f>
        <v>APOYO ATLETISMO</v>
      </c>
      <c r="S305" s="64" t="str">
        <f>IFERROR(__xludf.DUMMYFUNCTION("""COMPUTED_VALUE"""),"APOYO A CICLISMO")</f>
        <v>APOYO A CICLISMO</v>
      </c>
      <c r="T305" s="64" t="str">
        <f>IFERROR(__xludf.DUMMYFUNCTION("""COMPUTED_VALUE"""),"DESCARGA DE BATERÍA")</f>
        <v>DESCARGA DE BATERÍA</v>
      </c>
      <c r="U305" s="64" t="str">
        <f>IFERROR(__xludf.DUMMYFUNCTION("""COMPUTED_VALUE"""),"PROBLEMAS DE SALUD")</f>
        <v>PROBLEMAS DE SALUD</v>
      </c>
      <c r="V305" s="64" t="str">
        <f>IFERROR(__xludf.DUMMYFUNCTION("""COMPUTED_VALUE"""),"OLVIDO LA LLAVE")</f>
        <v>OLVIDO LA LLAVE</v>
      </c>
      <c r="W305" s="64" t="str">
        <f>IFERROR(__xludf.DUMMYFUNCTION("""COMPUTED_VALUE"""),"CARGA SOBREDIMENSIONADA")</f>
        <v>CARGA SOBREDIMENSIONADA</v>
      </c>
      <c r="X305" s="64" t="str">
        <f>IFERROR(__xludf.DUMMYFUNCTION("""COMPUTED_VALUE"""),"VEHÍCULO ABANDONADO")</f>
        <v>VEHÍCULO ABANDONADO</v>
      </c>
      <c r="Y305" s="64" t="str">
        <f>IFERROR(__xludf.DUMMYFUNCTION("""COMPUTED_VALUE"""),"DESPRENDIMIENTO")</f>
        <v>DESPRENDIMIENTO</v>
      </c>
      <c r="Z305" s="64" t="str">
        <f>IFERROR(__xludf.DUMMYFUNCTION("""COMPUTED_VALUE"""),"CAÍDA DE POSTE")</f>
        <v>CAÍDA DE POSTE</v>
      </c>
      <c r="AA305" s="64" t="str">
        <f>IFERROR(__xludf.DUMMYFUNCTION("""COMPUTED_VALUE"""),"CAÍDA DE RAMA")</f>
        <v>CAÍDA DE RAMA</v>
      </c>
      <c r="AB305" s="64" t="str">
        <f>IFERROR(__xludf.DUMMYFUNCTION("""COMPUTED_VALUE"""),"OPERATIVO DGT")</f>
        <v>OPERATIVO DGT</v>
      </c>
      <c r="AC305" s="64" t="str">
        <f>IFERROR(__xludf.DUMMYFUNCTION("""COMPUTED_VALUE"""),"OPERATIVO PMT")</f>
        <v>OPERATIVO PMT</v>
      </c>
      <c r="AD305" s="64" t="str">
        <f>IFERROR(__xludf.DUMMYFUNCTION("""COMPUTED_VALUE"""),"APOYO A DIGEF")</f>
        <v>APOYO A DIGEF</v>
      </c>
      <c r="AE305" s="64" t="str">
        <f>IFERROR(__xludf.DUMMYFUNCTION("""COMPUTED_VALUE"""),"OPERATIVO PNC TRANSITO")</f>
        <v>OPERATIVO PNC TRANSITO</v>
      </c>
      <c r="AF305" s="64" t="str">
        <f>IFERROR(__xludf.DUMMYFUNCTION("""COMPUTED_VALUE"""),"SOBRECARGA ")</f>
        <v>SOBRECARGA </v>
      </c>
      <c r="AG305" s="64" t="str">
        <f>IFERROR(__xludf.DUMMYFUNCTION("""COMPUTED_VALUE"""),"OPERATIVO EN CONJUNTO")</f>
        <v>OPERATIVO EN CONJUNTO</v>
      </c>
      <c r="AH305" s="64" t="str">
        <f>IFERROR(__xludf.DUMMYFUNCTION("""COMPUTED_VALUE"""),"PUESTO DE ATENCION AL USUARIO")</f>
        <v>PUESTO DE ATENCION AL USUARIO</v>
      </c>
      <c r="AI305" s="64" t="str">
        <f>IFERROR(__xludf.DUMMYFUNCTION("""COMPUTED_VALUE"""),"INCENDIO EN RUTA")</f>
        <v>INCENDIO EN RUTA</v>
      </c>
      <c r="AJ305" s="64" t="str">
        <f>IFERROR(__xludf.DUMMYFUNCTION("""COMPUTED_VALUE"""),"APOYO ANTORCHA ")</f>
        <v>APOYO ANTORCHA </v>
      </c>
    </row>
    <row r="306">
      <c r="B306" s="64"/>
      <c r="C306" s="64" t="str">
        <f>IFERROR(__xludf.DUMMYFUNCTION(" TRANSPOSE( unique ( QUERY(DATOPRO,""select Col2 where Col1 = '""&amp;B306&amp;""'"")))"),"")</f>
        <v/>
      </c>
    </row>
    <row r="307">
      <c r="B307" s="64"/>
      <c r="C307" s="64" t="str">
        <f>IFERROR(__xludf.DUMMYFUNCTION(" TRANSPOSE( unique ( QUERY(DATOPRO,""select Col2 where Col1 = '""&amp;B307&amp;""'"")))"),"")</f>
        <v/>
      </c>
    </row>
    <row r="308">
      <c r="B308" s="64" t="s">
        <v>38</v>
      </c>
      <c r="C308" s="64" t="str">
        <f>IFERROR(__xludf.DUMMYFUNCTION(" TRANSPOSE( unique ( QUERY(DATOPRO,""select Col2 where Col1 = '""&amp;B308&amp;""'"")))"),"ATAQUE ARMADO")</f>
        <v>ATAQUE ARMADO</v>
      </c>
      <c r="D308" s="64" t="str">
        <f>IFERROR(__xludf.DUMMYFUNCTION("""COMPUTED_VALUE"""),"DESBALANCE DE CARGA")</f>
        <v>DESBALANCE DE CARGA</v>
      </c>
      <c r="E308" s="64" t="str">
        <f>IFERROR(__xludf.DUMMYFUNCTION("""COMPUTED_VALUE"""),"PERSONA FALLECIDA")</f>
        <v>PERSONA FALLECIDA</v>
      </c>
      <c r="F308" s="64" t="str">
        <f>IFERROR(__xludf.DUMMYFUNCTION("""COMPUTED_VALUE"""),"DESPRENDIMIENTO DE NEUMATICO")</f>
        <v>DESPRENDIMIENTO DE NEUMATICO</v>
      </c>
      <c r="G308" s="64" t="str">
        <f>IFERROR(__xludf.DUMMYFUNCTION("""COMPUTED_VALUE"""),"SALIDA DE PISTA")</f>
        <v>SALIDA DE PISTA</v>
      </c>
      <c r="H308" s="64" t="str">
        <f>IFERROR(__xludf.DUMMYFUNCTION("""COMPUTED_VALUE"""),"DESPRENDIMIENTO DE CONTENEDOR")</f>
        <v>DESPRENDIMIENTO DE CONTENEDOR</v>
      </c>
      <c r="I308" s="64" t="str">
        <f>IFERROR(__xludf.DUMMYFUNCTION("""COMPUTED_VALUE"""),"CAÍDA DE CARGA")</f>
        <v>CAÍDA DE CARGA</v>
      </c>
      <c r="J308" s="64" t="str">
        <f>IFERROR(__xludf.DUMMYFUNCTION("""COMPUTED_VALUE"""),"CHOQUE")</f>
        <v>CHOQUE</v>
      </c>
      <c r="K308" s="64" t="str">
        <f>IFERROR(__xludf.DUMMYFUNCTION("""COMPUTED_VALUE"""),"COLISIÓN")</f>
        <v>COLISIÓN</v>
      </c>
      <c r="L308" s="64" t="str">
        <f>IFERROR(__xludf.DUMMYFUNCTION("""COMPUTED_VALUE"""),"COLISIÓN MÚLTIPLE")</f>
        <v>COLISIÓN MÚLTIPLE</v>
      </c>
      <c r="M308" s="64" t="str">
        <f>IFERROR(__xludf.DUMMYFUNCTION("""COMPUTED_VALUE"""),"DERRAPE")</f>
        <v>DERRAPE</v>
      </c>
      <c r="N308" s="64" t="str">
        <f>IFERROR(__xludf.DUMMYFUNCTION("""COMPUTED_VALUE"""),"VEHÍCULO INCENDIADO")</f>
        <v>VEHÍCULO INCENDIADO</v>
      </c>
      <c r="O308" s="64" t="str">
        <f>IFERROR(__xludf.DUMMYFUNCTION("""COMPUTED_VALUE"""),"VUELCO")</f>
        <v>VUELCO</v>
      </c>
      <c r="P308" s="64" t="str">
        <f>IFERROR(__xludf.DUMMYFUNCTION("""COMPUTED_VALUE"""),"DESPRENDIMIENTO")</f>
        <v>DESPRENDIMIENTO</v>
      </c>
      <c r="Q308" s="64" t="str">
        <f>IFERROR(__xludf.DUMMYFUNCTION("""COMPUTED_VALUE"""),"CAÍDA DE ÁRBOL")</f>
        <v>CAÍDA DE ÁRBOL</v>
      </c>
      <c r="R308" s="64" t="str">
        <f>IFERROR(__xludf.DUMMYFUNCTION("""COMPUTED_VALUE"""),"DESPRENDIMIENTO DE EJE")</f>
        <v>DESPRENDIMIENTO DE EJE</v>
      </c>
      <c r="S308" s="64" t="str">
        <f>IFERROR(__xludf.DUMMYFUNCTION("""COMPUTED_VALUE"""),"PERSONA ATROPELLADA")</f>
        <v>PERSONA ATROPELLADA</v>
      </c>
    </row>
    <row r="309">
      <c r="B309" s="64" t="s">
        <v>54</v>
      </c>
      <c r="C309" s="64" t="str">
        <f>IFERROR(__xludf.DUMMYFUNCTION(" TRANSPOSE( unique ( QUERY(DATOPRO,""select Col2 where Col1 = '""&amp;B309&amp;""'"")))"),"PINCHAZO")</f>
        <v>PINCHAZO</v>
      </c>
      <c r="D309" s="64" t="str">
        <f>IFERROR(__xludf.DUMMYFUNCTION("""COMPUTED_VALUE"""),"TRABAJOS DE CARRETERA")</f>
        <v>TRABAJOS DE CARRETERA</v>
      </c>
      <c r="E309" s="64" t="str">
        <f>IFERROR(__xludf.DUMMYFUNCTION("""COMPUTED_VALUE"""),"CONSIGNACIÓN")</f>
        <v>CONSIGNACIÓN</v>
      </c>
      <c r="F309" s="64" t="str">
        <f>IFERROR(__xludf.DUMMYFUNCTION("""COMPUTED_VALUE"""),"DERRAME")</f>
        <v>DERRAME</v>
      </c>
      <c r="G309" s="64" t="str">
        <f>IFERROR(__xludf.DUMMYFUNCTION("""COMPUTED_VALUE"""),"CALENTAMIENTO")</f>
        <v>CALENTAMIENTO</v>
      </c>
      <c r="H309" s="64" t="str">
        <f>IFERROR(__xludf.DUMMYFUNCTION("""COMPUTED_VALUE"""),"ESCOLTANDO")</f>
        <v>ESCOLTANDO</v>
      </c>
      <c r="I309" s="64" t="str">
        <f>IFERROR(__xludf.DUMMYFUNCTION("""COMPUTED_VALUE"""),"FALTA DE COMBUSTIBLE")</f>
        <v>FALTA DE COMBUSTIBLE</v>
      </c>
      <c r="J309" s="64" t="str">
        <f>IFERROR(__xludf.DUMMYFUNCTION("""COMPUTED_VALUE"""),"DESPERFECTOS MECÁNICOS")</f>
        <v>DESPERFECTOS MECÁNICOS</v>
      </c>
      <c r="K309" s="64" t="str">
        <f>IFERROR(__xludf.DUMMYFUNCTION("""COMPUTED_VALUE"""),"LLAMADA DE ATENCIÓN")</f>
        <v>LLAMADA DE ATENCIÓN</v>
      </c>
      <c r="L309" s="64" t="str">
        <f>IFERROR(__xludf.DUMMYFUNCTION("""COMPUTED_VALUE"""),"OPERATIVOS")</f>
        <v>OPERATIVOS</v>
      </c>
      <c r="M309" s="64" t="str">
        <f>IFERROR(__xludf.DUMMYFUNCTION("""COMPUTED_VALUE"""),"SANCIÓN")</f>
        <v>SANCIÓN</v>
      </c>
      <c r="N309" s="64" t="str">
        <f>IFERROR(__xludf.DUMMYFUNCTION("""COMPUTED_VALUE"""),"SISTEMA ELECTRICO")</f>
        <v>SISTEMA ELECTRICO</v>
      </c>
      <c r="O309" s="64" t="str">
        <f>IFERROR(__xludf.DUMMYFUNCTION("""COMPUTED_VALUE"""),"ASISTENCIA AL USUARIO")</f>
        <v>ASISTENCIA AL USUARIO</v>
      </c>
      <c r="P309" s="64" t="str">
        <f>IFERROR(__xludf.DUMMYFUNCTION("""COMPUTED_VALUE"""),"DOBLE REMOLQUE")</f>
        <v>DOBLE REMOLQUE</v>
      </c>
      <c r="Q309" s="64" t="str">
        <f>IFERROR(__xludf.DUMMYFUNCTION("""COMPUTED_VALUE"""),"SINAPRESE")</f>
        <v>SINAPRESE</v>
      </c>
      <c r="R309" s="64" t="str">
        <f>IFERROR(__xludf.DUMMYFUNCTION("""COMPUTED_VALUE"""),"APOYO ATLETISMO")</f>
        <v>APOYO ATLETISMO</v>
      </c>
      <c r="S309" s="64" t="str">
        <f>IFERROR(__xludf.DUMMYFUNCTION("""COMPUTED_VALUE"""),"APOYO A CICLISMO")</f>
        <v>APOYO A CICLISMO</v>
      </c>
      <c r="T309" s="64" t="str">
        <f>IFERROR(__xludf.DUMMYFUNCTION("""COMPUTED_VALUE"""),"DESCARGA DE BATERÍA")</f>
        <v>DESCARGA DE BATERÍA</v>
      </c>
      <c r="U309" s="64" t="str">
        <f>IFERROR(__xludf.DUMMYFUNCTION("""COMPUTED_VALUE"""),"PROBLEMAS DE SALUD")</f>
        <v>PROBLEMAS DE SALUD</v>
      </c>
      <c r="V309" s="64" t="str">
        <f>IFERROR(__xludf.DUMMYFUNCTION("""COMPUTED_VALUE"""),"OLVIDO LA LLAVE")</f>
        <v>OLVIDO LA LLAVE</v>
      </c>
      <c r="W309" s="64" t="str">
        <f>IFERROR(__xludf.DUMMYFUNCTION("""COMPUTED_VALUE"""),"CARGA SOBREDIMENSIONADA")</f>
        <v>CARGA SOBREDIMENSIONADA</v>
      </c>
      <c r="X309" s="64" t="str">
        <f>IFERROR(__xludf.DUMMYFUNCTION("""COMPUTED_VALUE"""),"VEHÍCULO ABANDONADO")</f>
        <v>VEHÍCULO ABANDONADO</v>
      </c>
      <c r="Y309" s="64" t="str">
        <f>IFERROR(__xludf.DUMMYFUNCTION("""COMPUTED_VALUE"""),"DESPRENDIMIENTO")</f>
        <v>DESPRENDIMIENTO</v>
      </c>
      <c r="Z309" s="64" t="str">
        <f>IFERROR(__xludf.DUMMYFUNCTION("""COMPUTED_VALUE"""),"CAÍDA DE POSTE")</f>
        <v>CAÍDA DE POSTE</v>
      </c>
      <c r="AA309" s="64" t="str">
        <f>IFERROR(__xludf.DUMMYFUNCTION("""COMPUTED_VALUE"""),"CAÍDA DE RAMA")</f>
        <v>CAÍDA DE RAMA</v>
      </c>
      <c r="AB309" s="64" t="str">
        <f>IFERROR(__xludf.DUMMYFUNCTION("""COMPUTED_VALUE"""),"OPERATIVO DGT")</f>
        <v>OPERATIVO DGT</v>
      </c>
      <c r="AC309" s="64" t="str">
        <f>IFERROR(__xludf.DUMMYFUNCTION("""COMPUTED_VALUE"""),"OPERATIVO PMT")</f>
        <v>OPERATIVO PMT</v>
      </c>
      <c r="AD309" s="64" t="str">
        <f>IFERROR(__xludf.DUMMYFUNCTION("""COMPUTED_VALUE"""),"APOYO A DIGEF")</f>
        <v>APOYO A DIGEF</v>
      </c>
      <c r="AE309" s="64" t="str">
        <f>IFERROR(__xludf.DUMMYFUNCTION("""COMPUTED_VALUE"""),"OPERATIVO PNC TRANSITO")</f>
        <v>OPERATIVO PNC TRANSITO</v>
      </c>
      <c r="AF309" s="64" t="str">
        <f>IFERROR(__xludf.DUMMYFUNCTION("""COMPUTED_VALUE"""),"SOBRECARGA ")</f>
        <v>SOBRECARGA </v>
      </c>
      <c r="AG309" s="64" t="str">
        <f>IFERROR(__xludf.DUMMYFUNCTION("""COMPUTED_VALUE"""),"OPERATIVO EN CONJUNTO")</f>
        <v>OPERATIVO EN CONJUNTO</v>
      </c>
      <c r="AH309" s="64" t="str">
        <f>IFERROR(__xludf.DUMMYFUNCTION("""COMPUTED_VALUE"""),"PUESTO DE ATENCION AL USUARIO")</f>
        <v>PUESTO DE ATENCION AL USUARIO</v>
      </c>
      <c r="AI309" s="64" t="str">
        <f>IFERROR(__xludf.DUMMYFUNCTION("""COMPUTED_VALUE"""),"INCENDIO EN RUTA")</f>
        <v>INCENDIO EN RUTA</v>
      </c>
      <c r="AJ309" s="64" t="str">
        <f>IFERROR(__xludf.DUMMYFUNCTION("""COMPUTED_VALUE"""),"APOYO ANTORCHA ")</f>
        <v>APOYO ANTORCHA </v>
      </c>
    </row>
    <row r="310">
      <c r="B310" s="64" t="s">
        <v>54</v>
      </c>
      <c r="C310" s="64" t="str">
        <f>IFERROR(__xludf.DUMMYFUNCTION(" TRANSPOSE( unique ( QUERY(DATOPRO,""select Col2 where Col1 = '""&amp;B310&amp;""'"")))"),"PINCHAZO")</f>
        <v>PINCHAZO</v>
      </c>
      <c r="D310" s="64" t="str">
        <f>IFERROR(__xludf.DUMMYFUNCTION("""COMPUTED_VALUE"""),"TRABAJOS DE CARRETERA")</f>
        <v>TRABAJOS DE CARRETERA</v>
      </c>
      <c r="E310" s="64" t="str">
        <f>IFERROR(__xludf.DUMMYFUNCTION("""COMPUTED_VALUE"""),"CONSIGNACIÓN")</f>
        <v>CONSIGNACIÓN</v>
      </c>
      <c r="F310" s="64" t="str">
        <f>IFERROR(__xludf.DUMMYFUNCTION("""COMPUTED_VALUE"""),"DERRAME")</f>
        <v>DERRAME</v>
      </c>
      <c r="G310" s="64" t="str">
        <f>IFERROR(__xludf.DUMMYFUNCTION("""COMPUTED_VALUE"""),"CALENTAMIENTO")</f>
        <v>CALENTAMIENTO</v>
      </c>
      <c r="H310" s="64" t="str">
        <f>IFERROR(__xludf.DUMMYFUNCTION("""COMPUTED_VALUE"""),"ESCOLTANDO")</f>
        <v>ESCOLTANDO</v>
      </c>
      <c r="I310" s="64" t="str">
        <f>IFERROR(__xludf.DUMMYFUNCTION("""COMPUTED_VALUE"""),"FALTA DE COMBUSTIBLE")</f>
        <v>FALTA DE COMBUSTIBLE</v>
      </c>
      <c r="J310" s="64" t="str">
        <f>IFERROR(__xludf.DUMMYFUNCTION("""COMPUTED_VALUE"""),"DESPERFECTOS MECÁNICOS")</f>
        <v>DESPERFECTOS MECÁNICOS</v>
      </c>
      <c r="K310" s="64" t="str">
        <f>IFERROR(__xludf.DUMMYFUNCTION("""COMPUTED_VALUE"""),"LLAMADA DE ATENCIÓN")</f>
        <v>LLAMADA DE ATENCIÓN</v>
      </c>
      <c r="L310" s="64" t="str">
        <f>IFERROR(__xludf.DUMMYFUNCTION("""COMPUTED_VALUE"""),"OPERATIVOS")</f>
        <v>OPERATIVOS</v>
      </c>
      <c r="M310" s="64" t="str">
        <f>IFERROR(__xludf.DUMMYFUNCTION("""COMPUTED_VALUE"""),"SANCIÓN")</f>
        <v>SANCIÓN</v>
      </c>
      <c r="N310" s="64" t="str">
        <f>IFERROR(__xludf.DUMMYFUNCTION("""COMPUTED_VALUE"""),"SISTEMA ELECTRICO")</f>
        <v>SISTEMA ELECTRICO</v>
      </c>
      <c r="O310" s="64" t="str">
        <f>IFERROR(__xludf.DUMMYFUNCTION("""COMPUTED_VALUE"""),"ASISTENCIA AL USUARIO")</f>
        <v>ASISTENCIA AL USUARIO</v>
      </c>
      <c r="P310" s="64" t="str">
        <f>IFERROR(__xludf.DUMMYFUNCTION("""COMPUTED_VALUE"""),"DOBLE REMOLQUE")</f>
        <v>DOBLE REMOLQUE</v>
      </c>
      <c r="Q310" s="64" t="str">
        <f>IFERROR(__xludf.DUMMYFUNCTION("""COMPUTED_VALUE"""),"SINAPRESE")</f>
        <v>SINAPRESE</v>
      </c>
      <c r="R310" s="64" t="str">
        <f>IFERROR(__xludf.DUMMYFUNCTION("""COMPUTED_VALUE"""),"APOYO ATLETISMO")</f>
        <v>APOYO ATLETISMO</v>
      </c>
      <c r="S310" s="64" t="str">
        <f>IFERROR(__xludf.DUMMYFUNCTION("""COMPUTED_VALUE"""),"APOYO A CICLISMO")</f>
        <v>APOYO A CICLISMO</v>
      </c>
      <c r="T310" s="64" t="str">
        <f>IFERROR(__xludf.DUMMYFUNCTION("""COMPUTED_VALUE"""),"DESCARGA DE BATERÍA")</f>
        <v>DESCARGA DE BATERÍA</v>
      </c>
      <c r="U310" s="64" t="str">
        <f>IFERROR(__xludf.DUMMYFUNCTION("""COMPUTED_VALUE"""),"PROBLEMAS DE SALUD")</f>
        <v>PROBLEMAS DE SALUD</v>
      </c>
      <c r="V310" s="64" t="str">
        <f>IFERROR(__xludf.DUMMYFUNCTION("""COMPUTED_VALUE"""),"OLVIDO LA LLAVE")</f>
        <v>OLVIDO LA LLAVE</v>
      </c>
      <c r="W310" s="64" t="str">
        <f>IFERROR(__xludf.DUMMYFUNCTION("""COMPUTED_VALUE"""),"CARGA SOBREDIMENSIONADA")</f>
        <v>CARGA SOBREDIMENSIONADA</v>
      </c>
      <c r="X310" s="64" t="str">
        <f>IFERROR(__xludf.DUMMYFUNCTION("""COMPUTED_VALUE"""),"VEHÍCULO ABANDONADO")</f>
        <v>VEHÍCULO ABANDONADO</v>
      </c>
      <c r="Y310" s="64" t="str">
        <f>IFERROR(__xludf.DUMMYFUNCTION("""COMPUTED_VALUE"""),"DESPRENDIMIENTO")</f>
        <v>DESPRENDIMIENTO</v>
      </c>
      <c r="Z310" s="64" t="str">
        <f>IFERROR(__xludf.DUMMYFUNCTION("""COMPUTED_VALUE"""),"CAÍDA DE POSTE")</f>
        <v>CAÍDA DE POSTE</v>
      </c>
      <c r="AA310" s="64" t="str">
        <f>IFERROR(__xludf.DUMMYFUNCTION("""COMPUTED_VALUE"""),"CAÍDA DE RAMA")</f>
        <v>CAÍDA DE RAMA</v>
      </c>
      <c r="AB310" s="64" t="str">
        <f>IFERROR(__xludf.DUMMYFUNCTION("""COMPUTED_VALUE"""),"OPERATIVO DGT")</f>
        <v>OPERATIVO DGT</v>
      </c>
      <c r="AC310" s="64" t="str">
        <f>IFERROR(__xludf.DUMMYFUNCTION("""COMPUTED_VALUE"""),"OPERATIVO PMT")</f>
        <v>OPERATIVO PMT</v>
      </c>
      <c r="AD310" s="64" t="str">
        <f>IFERROR(__xludf.DUMMYFUNCTION("""COMPUTED_VALUE"""),"APOYO A DIGEF")</f>
        <v>APOYO A DIGEF</v>
      </c>
      <c r="AE310" s="64" t="str">
        <f>IFERROR(__xludf.DUMMYFUNCTION("""COMPUTED_VALUE"""),"OPERATIVO PNC TRANSITO")</f>
        <v>OPERATIVO PNC TRANSITO</v>
      </c>
      <c r="AF310" s="64" t="str">
        <f>IFERROR(__xludf.DUMMYFUNCTION("""COMPUTED_VALUE"""),"SOBRECARGA ")</f>
        <v>SOBRECARGA </v>
      </c>
      <c r="AG310" s="64" t="str">
        <f>IFERROR(__xludf.DUMMYFUNCTION("""COMPUTED_VALUE"""),"OPERATIVO EN CONJUNTO")</f>
        <v>OPERATIVO EN CONJUNTO</v>
      </c>
      <c r="AH310" s="64" t="str">
        <f>IFERROR(__xludf.DUMMYFUNCTION("""COMPUTED_VALUE"""),"PUESTO DE ATENCION AL USUARIO")</f>
        <v>PUESTO DE ATENCION AL USUARIO</v>
      </c>
      <c r="AI310" s="64" t="str">
        <f>IFERROR(__xludf.DUMMYFUNCTION("""COMPUTED_VALUE"""),"INCENDIO EN RUTA")</f>
        <v>INCENDIO EN RUTA</v>
      </c>
      <c r="AJ310" s="64" t="str">
        <f>IFERROR(__xludf.DUMMYFUNCTION("""COMPUTED_VALUE"""),"APOYO ANTORCHA ")</f>
        <v>APOYO ANTORCHA </v>
      </c>
    </row>
    <row r="311">
      <c r="B311" s="64" t="s">
        <v>54</v>
      </c>
      <c r="C311" s="64" t="str">
        <f>IFERROR(__xludf.DUMMYFUNCTION(" TRANSPOSE( unique ( QUERY(DATOPRO,""select Col2 where Col1 = '""&amp;B311&amp;""'"")))"),"PINCHAZO")</f>
        <v>PINCHAZO</v>
      </c>
      <c r="D311" s="64" t="str">
        <f>IFERROR(__xludf.DUMMYFUNCTION("""COMPUTED_VALUE"""),"TRABAJOS DE CARRETERA")</f>
        <v>TRABAJOS DE CARRETERA</v>
      </c>
      <c r="E311" s="64" t="str">
        <f>IFERROR(__xludf.DUMMYFUNCTION("""COMPUTED_VALUE"""),"CONSIGNACIÓN")</f>
        <v>CONSIGNACIÓN</v>
      </c>
      <c r="F311" s="64" t="str">
        <f>IFERROR(__xludf.DUMMYFUNCTION("""COMPUTED_VALUE"""),"DERRAME")</f>
        <v>DERRAME</v>
      </c>
      <c r="G311" s="64" t="str">
        <f>IFERROR(__xludf.DUMMYFUNCTION("""COMPUTED_VALUE"""),"CALENTAMIENTO")</f>
        <v>CALENTAMIENTO</v>
      </c>
      <c r="H311" s="64" t="str">
        <f>IFERROR(__xludf.DUMMYFUNCTION("""COMPUTED_VALUE"""),"ESCOLTANDO")</f>
        <v>ESCOLTANDO</v>
      </c>
      <c r="I311" s="64" t="str">
        <f>IFERROR(__xludf.DUMMYFUNCTION("""COMPUTED_VALUE"""),"FALTA DE COMBUSTIBLE")</f>
        <v>FALTA DE COMBUSTIBLE</v>
      </c>
      <c r="J311" s="64" t="str">
        <f>IFERROR(__xludf.DUMMYFUNCTION("""COMPUTED_VALUE"""),"DESPERFECTOS MECÁNICOS")</f>
        <v>DESPERFECTOS MECÁNICOS</v>
      </c>
      <c r="K311" s="64" t="str">
        <f>IFERROR(__xludf.DUMMYFUNCTION("""COMPUTED_VALUE"""),"LLAMADA DE ATENCIÓN")</f>
        <v>LLAMADA DE ATENCIÓN</v>
      </c>
      <c r="L311" s="64" t="str">
        <f>IFERROR(__xludf.DUMMYFUNCTION("""COMPUTED_VALUE"""),"OPERATIVOS")</f>
        <v>OPERATIVOS</v>
      </c>
      <c r="M311" s="64" t="str">
        <f>IFERROR(__xludf.DUMMYFUNCTION("""COMPUTED_VALUE"""),"SANCIÓN")</f>
        <v>SANCIÓN</v>
      </c>
      <c r="N311" s="64" t="str">
        <f>IFERROR(__xludf.DUMMYFUNCTION("""COMPUTED_VALUE"""),"SISTEMA ELECTRICO")</f>
        <v>SISTEMA ELECTRICO</v>
      </c>
      <c r="O311" s="64" t="str">
        <f>IFERROR(__xludf.DUMMYFUNCTION("""COMPUTED_VALUE"""),"ASISTENCIA AL USUARIO")</f>
        <v>ASISTENCIA AL USUARIO</v>
      </c>
      <c r="P311" s="64" t="str">
        <f>IFERROR(__xludf.DUMMYFUNCTION("""COMPUTED_VALUE"""),"DOBLE REMOLQUE")</f>
        <v>DOBLE REMOLQUE</v>
      </c>
      <c r="Q311" s="64" t="str">
        <f>IFERROR(__xludf.DUMMYFUNCTION("""COMPUTED_VALUE"""),"SINAPRESE")</f>
        <v>SINAPRESE</v>
      </c>
      <c r="R311" s="64" t="str">
        <f>IFERROR(__xludf.DUMMYFUNCTION("""COMPUTED_VALUE"""),"APOYO ATLETISMO")</f>
        <v>APOYO ATLETISMO</v>
      </c>
      <c r="S311" s="64" t="str">
        <f>IFERROR(__xludf.DUMMYFUNCTION("""COMPUTED_VALUE"""),"APOYO A CICLISMO")</f>
        <v>APOYO A CICLISMO</v>
      </c>
      <c r="T311" s="64" t="str">
        <f>IFERROR(__xludf.DUMMYFUNCTION("""COMPUTED_VALUE"""),"DESCARGA DE BATERÍA")</f>
        <v>DESCARGA DE BATERÍA</v>
      </c>
      <c r="U311" s="64" t="str">
        <f>IFERROR(__xludf.DUMMYFUNCTION("""COMPUTED_VALUE"""),"PROBLEMAS DE SALUD")</f>
        <v>PROBLEMAS DE SALUD</v>
      </c>
      <c r="V311" s="64" t="str">
        <f>IFERROR(__xludf.DUMMYFUNCTION("""COMPUTED_VALUE"""),"OLVIDO LA LLAVE")</f>
        <v>OLVIDO LA LLAVE</v>
      </c>
      <c r="W311" s="64" t="str">
        <f>IFERROR(__xludf.DUMMYFUNCTION("""COMPUTED_VALUE"""),"CARGA SOBREDIMENSIONADA")</f>
        <v>CARGA SOBREDIMENSIONADA</v>
      </c>
      <c r="X311" s="64" t="str">
        <f>IFERROR(__xludf.DUMMYFUNCTION("""COMPUTED_VALUE"""),"VEHÍCULO ABANDONADO")</f>
        <v>VEHÍCULO ABANDONADO</v>
      </c>
      <c r="Y311" s="64" t="str">
        <f>IFERROR(__xludf.DUMMYFUNCTION("""COMPUTED_VALUE"""),"DESPRENDIMIENTO")</f>
        <v>DESPRENDIMIENTO</v>
      </c>
      <c r="Z311" s="64" t="str">
        <f>IFERROR(__xludf.DUMMYFUNCTION("""COMPUTED_VALUE"""),"CAÍDA DE POSTE")</f>
        <v>CAÍDA DE POSTE</v>
      </c>
      <c r="AA311" s="64" t="str">
        <f>IFERROR(__xludf.DUMMYFUNCTION("""COMPUTED_VALUE"""),"CAÍDA DE RAMA")</f>
        <v>CAÍDA DE RAMA</v>
      </c>
      <c r="AB311" s="64" t="str">
        <f>IFERROR(__xludf.DUMMYFUNCTION("""COMPUTED_VALUE"""),"OPERATIVO DGT")</f>
        <v>OPERATIVO DGT</v>
      </c>
      <c r="AC311" s="64" t="str">
        <f>IFERROR(__xludf.DUMMYFUNCTION("""COMPUTED_VALUE"""),"OPERATIVO PMT")</f>
        <v>OPERATIVO PMT</v>
      </c>
      <c r="AD311" s="64" t="str">
        <f>IFERROR(__xludf.DUMMYFUNCTION("""COMPUTED_VALUE"""),"APOYO A DIGEF")</f>
        <v>APOYO A DIGEF</v>
      </c>
      <c r="AE311" s="64" t="str">
        <f>IFERROR(__xludf.DUMMYFUNCTION("""COMPUTED_VALUE"""),"OPERATIVO PNC TRANSITO")</f>
        <v>OPERATIVO PNC TRANSITO</v>
      </c>
      <c r="AF311" s="64" t="str">
        <f>IFERROR(__xludf.DUMMYFUNCTION("""COMPUTED_VALUE"""),"SOBRECARGA ")</f>
        <v>SOBRECARGA </v>
      </c>
      <c r="AG311" s="64" t="str">
        <f>IFERROR(__xludf.DUMMYFUNCTION("""COMPUTED_VALUE"""),"OPERATIVO EN CONJUNTO")</f>
        <v>OPERATIVO EN CONJUNTO</v>
      </c>
      <c r="AH311" s="64" t="str">
        <f>IFERROR(__xludf.DUMMYFUNCTION("""COMPUTED_VALUE"""),"PUESTO DE ATENCION AL USUARIO")</f>
        <v>PUESTO DE ATENCION AL USUARIO</v>
      </c>
      <c r="AI311" s="64" t="str">
        <f>IFERROR(__xludf.DUMMYFUNCTION("""COMPUTED_VALUE"""),"INCENDIO EN RUTA")</f>
        <v>INCENDIO EN RUTA</v>
      </c>
      <c r="AJ311" s="64" t="str">
        <f>IFERROR(__xludf.DUMMYFUNCTION("""COMPUTED_VALUE"""),"APOYO ANTORCHA ")</f>
        <v>APOYO ANTORCHA </v>
      </c>
    </row>
    <row r="312">
      <c r="B312" s="64" t="s">
        <v>54</v>
      </c>
      <c r="C312" s="64" t="str">
        <f>IFERROR(__xludf.DUMMYFUNCTION(" TRANSPOSE( unique ( QUERY(DATOPRO,""select Col2 where Col1 = '""&amp;B312&amp;""'"")))"),"PINCHAZO")</f>
        <v>PINCHAZO</v>
      </c>
      <c r="D312" s="64" t="str">
        <f>IFERROR(__xludf.DUMMYFUNCTION("""COMPUTED_VALUE"""),"TRABAJOS DE CARRETERA")</f>
        <v>TRABAJOS DE CARRETERA</v>
      </c>
      <c r="E312" s="64" t="str">
        <f>IFERROR(__xludf.DUMMYFUNCTION("""COMPUTED_VALUE"""),"CONSIGNACIÓN")</f>
        <v>CONSIGNACIÓN</v>
      </c>
      <c r="F312" s="64" t="str">
        <f>IFERROR(__xludf.DUMMYFUNCTION("""COMPUTED_VALUE"""),"DERRAME")</f>
        <v>DERRAME</v>
      </c>
      <c r="G312" s="64" t="str">
        <f>IFERROR(__xludf.DUMMYFUNCTION("""COMPUTED_VALUE"""),"CALENTAMIENTO")</f>
        <v>CALENTAMIENTO</v>
      </c>
      <c r="H312" s="64" t="str">
        <f>IFERROR(__xludf.DUMMYFUNCTION("""COMPUTED_VALUE"""),"ESCOLTANDO")</f>
        <v>ESCOLTANDO</v>
      </c>
      <c r="I312" s="64" t="str">
        <f>IFERROR(__xludf.DUMMYFUNCTION("""COMPUTED_VALUE"""),"FALTA DE COMBUSTIBLE")</f>
        <v>FALTA DE COMBUSTIBLE</v>
      </c>
      <c r="J312" s="64" t="str">
        <f>IFERROR(__xludf.DUMMYFUNCTION("""COMPUTED_VALUE"""),"DESPERFECTOS MECÁNICOS")</f>
        <v>DESPERFECTOS MECÁNICOS</v>
      </c>
      <c r="K312" s="64" t="str">
        <f>IFERROR(__xludf.DUMMYFUNCTION("""COMPUTED_VALUE"""),"LLAMADA DE ATENCIÓN")</f>
        <v>LLAMADA DE ATENCIÓN</v>
      </c>
      <c r="L312" s="64" t="str">
        <f>IFERROR(__xludf.DUMMYFUNCTION("""COMPUTED_VALUE"""),"OPERATIVOS")</f>
        <v>OPERATIVOS</v>
      </c>
      <c r="M312" s="64" t="str">
        <f>IFERROR(__xludf.DUMMYFUNCTION("""COMPUTED_VALUE"""),"SANCIÓN")</f>
        <v>SANCIÓN</v>
      </c>
      <c r="N312" s="64" t="str">
        <f>IFERROR(__xludf.DUMMYFUNCTION("""COMPUTED_VALUE"""),"SISTEMA ELECTRICO")</f>
        <v>SISTEMA ELECTRICO</v>
      </c>
      <c r="O312" s="64" t="str">
        <f>IFERROR(__xludf.DUMMYFUNCTION("""COMPUTED_VALUE"""),"ASISTENCIA AL USUARIO")</f>
        <v>ASISTENCIA AL USUARIO</v>
      </c>
      <c r="P312" s="64" t="str">
        <f>IFERROR(__xludf.DUMMYFUNCTION("""COMPUTED_VALUE"""),"DOBLE REMOLQUE")</f>
        <v>DOBLE REMOLQUE</v>
      </c>
      <c r="Q312" s="64" t="str">
        <f>IFERROR(__xludf.DUMMYFUNCTION("""COMPUTED_VALUE"""),"SINAPRESE")</f>
        <v>SINAPRESE</v>
      </c>
      <c r="R312" s="64" t="str">
        <f>IFERROR(__xludf.DUMMYFUNCTION("""COMPUTED_VALUE"""),"APOYO ATLETISMO")</f>
        <v>APOYO ATLETISMO</v>
      </c>
      <c r="S312" s="64" t="str">
        <f>IFERROR(__xludf.DUMMYFUNCTION("""COMPUTED_VALUE"""),"APOYO A CICLISMO")</f>
        <v>APOYO A CICLISMO</v>
      </c>
      <c r="T312" s="64" t="str">
        <f>IFERROR(__xludf.DUMMYFUNCTION("""COMPUTED_VALUE"""),"DESCARGA DE BATERÍA")</f>
        <v>DESCARGA DE BATERÍA</v>
      </c>
      <c r="U312" s="64" t="str">
        <f>IFERROR(__xludf.DUMMYFUNCTION("""COMPUTED_VALUE"""),"PROBLEMAS DE SALUD")</f>
        <v>PROBLEMAS DE SALUD</v>
      </c>
      <c r="V312" s="64" t="str">
        <f>IFERROR(__xludf.DUMMYFUNCTION("""COMPUTED_VALUE"""),"OLVIDO LA LLAVE")</f>
        <v>OLVIDO LA LLAVE</v>
      </c>
      <c r="W312" s="64" t="str">
        <f>IFERROR(__xludf.DUMMYFUNCTION("""COMPUTED_VALUE"""),"CARGA SOBREDIMENSIONADA")</f>
        <v>CARGA SOBREDIMENSIONADA</v>
      </c>
      <c r="X312" s="64" t="str">
        <f>IFERROR(__xludf.DUMMYFUNCTION("""COMPUTED_VALUE"""),"VEHÍCULO ABANDONADO")</f>
        <v>VEHÍCULO ABANDONADO</v>
      </c>
      <c r="Y312" s="64" t="str">
        <f>IFERROR(__xludf.DUMMYFUNCTION("""COMPUTED_VALUE"""),"DESPRENDIMIENTO")</f>
        <v>DESPRENDIMIENTO</v>
      </c>
      <c r="Z312" s="64" t="str">
        <f>IFERROR(__xludf.DUMMYFUNCTION("""COMPUTED_VALUE"""),"CAÍDA DE POSTE")</f>
        <v>CAÍDA DE POSTE</v>
      </c>
      <c r="AA312" s="64" t="str">
        <f>IFERROR(__xludf.DUMMYFUNCTION("""COMPUTED_VALUE"""),"CAÍDA DE RAMA")</f>
        <v>CAÍDA DE RAMA</v>
      </c>
      <c r="AB312" s="64" t="str">
        <f>IFERROR(__xludf.DUMMYFUNCTION("""COMPUTED_VALUE"""),"OPERATIVO DGT")</f>
        <v>OPERATIVO DGT</v>
      </c>
      <c r="AC312" s="64" t="str">
        <f>IFERROR(__xludf.DUMMYFUNCTION("""COMPUTED_VALUE"""),"OPERATIVO PMT")</f>
        <v>OPERATIVO PMT</v>
      </c>
      <c r="AD312" s="64" t="str">
        <f>IFERROR(__xludf.DUMMYFUNCTION("""COMPUTED_VALUE"""),"APOYO A DIGEF")</f>
        <v>APOYO A DIGEF</v>
      </c>
      <c r="AE312" s="64" t="str">
        <f>IFERROR(__xludf.DUMMYFUNCTION("""COMPUTED_VALUE"""),"OPERATIVO PNC TRANSITO")</f>
        <v>OPERATIVO PNC TRANSITO</v>
      </c>
      <c r="AF312" s="64" t="str">
        <f>IFERROR(__xludf.DUMMYFUNCTION("""COMPUTED_VALUE"""),"SOBRECARGA ")</f>
        <v>SOBRECARGA </v>
      </c>
      <c r="AG312" s="64" t="str">
        <f>IFERROR(__xludf.DUMMYFUNCTION("""COMPUTED_VALUE"""),"OPERATIVO EN CONJUNTO")</f>
        <v>OPERATIVO EN CONJUNTO</v>
      </c>
      <c r="AH312" s="64" t="str">
        <f>IFERROR(__xludf.DUMMYFUNCTION("""COMPUTED_VALUE"""),"PUESTO DE ATENCION AL USUARIO")</f>
        <v>PUESTO DE ATENCION AL USUARIO</v>
      </c>
      <c r="AI312" s="64" t="str">
        <f>IFERROR(__xludf.DUMMYFUNCTION("""COMPUTED_VALUE"""),"INCENDIO EN RUTA")</f>
        <v>INCENDIO EN RUTA</v>
      </c>
      <c r="AJ312" s="64" t="str">
        <f>IFERROR(__xludf.DUMMYFUNCTION("""COMPUTED_VALUE"""),"APOYO ANTORCHA ")</f>
        <v>APOYO ANTORCHA </v>
      </c>
    </row>
    <row r="313">
      <c r="B313" s="64" t="s">
        <v>38</v>
      </c>
      <c r="C313" s="64" t="str">
        <f>IFERROR(__xludf.DUMMYFUNCTION(" TRANSPOSE( unique ( QUERY(DATOPRO,""select Col2 where Col1 = '""&amp;B313&amp;""'"")))"),"ATAQUE ARMADO")</f>
        <v>ATAQUE ARMADO</v>
      </c>
      <c r="D313" s="64" t="str">
        <f>IFERROR(__xludf.DUMMYFUNCTION("""COMPUTED_VALUE"""),"DESBALANCE DE CARGA")</f>
        <v>DESBALANCE DE CARGA</v>
      </c>
      <c r="E313" s="64" t="str">
        <f>IFERROR(__xludf.DUMMYFUNCTION("""COMPUTED_VALUE"""),"PERSONA FALLECIDA")</f>
        <v>PERSONA FALLECIDA</v>
      </c>
      <c r="F313" s="64" t="str">
        <f>IFERROR(__xludf.DUMMYFUNCTION("""COMPUTED_VALUE"""),"DESPRENDIMIENTO DE NEUMATICO")</f>
        <v>DESPRENDIMIENTO DE NEUMATICO</v>
      </c>
      <c r="G313" s="64" t="str">
        <f>IFERROR(__xludf.DUMMYFUNCTION("""COMPUTED_VALUE"""),"SALIDA DE PISTA")</f>
        <v>SALIDA DE PISTA</v>
      </c>
      <c r="H313" s="64" t="str">
        <f>IFERROR(__xludf.DUMMYFUNCTION("""COMPUTED_VALUE"""),"DESPRENDIMIENTO DE CONTENEDOR")</f>
        <v>DESPRENDIMIENTO DE CONTENEDOR</v>
      </c>
      <c r="I313" s="64" t="str">
        <f>IFERROR(__xludf.DUMMYFUNCTION("""COMPUTED_VALUE"""),"CAÍDA DE CARGA")</f>
        <v>CAÍDA DE CARGA</v>
      </c>
      <c r="J313" s="64" t="str">
        <f>IFERROR(__xludf.DUMMYFUNCTION("""COMPUTED_VALUE"""),"CHOQUE")</f>
        <v>CHOQUE</v>
      </c>
      <c r="K313" s="64" t="str">
        <f>IFERROR(__xludf.DUMMYFUNCTION("""COMPUTED_VALUE"""),"COLISIÓN")</f>
        <v>COLISIÓN</v>
      </c>
      <c r="L313" s="64" t="str">
        <f>IFERROR(__xludf.DUMMYFUNCTION("""COMPUTED_VALUE"""),"COLISIÓN MÚLTIPLE")</f>
        <v>COLISIÓN MÚLTIPLE</v>
      </c>
      <c r="M313" s="64" t="str">
        <f>IFERROR(__xludf.DUMMYFUNCTION("""COMPUTED_VALUE"""),"DERRAPE")</f>
        <v>DERRAPE</v>
      </c>
      <c r="N313" s="64" t="str">
        <f>IFERROR(__xludf.DUMMYFUNCTION("""COMPUTED_VALUE"""),"VEHÍCULO INCENDIADO")</f>
        <v>VEHÍCULO INCENDIADO</v>
      </c>
      <c r="O313" s="64" t="str">
        <f>IFERROR(__xludf.DUMMYFUNCTION("""COMPUTED_VALUE"""),"VUELCO")</f>
        <v>VUELCO</v>
      </c>
      <c r="P313" s="64" t="str">
        <f>IFERROR(__xludf.DUMMYFUNCTION("""COMPUTED_VALUE"""),"DESPRENDIMIENTO")</f>
        <v>DESPRENDIMIENTO</v>
      </c>
      <c r="Q313" s="64" t="str">
        <f>IFERROR(__xludf.DUMMYFUNCTION("""COMPUTED_VALUE"""),"CAÍDA DE ÁRBOL")</f>
        <v>CAÍDA DE ÁRBOL</v>
      </c>
      <c r="R313" s="64" t="str">
        <f>IFERROR(__xludf.DUMMYFUNCTION("""COMPUTED_VALUE"""),"DESPRENDIMIENTO DE EJE")</f>
        <v>DESPRENDIMIENTO DE EJE</v>
      </c>
      <c r="S313" s="64" t="str">
        <f>IFERROR(__xludf.DUMMYFUNCTION("""COMPUTED_VALUE"""),"PERSONA ATROPELLADA")</f>
        <v>PERSONA ATROPELLADA</v>
      </c>
    </row>
    <row r="314">
      <c r="B314" s="64" t="s">
        <v>54</v>
      </c>
      <c r="C314" s="64" t="str">
        <f>IFERROR(__xludf.DUMMYFUNCTION(" TRANSPOSE( unique ( QUERY(DATOPRO,""select Col2 where Col1 = '""&amp;B314&amp;""'"")))"),"PINCHAZO")</f>
        <v>PINCHAZO</v>
      </c>
      <c r="D314" s="64" t="str">
        <f>IFERROR(__xludf.DUMMYFUNCTION("""COMPUTED_VALUE"""),"TRABAJOS DE CARRETERA")</f>
        <v>TRABAJOS DE CARRETERA</v>
      </c>
      <c r="E314" s="64" t="str">
        <f>IFERROR(__xludf.DUMMYFUNCTION("""COMPUTED_VALUE"""),"CONSIGNACIÓN")</f>
        <v>CONSIGNACIÓN</v>
      </c>
      <c r="F314" s="64" t="str">
        <f>IFERROR(__xludf.DUMMYFUNCTION("""COMPUTED_VALUE"""),"DERRAME")</f>
        <v>DERRAME</v>
      </c>
      <c r="G314" s="64" t="str">
        <f>IFERROR(__xludf.DUMMYFUNCTION("""COMPUTED_VALUE"""),"CALENTAMIENTO")</f>
        <v>CALENTAMIENTO</v>
      </c>
      <c r="H314" s="64" t="str">
        <f>IFERROR(__xludf.DUMMYFUNCTION("""COMPUTED_VALUE"""),"ESCOLTANDO")</f>
        <v>ESCOLTANDO</v>
      </c>
      <c r="I314" s="64" t="str">
        <f>IFERROR(__xludf.DUMMYFUNCTION("""COMPUTED_VALUE"""),"FALTA DE COMBUSTIBLE")</f>
        <v>FALTA DE COMBUSTIBLE</v>
      </c>
      <c r="J314" s="64" t="str">
        <f>IFERROR(__xludf.DUMMYFUNCTION("""COMPUTED_VALUE"""),"DESPERFECTOS MECÁNICOS")</f>
        <v>DESPERFECTOS MECÁNICOS</v>
      </c>
      <c r="K314" s="64" t="str">
        <f>IFERROR(__xludf.DUMMYFUNCTION("""COMPUTED_VALUE"""),"LLAMADA DE ATENCIÓN")</f>
        <v>LLAMADA DE ATENCIÓN</v>
      </c>
      <c r="L314" s="64" t="str">
        <f>IFERROR(__xludf.DUMMYFUNCTION("""COMPUTED_VALUE"""),"OPERATIVOS")</f>
        <v>OPERATIVOS</v>
      </c>
      <c r="M314" s="64" t="str">
        <f>IFERROR(__xludf.DUMMYFUNCTION("""COMPUTED_VALUE"""),"SANCIÓN")</f>
        <v>SANCIÓN</v>
      </c>
      <c r="N314" s="64" t="str">
        <f>IFERROR(__xludf.DUMMYFUNCTION("""COMPUTED_VALUE"""),"SISTEMA ELECTRICO")</f>
        <v>SISTEMA ELECTRICO</v>
      </c>
      <c r="O314" s="64" t="str">
        <f>IFERROR(__xludf.DUMMYFUNCTION("""COMPUTED_VALUE"""),"ASISTENCIA AL USUARIO")</f>
        <v>ASISTENCIA AL USUARIO</v>
      </c>
      <c r="P314" s="64" t="str">
        <f>IFERROR(__xludf.DUMMYFUNCTION("""COMPUTED_VALUE"""),"DOBLE REMOLQUE")</f>
        <v>DOBLE REMOLQUE</v>
      </c>
      <c r="Q314" s="64" t="str">
        <f>IFERROR(__xludf.DUMMYFUNCTION("""COMPUTED_VALUE"""),"SINAPRESE")</f>
        <v>SINAPRESE</v>
      </c>
      <c r="R314" s="64" t="str">
        <f>IFERROR(__xludf.DUMMYFUNCTION("""COMPUTED_VALUE"""),"APOYO ATLETISMO")</f>
        <v>APOYO ATLETISMO</v>
      </c>
      <c r="S314" s="64" t="str">
        <f>IFERROR(__xludf.DUMMYFUNCTION("""COMPUTED_VALUE"""),"APOYO A CICLISMO")</f>
        <v>APOYO A CICLISMO</v>
      </c>
      <c r="T314" s="64" t="str">
        <f>IFERROR(__xludf.DUMMYFUNCTION("""COMPUTED_VALUE"""),"DESCARGA DE BATERÍA")</f>
        <v>DESCARGA DE BATERÍA</v>
      </c>
      <c r="U314" s="64" t="str">
        <f>IFERROR(__xludf.DUMMYFUNCTION("""COMPUTED_VALUE"""),"PROBLEMAS DE SALUD")</f>
        <v>PROBLEMAS DE SALUD</v>
      </c>
      <c r="V314" s="64" t="str">
        <f>IFERROR(__xludf.DUMMYFUNCTION("""COMPUTED_VALUE"""),"OLVIDO LA LLAVE")</f>
        <v>OLVIDO LA LLAVE</v>
      </c>
      <c r="W314" s="64" t="str">
        <f>IFERROR(__xludf.DUMMYFUNCTION("""COMPUTED_VALUE"""),"CARGA SOBREDIMENSIONADA")</f>
        <v>CARGA SOBREDIMENSIONADA</v>
      </c>
      <c r="X314" s="64" t="str">
        <f>IFERROR(__xludf.DUMMYFUNCTION("""COMPUTED_VALUE"""),"VEHÍCULO ABANDONADO")</f>
        <v>VEHÍCULO ABANDONADO</v>
      </c>
      <c r="Y314" s="64" t="str">
        <f>IFERROR(__xludf.DUMMYFUNCTION("""COMPUTED_VALUE"""),"DESPRENDIMIENTO")</f>
        <v>DESPRENDIMIENTO</v>
      </c>
      <c r="Z314" s="64" t="str">
        <f>IFERROR(__xludf.DUMMYFUNCTION("""COMPUTED_VALUE"""),"CAÍDA DE POSTE")</f>
        <v>CAÍDA DE POSTE</v>
      </c>
      <c r="AA314" s="64" t="str">
        <f>IFERROR(__xludf.DUMMYFUNCTION("""COMPUTED_VALUE"""),"CAÍDA DE RAMA")</f>
        <v>CAÍDA DE RAMA</v>
      </c>
      <c r="AB314" s="64" t="str">
        <f>IFERROR(__xludf.DUMMYFUNCTION("""COMPUTED_VALUE"""),"OPERATIVO DGT")</f>
        <v>OPERATIVO DGT</v>
      </c>
      <c r="AC314" s="64" t="str">
        <f>IFERROR(__xludf.DUMMYFUNCTION("""COMPUTED_VALUE"""),"OPERATIVO PMT")</f>
        <v>OPERATIVO PMT</v>
      </c>
      <c r="AD314" s="64" t="str">
        <f>IFERROR(__xludf.DUMMYFUNCTION("""COMPUTED_VALUE"""),"APOYO A DIGEF")</f>
        <v>APOYO A DIGEF</v>
      </c>
      <c r="AE314" s="64" t="str">
        <f>IFERROR(__xludf.DUMMYFUNCTION("""COMPUTED_VALUE"""),"OPERATIVO PNC TRANSITO")</f>
        <v>OPERATIVO PNC TRANSITO</v>
      </c>
      <c r="AF314" s="64" t="str">
        <f>IFERROR(__xludf.DUMMYFUNCTION("""COMPUTED_VALUE"""),"SOBRECARGA ")</f>
        <v>SOBRECARGA </v>
      </c>
      <c r="AG314" s="64" t="str">
        <f>IFERROR(__xludf.DUMMYFUNCTION("""COMPUTED_VALUE"""),"OPERATIVO EN CONJUNTO")</f>
        <v>OPERATIVO EN CONJUNTO</v>
      </c>
      <c r="AH314" s="64" t="str">
        <f>IFERROR(__xludf.DUMMYFUNCTION("""COMPUTED_VALUE"""),"PUESTO DE ATENCION AL USUARIO")</f>
        <v>PUESTO DE ATENCION AL USUARIO</v>
      </c>
      <c r="AI314" s="64" t="str">
        <f>IFERROR(__xludf.DUMMYFUNCTION("""COMPUTED_VALUE"""),"INCENDIO EN RUTA")</f>
        <v>INCENDIO EN RUTA</v>
      </c>
      <c r="AJ314" s="64" t="str">
        <f>IFERROR(__xludf.DUMMYFUNCTION("""COMPUTED_VALUE"""),"APOYO ANTORCHA ")</f>
        <v>APOYO ANTORCHA </v>
      </c>
    </row>
    <row r="315">
      <c r="B315" s="64" t="s">
        <v>54</v>
      </c>
      <c r="C315" s="64" t="str">
        <f>IFERROR(__xludf.DUMMYFUNCTION(" TRANSPOSE( unique ( QUERY(DATOPRO,""select Col2 where Col1 = '""&amp;B315&amp;""'"")))"),"PINCHAZO")</f>
        <v>PINCHAZO</v>
      </c>
      <c r="D315" s="64" t="str">
        <f>IFERROR(__xludf.DUMMYFUNCTION("""COMPUTED_VALUE"""),"TRABAJOS DE CARRETERA")</f>
        <v>TRABAJOS DE CARRETERA</v>
      </c>
      <c r="E315" s="64" t="str">
        <f>IFERROR(__xludf.DUMMYFUNCTION("""COMPUTED_VALUE"""),"CONSIGNACIÓN")</f>
        <v>CONSIGNACIÓN</v>
      </c>
      <c r="F315" s="64" t="str">
        <f>IFERROR(__xludf.DUMMYFUNCTION("""COMPUTED_VALUE"""),"DERRAME")</f>
        <v>DERRAME</v>
      </c>
      <c r="G315" s="64" t="str">
        <f>IFERROR(__xludf.DUMMYFUNCTION("""COMPUTED_VALUE"""),"CALENTAMIENTO")</f>
        <v>CALENTAMIENTO</v>
      </c>
      <c r="H315" s="64" t="str">
        <f>IFERROR(__xludf.DUMMYFUNCTION("""COMPUTED_VALUE"""),"ESCOLTANDO")</f>
        <v>ESCOLTANDO</v>
      </c>
      <c r="I315" s="64" t="str">
        <f>IFERROR(__xludf.DUMMYFUNCTION("""COMPUTED_VALUE"""),"FALTA DE COMBUSTIBLE")</f>
        <v>FALTA DE COMBUSTIBLE</v>
      </c>
      <c r="J315" s="64" t="str">
        <f>IFERROR(__xludf.DUMMYFUNCTION("""COMPUTED_VALUE"""),"DESPERFECTOS MECÁNICOS")</f>
        <v>DESPERFECTOS MECÁNICOS</v>
      </c>
      <c r="K315" s="64" t="str">
        <f>IFERROR(__xludf.DUMMYFUNCTION("""COMPUTED_VALUE"""),"LLAMADA DE ATENCIÓN")</f>
        <v>LLAMADA DE ATENCIÓN</v>
      </c>
      <c r="L315" s="64" t="str">
        <f>IFERROR(__xludf.DUMMYFUNCTION("""COMPUTED_VALUE"""),"OPERATIVOS")</f>
        <v>OPERATIVOS</v>
      </c>
      <c r="M315" s="64" t="str">
        <f>IFERROR(__xludf.DUMMYFUNCTION("""COMPUTED_VALUE"""),"SANCIÓN")</f>
        <v>SANCIÓN</v>
      </c>
      <c r="N315" s="64" t="str">
        <f>IFERROR(__xludf.DUMMYFUNCTION("""COMPUTED_VALUE"""),"SISTEMA ELECTRICO")</f>
        <v>SISTEMA ELECTRICO</v>
      </c>
      <c r="O315" s="64" t="str">
        <f>IFERROR(__xludf.DUMMYFUNCTION("""COMPUTED_VALUE"""),"ASISTENCIA AL USUARIO")</f>
        <v>ASISTENCIA AL USUARIO</v>
      </c>
      <c r="P315" s="64" t="str">
        <f>IFERROR(__xludf.DUMMYFUNCTION("""COMPUTED_VALUE"""),"DOBLE REMOLQUE")</f>
        <v>DOBLE REMOLQUE</v>
      </c>
      <c r="Q315" s="64" t="str">
        <f>IFERROR(__xludf.DUMMYFUNCTION("""COMPUTED_VALUE"""),"SINAPRESE")</f>
        <v>SINAPRESE</v>
      </c>
      <c r="R315" s="64" t="str">
        <f>IFERROR(__xludf.DUMMYFUNCTION("""COMPUTED_VALUE"""),"APOYO ATLETISMO")</f>
        <v>APOYO ATLETISMO</v>
      </c>
      <c r="S315" s="64" t="str">
        <f>IFERROR(__xludf.DUMMYFUNCTION("""COMPUTED_VALUE"""),"APOYO A CICLISMO")</f>
        <v>APOYO A CICLISMO</v>
      </c>
      <c r="T315" s="64" t="str">
        <f>IFERROR(__xludf.DUMMYFUNCTION("""COMPUTED_VALUE"""),"DESCARGA DE BATERÍA")</f>
        <v>DESCARGA DE BATERÍA</v>
      </c>
      <c r="U315" s="64" t="str">
        <f>IFERROR(__xludf.DUMMYFUNCTION("""COMPUTED_VALUE"""),"PROBLEMAS DE SALUD")</f>
        <v>PROBLEMAS DE SALUD</v>
      </c>
      <c r="V315" s="64" t="str">
        <f>IFERROR(__xludf.DUMMYFUNCTION("""COMPUTED_VALUE"""),"OLVIDO LA LLAVE")</f>
        <v>OLVIDO LA LLAVE</v>
      </c>
      <c r="W315" s="64" t="str">
        <f>IFERROR(__xludf.DUMMYFUNCTION("""COMPUTED_VALUE"""),"CARGA SOBREDIMENSIONADA")</f>
        <v>CARGA SOBREDIMENSIONADA</v>
      </c>
      <c r="X315" s="64" t="str">
        <f>IFERROR(__xludf.DUMMYFUNCTION("""COMPUTED_VALUE"""),"VEHÍCULO ABANDONADO")</f>
        <v>VEHÍCULO ABANDONADO</v>
      </c>
      <c r="Y315" s="64" t="str">
        <f>IFERROR(__xludf.DUMMYFUNCTION("""COMPUTED_VALUE"""),"DESPRENDIMIENTO")</f>
        <v>DESPRENDIMIENTO</v>
      </c>
      <c r="Z315" s="64" t="str">
        <f>IFERROR(__xludf.DUMMYFUNCTION("""COMPUTED_VALUE"""),"CAÍDA DE POSTE")</f>
        <v>CAÍDA DE POSTE</v>
      </c>
      <c r="AA315" s="64" t="str">
        <f>IFERROR(__xludf.DUMMYFUNCTION("""COMPUTED_VALUE"""),"CAÍDA DE RAMA")</f>
        <v>CAÍDA DE RAMA</v>
      </c>
      <c r="AB315" s="64" t="str">
        <f>IFERROR(__xludf.DUMMYFUNCTION("""COMPUTED_VALUE"""),"OPERATIVO DGT")</f>
        <v>OPERATIVO DGT</v>
      </c>
      <c r="AC315" s="64" t="str">
        <f>IFERROR(__xludf.DUMMYFUNCTION("""COMPUTED_VALUE"""),"OPERATIVO PMT")</f>
        <v>OPERATIVO PMT</v>
      </c>
      <c r="AD315" s="64" t="str">
        <f>IFERROR(__xludf.DUMMYFUNCTION("""COMPUTED_VALUE"""),"APOYO A DIGEF")</f>
        <v>APOYO A DIGEF</v>
      </c>
      <c r="AE315" s="64" t="str">
        <f>IFERROR(__xludf.DUMMYFUNCTION("""COMPUTED_VALUE"""),"OPERATIVO PNC TRANSITO")</f>
        <v>OPERATIVO PNC TRANSITO</v>
      </c>
      <c r="AF315" s="64" t="str">
        <f>IFERROR(__xludf.DUMMYFUNCTION("""COMPUTED_VALUE"""),"SOBRECARGA ")</f>
        <v>SOBRECARGA </v>
      </c>
      <c r="AG315" s="64" t="str">
        <f>IFERROR(__xludf.DUMMYFUNCTION("""COMPUTED_VALUE"""),"OPERATIVO EN CONJUNTO")</f>
        <v>OPERATIVO EN CONJUNTO</v>
      </c>
      <c r="AH315" s="64" t="str">
        <f>IFERROR(__xludf.DUMMYFUNCTION("""COMPUTED_VALUE"""),"PUESTO DE ATENCION AL USUARIO")</f>
        <v>PUESTO DE ATENCION AL USUARIO</v>
      </c>
      <c r="AI315" s="64" t="str">
        <f>IFERROR(__xludf.DUMMYFUNCTION("""COMPUTED_VALUE"""),"INCENDIO EN RUTA")</f>
        <v>INCENDIO EN RUTA</v>
      </c>
      <c r="AJ315" s="64" t="str">
        <f>IFERROR(__xludf.DUMMYFUNCTION("""COMPUTED_VALUE"""),"APOYO ANTORCHA ")</f>
        <v>APOYO ANTORCHA </v>
      </c>
    </row>
    <row r="316">
      <c r="B316" s="64" t="s">
        <v>54</v>
      </c>
      <c r="C316" s="64" t="str">
        <f>IFERROR(__xludf.DUMMYFUNCTION(" TRANSPOSE( unique ( QUERY(DATOPRO,""select Col2 where Col1 = '""&amp;B316&amp;""'"")))"),"PINCHAZO")</f>
        <v>PINCHAZO</v>
      </c>
      <c r="D316" s="64" t="str">
        <f>IFERROR(__xludf.DUMMYFUNCTION("""COMPUTED_VALUE"""),"TRABAJOS DE CARRETERA")</f>
        <v>TRABAJOS DE CARRETERA</v>
      </c>
      <c r="E316" s="64" t="str">
        <f>IFERROR(__xludf.DUMMYFUNCTION("""COMPUTED_VALUE"""),"CONSIGNACIÓN")</f>
        <v>CONSIGNACIÓN</v>
      </c>
      <c r="F316" s="64" t="str">
        <f>IFERROR(__xludf.DUMMYFUNCTION("""COMPUTED_VALUE"""),"DERRAME")</f>
        <v>DERRAME</v>
      </c>
      <c r="G316" s="64" t="str">
        <f>IFERROR(__xludf.DUMMYFUNCTION("""COMPUTED_VALUE"""),"CALENTAMIENTO")</f>
        <v>CALENTAMIENTO</v>
      </c>
      <c r="H316" s="64" t="str">
        <f>IFERROR(__xludf.DUMMYFUNCTION("""COMPUTED_VALUE"""),"ESCOLTANDO")</f>
        <v>ESCOLTANDO</v>
      </c>
      <c r="I316" s="64" t="str">
        <f>IFERROR(__xludf.DUMMYFUNCTION("""COMPUTED_VALUE"""),"FALTA DE COMBUSTIBLE")</f>
        <v>FALTA DE COMBUSTIBLE</v>
      </c>
      <c r="J316" s="64" t="str">
        <f>IFERROR(__xludf.DUMMYFUNCTION("""COMPUTED_VALUE"""),"DESPERFECTOS MECÁNICOS")</f>
        <v>DESPERFECTOS MECÁNICOS</v>
      </c>
      <c r="K316" s="64" t="str">
        <f>IFERROR(__xludf.DUMMYFUNCTION("""COMPUTED_VALUE"""),"LLAMADA DE ATENCIÓN")</f>
        <v>LLAMADA DE ATENCIÓN</v>
      </c>
      <c r="L316" s="64" t="str">
        <f>IFERROR(__xludf.DUMMYFUNCTION("""COMPUTED_VALUE"""),"OPERATIVOS")</f>
        <v>OPERATIVOS</v>
      </c>
      <c r="M316" s="64" t="str">
        <f>IFERROR(__xludf.DUMMYFUNCTION("""COMPUTED_VALUE"""),"SANCIÓN")</f>
        <v>SANCIÓN</v>
      </c>
      <c r="N316" s="64" t="str">
        <f>IFERROR(__xludf.DUMMYFUNCTION("""COMPUTED_VALUE"""),"SISTEMA ELECTRICO")</f>
        <v>SISTEMA ELECTRICO</v>
      </c>
      <c r="O316" s="64" t="str">
        <f>IFERROR(__xludf.DUMMYFUNCTION("""COMPUTED_VALUE"""),"ASISTENCIA AL USUARIO")</f>
        <v>ASISTENCIA AL USUARIO</v>
      </c>
      <c r="P316" s="64" t="str">
        <f>IFERROR(__xludf.DUMMYFUNCTION("""COMPUTED_VALUE"""),"DOBLE REMOLQUE")</f>
        <v>DOBLE REMOLQUE</v>
      </c>
      <c r="Q316" s="64" t="str">
        <f>IFERROR(__xludf.DUMMYFUNCTION("""COMPUTED_VALUE"""),"SINAPRESE")</f>
        <v>SINAPRESE</v>
      </c>
      <c r="R316" s="64" t="str">
        <f>IFERROR(__xludf.DUMMYFUNCTION("""COMPUTED_VALUE"""),"APOYO ATLETISMO")</f>
        <v>APOYO ATLETISMO</v>
      </c>
      <c r="S316" s="64" t="str">
        <f>IFERROR(__xludf.DUMMYFUNCTION("""COMPUTED_VALUE"""),"APOYO A CICLISMO")</f>
        <v>APOYO A CICLISMO</v>
      </c>
      <c r="T316" s="64" t="str">
        <f>IFERROR(__xludf.DUMMYFUNCTION("""COMPUTED_VALUE"""),"DESCARGA DE BATERÍA")</f>
        <v>DESCARGA DE BATERÍA</v>
      </c>
      <c r="U316" s="64" t="str">
        <f>IFERROR(__xludf.DUMMYFUNCTION("""COMPUTED_VALUE"""),"PROBLEMAS DE SALUD")</f>
        <v>PROBLEMAS DE SALUD</v>
      </c>
      <c r="V316" s="64" t="str">
        <f>IFERROR(__xludf.DUMMYFUNCTION("""COMPUTED_VALUE"""),"OLVIDO LA LLAVE")</f>
        <v>OLVIDO LA LLAVE</v>
      </c>
      <c r="W316" s="64" t="str">
        <f>IFERROR(__xludf.DUMMYFUNCTION("""COMPUTED_VALUE"""),"CARGA SOBREDIMENSIONADA")</f>
        <v>CARGA SOBREDIMENSIONADA</v>
      </c>
      <c r="X316" s="64" t="str">
        <f>IFERROR(__xludf.DUMMYFUNCTION("""COMPUTED_VALUE"""),"VEHÍCULO ABANDONADO")</f>
        <v>VEHÍCULO ABANDONADO</v>
      </c>
      <c r="Y316" s="64" t="str">
        <f>IFERROR(__xludf.DUMMYFUNCTION("""COMPUTED_VALUE"""),"DESPRENDIMIENTO")</f>
        <v>DESPRENDIMIENTO</v>
      </c>
      <c r="Z316" s="64" t="str">
        <f>IFERROR(__xludf.DUMMYFUNCTION("""COMPUTED_VALUE"""),"CAÍDA DE POSTE")</f>
        <v>CAÍDA DE POSTE</v>
      </c>
      <c r="AA316" s="64" t="str">
        <f>IFERROR(__xludf.DUMMYFUNCTION("""COMPUTED_VALUE"""),"CAÍDA DE RAMA")</f>
        <v>CAÍDA DE RAMA</v>
      </c>
      <c r="AB316" s="64" t="str">
        <f>IFERROR(__xludf.DUMMYFUNCTION("""COMPUTED_VALUE"""),"OPERATIVO DGT")</f>
        <v>OPERATIVO DGT</v>
      </c>
      <c r="AC316" s="64" t="str">
        <f>IFERROR(__xludf.DUMMYFUNCTION("""COMPUTED_VALUE"""),"OPERATIVO PMT")</f>
        <v>OPERATIVO PMT</v>
      </c>
      <c r="AD316" s="64" t="str">
        <f>IFERROR(__xludf.DUMMYFUNCTION("""COMPUTED_VALUE"""),"APOYO A DIGEF")</f>
        <v>APOYO A DIGEF</v>
      </c>
      <c r="AE316" s="64" t="str">
        <f>IFERROR(__xludf.DUMMYFUNCTION("""COMPUTED_VALUE"""),"OPERATIVO PNC TRANSITO")</f>
        <v>OPERATIVO PNC TRANSITO</v>
      </c>
      <c r="AF316" s="64" t="str">
        <f>IFERROR(__xludf.DUMMYFUNCTION("""COMPUTED_VALUE"""),"SOBRECARGA ")</f>
        <v>SOBRECARGA </v>
      </c>
      <c r="AG316" s="64" t="str">
        <f>IFERROR(__xludf.DUMMYFUNCTION("""COMPUTED_VALUE"""),"OPERATIVO EN CONJUNTO")</f>
        <v>OPERATIVO EN CONJUNTO</v>
      </c>
      <c r="AH316" s="64" t="str">
        <f>IFERROR(__xludf.DUMMYFUNCTION("""COMPUTED_VALUE"""),"PUESTO DE ATENCION AL USUARIO")</f>
        <v>PUESTO DE ATENCION AL USUARIO</v>
      </c>
      <c r="AI316" s="64" t="str">
        <f>IFERROR(__xludf.DUMMYFUNCTION("""COMPUTED_VALUE"""),"INCENDIO EN RUTA")</f>
        <v>INCENDIO EN RUTA</v>
      </c>
      <c r="AJ316" s="64" t="str">
        <f>IFERROR(__xludf.DUMMYFUNCTION("""COMPUTED_VALUE"""),"APOYO ANTORCHA ")</f>
        <v>APOYO ANTORCHA </v>
      </c>
    </row>
    <row r="317">
      <c r="B317" s="64" t="s">
        <v>54</v>
      </c>
      <c r="C317" s="64" t="str">
        <f>IFERROR(__xludf.DUMMYFUNCTION(" TRANSPOSE( unique ( QUERY(DATOPRO,""select Col2 where Col1 = '""&amp;B317&amp;""'"")))"),"PINCHAZO")</f>
        <v>PINCHAZO</v>
      </c>
      <c r="D317" s="64" t="str">
        <f>IFERROR(__xludf.DUMMYFUNCTION("""COMPUTED_VALUE"""),"TRABAJOS DE CARRETERA")</f>
        <v>TRABAJOS DE CARRETERA</v>
      </c>
      <c r="E317" s="64" t="str">
        <f>IFERROR(__xludf.DUMMYFUNCTION("""COMPUTED_VALUE"""),"CONSIGNACIÓN")</f>
        <v>CONSIGNACIÓN</v>
      </c>
      <c r="F317" s="64" t="str">
        <f>IFERROR(__xludf.DUMMYFUNCTION("""COMPUTED_VALUE"""),"DERRAME")</f>
        <v>DERRAME</v>
      </c>
      <c r="G317" s="64" t="str">
        <f>IFERROR(__xludf.DUMMYFUNCTION("""COMPUTED_VALUE"""),"CALENTAMIENTO")</f>
        <v>CALENTAMIENTO</v>
      </c>
      <c r="H317" s="64" t="str">
        <f>IFERROR(__xludf.DUMMYFUNCTION("""COMPUTED_VALUE"""),"ESCOLTANDO")</f>
        <v>ESCOLTANDO</v>
      </c>
      <c r="I317" s="64" t="str">
        <f>IFERROR(__xludf.DUMMYFUNCTION("""COMPUTED_VALUE"""),"FALTA DE COMBUSTIBLE")</f>
        <v>FALTA DE COMBUSTIBLE</v>
      </c>
      <c r="J317" s="64" t="str">
        <f>IFERROR(__xludf.DUMMYFUNCTION("""COMPUTED_VALUE"""),"DESPERFECTOS MECÁNICOS")</f>
        <v>DESPERFECTOS MECÁNICOS</v>
      </c>
      <c r="K317" s="64" t="str">
        <f>IFERROR(__xludf.DUMMYFUNCTION("""COMPUTED_VALUE"""),"LLAMADA DE ATENCIÓN")</f>
        <v>LLAMADA DE ATENCIÓN</v>
      </c>
      <c r="L317" s="64" t="str">
        <f>IFERROR(__xludf.DUMMYFUNCTION("""COMPUTED_VALUE"""),"OPERATIVOS")</f>
        <v>OPERATIVOS</v>
      </c>
      <c r="M317" s="64" t="str">
        <f>IFERROR(__xludf.DUMMYFUNCTION("""COMPUTED_VALUE"""),"SANCIÓN")</f>
        <v>SANCIÓN</v>
      </c>
      <c r="N317" s="64" t="str">
        <f>IFERROR(__xludf.DUMMYFUNCTION("""COMPUTED_VALUE"""),"SISTEMA ELECTRICO")</f>
        <v>SISTEMA ELECTRICO</v>
      </c>
      <c r="O317" s="64" t="str">
        <f>IFERROR(__xludf.DUMMYFUNCTION("""COMPUTED_VALUE"""),"ASISTENCIA AL USUARIO")</f>
        <v>ASISTENCIA AL USUARIO</v>
      </c>
      <c r="P317" s="64" t="str">
        <f>IFERROR(__xludf.DUMMYFUNCTION("""COMPUTED_VALUE"""),"DOBLE REMOLQUE")</f>
        <v>DOBLE REMOLQUE</v>
      </c>
      <c r="Q317" s="64" t="str">
        <f>IFERROR(__xludf.DUMMYFUNCTION("""COMPUTED_VALUE"""),"SINAPRESE")</f>
        <v>SINAPRESE</v>
      </c>
      <c r="R317" s="64" t="str">
        <f>IFERROR(__xludf.DUMMYFUNCTION("""COMPUTED_VALUE"""),"APOYO ATLETISMO")</f>
        <v>APOYO ATLETISMO</v>
      </c>
      <c r="S317" s="64" t="str">
        <f>IFERROR(__xludf.DUMMYFUNCTION("""COMPUTED_VALUE"""),"APOYO A CICLISMO")</f>
        <v>APOYO A CICLISMO</v>
      </c>
      <c r="T317" s="64" t="str">
        <f>IFERROR(__xludf.DUMMYFUNCTION("""COMPUTED_VALUE"""),"DESCARGA DE BATERÍA")</f>
        <v>DESCARGA DE BATERÍA</v>
      </c>
      <c r="U317" s="64" t="str">
        <f>IFERROR(__xludf.DUMMYFUNCTION("""COMPUTED_VALUE"""),"PROBLEMAS DE SALUD")</f>
        <v>PROBLEMAS DE SALUD</v>
      </c>
      <c r="V317" s="64" t="str">
        <f>IFERROR(__xludf.DUMMYFUNCTION("""COMPUTED_VALUE"""),"OLVIDO LA LLAVE")</f>
        <v>OLVIDO LA LLAVE</v>
      </c>
      <c r="W317" s="64" t="str">
        <f>IFERROR(__xludf.DUMMYFUNCTION("""COMPUTED_VALUE"""),"CARGA SOBREDIMENSIONADA")</f>
        <v>CARGA SOBREDIMENSIONADA</v>
      </c>
      <c r="X317" s="64" t="str">
        <f>IFERROR(__xludf.DUMMYFUNCTION("""COMPUTED_VALUE"""),"VEHÍCULO ABANDONADO")</f>
        <v>VEHÍCULO ABANDONADO</v>
      </c>
      <c r="Y317" s="64" t="str">
        <f>IFERROR(__xludf.DUMMYFUNCTION("""COMPUTED_VALUE"""),"DESPRENDIMIENTO")</f>
        <v>DESPRENDIMIENTO</v>
      </c>
      <c r="Z317" s="64" t="str">
        <f>IFERROR(__xludf.DUMMYFUNCTION("""COMPUTED_VALUE"""),"CAÍDA DE POSTE")</f>
        <v>CAÍDA DE POSTE</v>
      </c>
      <c r="AA317" s="64" t="str">
        <f>IFERROR(__xludf.DUMMYFUNCTION("""COMPUTED_VALUE"""),"CAÍDA DE RAMA")</f>
        <v>CAÍDA DE RAMA</v>
      </c>
      <c r="AB317" s="64" t="str">
        <f>IFERROR(__xludf.DUMMYFUNCTION("""COMPUTED_VALUE"""),"OPERATIVO DGT")</f>
        <v>OPERATIVO DGT</v>
      </c>
      <c r="AC317" s="64" t="str">
        <f>IFERROR(__xludf.DUMMYFUNCTION("""COMPUTED_VALUE"""),"OPERATIVO PMT")</f>
        <v>OPERATIVO PMT</v>
      </c>
      <c r="AD317" s="64" t="str">
        <f>IFERROR(__xludf.DUMMYFUNCTION("""COMPUTED_VALUE"""),"APOYO A DIGEF")</f>
        <v>APOYO A DIGEF</v>
      </c>
      <c r="AE317" s="64" t="str">
        <f>IFERROR(__xludf.DUMMYFUNCTION("""COMPUTED_VALUE"""),"OPERATIVO PNC TRANSITO")</f>
        <v>OPERATIVO PNC TRANSITO</v>
      </c>
      <c r="AF317" s="64" t="str">
        <f>IFERROR(__xludf.DUMMYFUNCTION("""COMPUTED_VALUE"""),"SOBRECARGA ")</f>
        <v>SOBRECARGA </v>
      </c>
      <c r="AG317" s="64" t="str">
        <f>IFERROR(__xludf.DUMMYFUNCTION("""COMPUTED_VALUE"""),"OPERATIVO EN CONJUNTO")</f>
        <v>OPERATIVO EN CONJUNTO</v>
      </c>
      <c r="AH317" s="64" t="str">
        <f>IFERROR(__xludf.DUMMYFUNCTION("""COMPUTED_VALUE"""),"PUESTO DE ATENCION AL USUARIO")</f>
        <v>PUESTO DE ATENCION AL USUARIO</v>
      </c>
      <c r="AI317" s="64" t="str">
        <f>IFERROR(__xludf.DUMMYFUNCTION("""COMPUTED_VALUE"""),"INCENDIO EN RUTA")</f>
        <v>INCENDIO EN RUTA</v>
      </c>
      <c r="AJ317" s="64" t="str">
        <f>IFERROR(__xludf.DUMMYFUNCTION("""COMPUTED_VALUE"""),"APOYO ANTORCHA ")</f>
        <v>APOYO ANTORCHA </v>
      </c>
    </row>
    <row r="318">
      <c r="B318" s="64"/>
      <c r="C318" s="64" t="str">
        <f>IFERROR(__xludf.DUMMYFUNCTION(" TRANSPOSE( unique ( QUERY(DATOPRO,""select Col2 where Col1 = '""&amp;B318&amp;""'"")))"),"")</f>
        <v/>
      </c>
    </row>
    <row r="319">
      <c r="B319" s="64" t="s">
        <v>38</v>
      </c>
      <c r="C319" s="64" t="str">
        <f>IFERROR(__xludf.DUMMYFUNCTION(" TRANSPOSE( unique ( QUERY(DATOPRO,""select Col2 where Col1 = '""&amp;B319&amp;""'"")))"),"ATAQUE ARMADO")</f>
        <v>ATAQUE ARMADO</v>
      </c>
      <c r="D319" s="64" t="str">
        <f>IFERROR(__xludf.DUMMYFUNCTION("""COMPUTED_VALUE"""),"DESBALANCE DE CARGA")</f>
        <v>DESBALANCE DE CARGA</v>
      </c>
      <c r="E319" s="64" t="str">
        <f>IFERROR(__xludf.DUMMYFUNCTION("""COMPUTED_VALUE"""),"PERSONA FALLECIDA")</f>
        <v>PERSONA FALLECIDA</v>
      </c>
      <c r="F319" s="64" t="str">
        <f>IFERROR(__xludf.DUMMYFUNCTION("""COMPUTED_VALUE"""),"DESPRENDIMIENTO DE NEUMATICO")</f>
        <v>DESPRENDIMIENTO DE NEUMATICO</v>
      </c>
      <c r="G319" s="64" t="str">
        <f>IFERROR(__xludf.DUMMYFUNCTION("""COMPUTED_VALUE"""),"SALIDA DE PISTA")</f>
        <v>SALIDA DE PISTA</v>
      </c>
      <c r="H319" s="64" t="str">
        <f>IFERROR(__xludf.DUMMYFUNCTION("""COMPUTED_VALUE"""),"DESPRENDIMIENTO DE CONTENEDOR")</f>
        <v>DESPRENDIMIENTO DE CONTENEDOR</v>
      </c>
      <c r="I319" s="64" t="str">
        <f>IFERROR(__xludf.DUMMYFUNCTION("""COMPUTED_VALUE"""),"CAÍDA DE CARGA")</f>
        <v>CAÍDA DE CARGA</v>
      </c>
      <c r="J319" s="64" t="str">
        <f>IFERROR(__xludf.DUMMYFUNCTION("""COMPUTED_VALUE"""),"CHOQUE")</f>
        <v>CHOQUE</v>
      </c>
      <c r="K319" s="64" t="str">
        <f>IFERROR(__xludf.DUMMYFUNCTION("""COMPUTED_VALUE"""),"COLISIÓN")</f>
        <v>COLISIÓN</v>
      </c>
      <c r="L319" s="64" t="str">
        <f>IFERROR(__xludf.DUMMYFUNCTION("""COMPUTED_VALUE"""),"COLISIÓN MÚLTIPLE")</f>
        <v>COLISIÓN MÚLTIPLE</v>
      </c>
      <c r="M319" s="64" t="str">
        <f>IFERROR(__xludf.DUMMYFUNCTION("""COMPUTED_VALUE"""),"DERRAPE")</f>
        <v>DERRAPE</v>
      </c>
      <c r="N319" s="64" t="str">
        <f>IFERROR(__xludf.DUMMYFUNCTION("""COMPUTED_VALUE"""),"VEHÍCULO INCENDIADO")</f>
        <v>VEHÍCULO INCENDIADO</v>
      </c>
      <c r="O319" s="64" t="str">
        <f>IFERROR(__xludf.DUMMYFUNCTION("""COMPUTED_VALUE"""),"VUELCO")</f>
        <v>VUELCO</v>
      </c>
      <c r="P319" s="64" t="str">
        <f>IFERROR(__xludf.DUMMYFUNCTION("""COMPUTED_VALUE"""),"DESPRENDIMIENTO")</f>
        <v>DESPRENDIMIENTO</v>
      </c>
      <c r="Q319" s="64" t="str">
        <f>IFERROR(__xludf.DUMMYFUNCTION("""COMPUTED_VALUE"""),"CAÍDA DE ÁRBOL")</f>
        <v>CAÍDA DE ÁRBOL</v>
      </c>
      <c r="R319" s="64" t="str">
        <f>IFERROR(__xludf.DUMMYFUNCTION("""COMPUTED_VALUE"""),"DESPRENDIMIENTO DE EJE")</f>
        <v>DESPRENDIMIENTO DE EJE</v>
      </c>
      <c r="S319" s="64" t="str">
        <f>IFERROR(__xludf.DUMMYFUNCTION("""COMPUTED_VALUE"""),"PERSONA ATROPELLADA")</f>
        <v>PERSONA ATROPELLADA</v>
      </c>
    </row>
    <row r="320">
      <c r="B320" s="64" t="s">
        <v>54</v>
      </c>
      <c r="C320" s="64" t="str">
        <f>IFERROR(__xludf.DUMMYFUNCTION(" TRANSPOSE( unique ( QUERY(DATOPRO,""select Col2 where Col1 = '""&amp;B320&amp;""'"")))"),"PINCHAZO")</f>
        <v>PINCHAZO</v>
      </c>
      <c r="D320" s="64" t="str">
        <f>IFERROR(__xludf.DUMMYFUNCTION("""COMPUTED_VALUE"""),"TRABAJOS DE CARRETERA")</f>
        <v>TRABAJOS DE CARRETERA</v>
      </c>
      <c r="E320" s="64" t="str">
        <f>IFERROR(__xludf.DUMMYFUNCTION("""COMPUTED_VALUE"""),"CONSIGNACIÓN")</f>
        <v>CONSIGNACIÓN</v>
      </c>
      <c r="F320" s="64" t="str">
        <f>IFERROR(__xludf.DUMMYFUNCTION("""COMPUTED_VALUE"""),"DERRAME")</f>
        <v>DERRAME</v>
      </c>
      <c r="G320" s="64" t="str">
        <f>IFERROR(__xludf.DUMMYFUNCTION("""COMPUTED_VALUE"""),"CALENTAMIENTO")</f>
        <v>CALENTAMIENTO</v>
      </c>
      <c r="H320" s="64" t="str">
        <f>IFERROR(__xludf.DUMMYFUNCTION("""COMPUTED_VALUE"""),"ESCOLTANDO")</f>
        <v>ESCOLTANDO</v>
      </c>
      <c r="I320" s="64" t="str">
        <f>IFERROR(__xludf.DUMMYFUNCTION("""COMPUTED_VALUE"""),"FALTA DE COMBUSTIBLE")</f>
        <v>FALTA DE COMBUSTIBLE</v>
      </c>
      <c r="J320" s="64" t="str">
        <f>IFERROR(__xludf.DUMMYFUNCTION("""COMPUTED_VALUE"""),"DESPERFECTOS MECÁNICOS")</f>
        <v>DESPERFECTOS MECÁNICOS</v>
      </c>
      <c r="K320" s="64" t="str">
        <f>IFERROR(__xludf.DUMMYFUNCTION("""COMPUTED_VALUE"""),"LLAMADA DE ATENCIÓN")</f>
        <v>LLAMADA DE ATENCIÓN</v>
      </c>
      <c r="L320" s="64" t="str">
        <f>IFERROR(__xludf.DUMMYFUNCTION("""COMPUTED_VALUE"""),"OPERATIVOS")</f>
        <v>OPERATIVOS</v>
      </c>
      <c r="M320" s="64" t="str">
        <f>IFERROR(__xludf.DUMMYFUNCTION("""COMPUTED_VALUE"""),"SANCIÓN")</f>
        <v>SANCIÓN</v>
      </c>
      <c r="N320" s="64" t="str">
        <f>IFERROR(__xludf.DUMMYFUNCTION("""COMPUTED_VALUE"""),"SISTEMA ELECTRICO")</f>
        <v>SISTEMA ELECTRICO</v>
      </c>
      <c r="O320" s="64" t="str">
        <f>IFERROR(__xludf.DUMMYFUNCTION("""COMPUTED_VALUE"""),"ASISTENCIA AL USUARIO")</f>
        <v>ASISTENCIA AL USUARIO</v>
      </c>
      <c r="P320" s="64" t="str">
        <f>IFERROR(__xludf.DUMMYFUNCTION("""COMPUTED_VALUE"""),"DOBLE REMOLQUE")</f>
        <v>DOBLE REMOLQUE</v>
      </c>
      <c r="Q320" s="64" t="str">
        <f>IFERROR(__xludf.DUMMYFUNCTION("""COMPUTED_VALUE"""),"SINAPRESE")</f>
        <v>SINAPRESE</v>
      </c>
      <c r="R320" s="64" t="str">
        <f>IFERROR(__xludf.DUMMYFUNCTION("""COMPUTED_VALUE"""),"APOYO ATLETISMO")</f>
        <v>APOYO ATLETISMO</v>
      </c>
      <c r="S320" s="64" t="str">
        <f>IFERROR(__xludf.DUMMYFUNCTION("""COMPUTED_VALUE"""),"APOYO A CICLISMO")</f>
        <v>APOYO A CICLISMO</v>
      </c>
      <c r="T320" s="64" t="str">
        <f>IFERROR(__xludf.DUMMYFUNCTION("""COMPUTED_VALUE"""),"DESCARGA DE BATERÍA")</f>
        <v>DESCARGA DE BATERÍA</v>
      </c>
      <c r="U320" s="64" t="str">
        <f>IFERROR(__xludf.DUMMYFUNCTION("""COMPUTED_VALUE"""),"PROBLEMAS DE SALUD")</f>
        <v>PROBLEMAS DE SALUD</v>
      </c>
      <c r="V320" s="64" t="str">
        <f>IFERROR(__xludf.DUMMYFUNCTION("""COMPUTED_VALUE"""),"OLVIDO LA LLAVE")</f>
        <v>OLVIDO LA LLAVE</v>
      </c>
      <c r="W320" s="64" t="str">
        <f>IFERROR(__xludf.DUMMYFUNCTION("""COMPUTED_VALUE"""),"CARGA SOBREDIMENSIONADA")</f>
        <v>CARGA SOBREDIMENSIONADA</v>
      </c>
      <c r="X320" s="64" t="str">
        <f>IFERROR(__xludf.DUMMYFUNCTION("""COMPUTED_VALUE"""),"VEHÍCULO ABANDONADO")</f>
        <v>VEHÍCULO ABANDONADO</v>
      </c>
      <c r="Y320" s="64" t="str">
        <f>IFERROR(__xludf.DUMMYFUNCTION("""COMPUTED_VALUE"""),"DESPRENDIMIENTO")</f>
        <v>DESPRENDIMIENTO</v>
      </c>
      <c r="Z320" s="64" t="str">
        <f>IFERROR(__xludf.DUMMYFUNCTION("""COMPUTED_VALUE"""),"CAÍDA DE POSTE")</f>
        <v>CAÍDA DE POSTE</v>
      </c>
      <c r="AA320" s="64" t="str">
        <f>IFERROR(__xludf.DUMMYFUNCTION("""COMPUTED_VALUE"""),"CAÍDA DE RAMA")</f>
        <v>CAÍDA DE RAMA</v>
      </c>
      <c r="AB320" s="64" t="str">
        <f>IFERROR(__xludf.DUMMYFUNCTION("""COMPUTED_VALUE"""),"OPERATIVO DGT")</f>
        <v>OPERATIVO DGT</v>
      </c>
      <c r="AC320" s="64" t="str">
        <f>IFERROR(__xludf.DUMMYFUNCTION("""COMPUTED_VALUE"""),"OPERATIVO PMT")</f>
        <v>OPERATIVO PMT</v>
      </c>
      <c r="AD320" s="64" t="str">
        <f>IFERROR(__xludf.DUMMYFUNCTION("""COMPUTED_VALUE"""),"APOYO A DIGEF")</f>
        <v>APOYO A DIGEF</v>
      </c>
      <c r="AE320" s="64" t="str">
        <f>IFERROR(__xludf.DUMMYFUNCTION("""COMPUTED_VALUE"""),"OPERATIVO PNC TRANSITO")</f>
        <v>OPERATIVO PNC TRANSITO</v>
      </c>
      <c r="AF320" s="64" t="str">
        <f>IFERROR(__xludf.DUMMYFUNCTION("""COMPUTED_VALUE"""),"SOBRECARGA ")</f>
        <v>SOBRECARGA </v>
      </c>
      <c r="AG320" s="64" t="str">
        <f>IFERROR(__xludf.DUMMYFUNCTION("""COMPUTED_VALUE"""),"OPERATIVO EN CONJUNTO")</f>
        <v>OPERATIVO EN CONJUNTO</v>
      </c>
      <c r="AH320" s="64" t="str">
        <f>IFERROR(__xludf.DUMMYFUNCTION("""COMPUTED_VALUE"""),"PUESTO DE ATENCION AL USUARIO")</f>
        <v>PUESTO DE ATENCION AL USUARIO</v>
      </c>
      <c r="AI320" s="64" t="str">
        <f>IFERROR(__xludf.DUMMYFUNCTION("""COMPUTED_VALUE"""),"INCENDIO EN RUTA")</f>
        <v>INCENDIO EN RUTA</v>
      </c>
      <c r="AJ320" s="64" t="str">
        <f>IFERROR(__xludf.DUMMYFUNCTION("""COMPUTED_VALUE"""),"APOYO ANTORCHA ")</f>
        <v>APOYO ANTORCHA </v>
      </c>
    </row>
    <row r="321">
      <c r="B321" s="64" t="s">
        <v>54</v>
      </c>
      <c r="C321" s="64" t="str">
        <f>IFERROR(__xludf.DUMMYFUNCTION(" TRANSPOSE( unique ( QUERY(DATOPRO,""select Col2 where Col1 = '""&amp;B321&amp;""'"")))"),"PINCHAZO")</f>
        <v>PINCHAZO</v>
      </c>
      <c r="D321" s="64" t="str">
        <f>IFERROR(__xludf.DUMMYFUNCTION("""COMPUTED_VALUE"""),"TRABAJOS DE CARRETERA")</f>
        <v>TRABAJOS DE CARRETERA</v>
      </c>
      <c r="E321" s="64" t="str">
        <f>IFERROR(__xludf.DUMMYFUNCTION("""COMPUTED_VALUE"""),"CONSIGNACIÓN")</f>
        <v>CONSIGNACIÓN</v>
      </c>
      <c r="F321" s="64" t="str">
        <f>IFERROR(__xludf.DUMMYFUNCTION("""COMPUTED_VALUE"""),"DERRAME")</f>
        <v>DERRAME</v>
      </c>
      <c r="G321" s="64" t="str">
        <f>IFERROR(__xludf.DUMMYFUNCTION("""COMPUTED_VALUE"""),"CALENTAMIENTO")</f>
        <v>CALENTAMIENTO</v>
      </c>
      <c r="H321" s="64" t="str">
        <f>IFERROR(__xludf.DUMMYFUNCTION("""COMPUTED_VALUE"""),"ESCOLTANDO")</f>
        <v>ESCOLTANDO</v>
      </c>
      <c r="I321" s="64" t="str">
        <f>IFERROR(__xludf.DUMMYFUNCTION("""COMPUTED_VALUE"""),"FALTA DE COMBUSTIBLE")</f>
        <v>FALTA DE COMBUSTIBLE</v>
      </c>
      <c r="J321" s="64" t="str">
        <f>IFERROR(__xludf.DUMMYFUNCTION("""COMPUTED_VALUE"""),"DESPERFECTOS MECÁNICOS")</f>
        <v>DESPERFECTOS MECÁNICOS</v>
      </c>
      <c r="K321" s="64" t="str">
        <f>IFERROR(__xludf.DUMMYFUNCTION("""COMPUTED_VALUE"""),"LLAMADA DE ATENCIÓN")</f>
        <v>LLAMADA DE ATENCIÓN</v>
      </c>
      <c r="L321" s="64" t="str">
        <f>IFERROR(__xludf.DUMMYFUNCTION("""COMPUTED_VALUE"""),"OPERATIVOS")</f>
        <v>OPERATIVOS</v>
      </c>
      <c r="M321" s="64" t="str">
        <f>IFERROR(__xludf.DUMMYFUNCTION("""COMPUTED_VALUE"""),"SANCIÓN")</f>
        <v>SANCIÓN</v>
      </c>
      <c r="N321" s="64" t="str">
        <f>IFERROR(__xludf.DUMMYFUNCTION("""COMPUTED_VALUE"""),"SISTEMA ELECTRICO")</f>
        <v>SISTEMA ELECTRICO</v>
      </c>
      <c r="O321" s="64" t="str">
        <f>IFERROR(__xludf.DUMMYFUNCTION("""COMPUTED_VALUE"""),"ASISTENCIA AL USUARIO")</f>
        <v>ASISTENCIA AL USUARIO</v>
      </c>
      <c r="P321" s="64" t="str">
        <f>IFERROR(__xludf.DUMMYFUNCTION("""COMPUTED_VALUE"""),"DOBLE REMOLQUE")</f>
        <v>DOBLE REMOLQUE</v>
      </c>
      <c r="Q321" s="64" t="str">
        <f>IFERROR(__xludf.DUMMYFUNCTION("""COMPUTED_VALUE"""),"SINAPRESE")</f>
        <v>SINAPRESE</v>
      </c>
      <c r="R321" s="64" t="str">
        <f>IFERROR(__xludf.DUMMYFUNCTION("""COMPUTED_VALUE"""),"APOYO ATLETISMO")</f>
        <v>APOYO ATLETISMO</v>
      </c>
      <c r="S321" s="64" t="str">
        <f>IFERROR(__xludf.DUMMYFUNCTION("""COMPUTED_VALUE"""),"APOYO A CICLISMO")</f>
        <v>APOYO A CICLISMO</v>
      </c>
      <c r="T321" s="64" t="str">
        <f>IFERROR(__xludf.DUMMYFUNCTION("""COMPUTED_VALUE"""),"DESCARGA DE BATERÍA")</f>
        <v>DESCARGA DE BATERÍA</v>
      </c>
      <c r="U321" s="64" t="str">
        <f>IFERROR(__xludf.DUMMYFUNCTION("""COMPUTED_VALUE"""),"PROBLEMAS DE SALUD")</f>
        <v>PROBLEMAS DE SALUD</v>
      </c>
      <c r="V321" s="64" t="str">
        <f>IFERROR(__xludf.DUMMYFUNCTION("""COMPUTED_VALUE"""),"OLVIDO LA LLAVE")</f>
        <v>OLVIDO LA LLAVE</v>
      </c>
      <c r="W321" s="64" t="str">
        <f>IFERROR(__xludf.DUMMYFUNCTION("""COMPUTED_VALUE"""),"CARGA SOBREDIMENSIONADA")</f>
        <v>CARGA SOBREDIMENSIONADA</v>
      </c>
      <c r="X321" s="64" t="str">
        <f>IFERROR(__xludf.DUMMYFUNCTION("""COMPUTED_VALUE"""),"VEHÍCULO ABANDONADO")</f>
        <v>VEHÍCULO ABANDONADO</v>
      </c>
      <c r="Y321" s="64" t="str">
        <f>IFERROR(__xludf.DUMMYFUNCTION("""COMPUTED_VALUE"""),"DESPRENDIMIENTO")</f>
        <v>DESPRENDIMIENTO</v>
      </c>
      <c r="Z321" s="64" t="str">
        <f>IFERROR(__xludf.DUMMYFUNCTION("""COMPUTED_VALUE"""),"CAÍDA DE POSTE")</f>
        <v>CAÍDA DE POSTE</v>
      </c>
      <c r="AA321" s="64" t="str">
        <f>IFERROR(__xludf.DUMMYFUNCTION("""COMPUTED_VALUE"""),"CAÍDA DE RAMA")</f>
        <v>CAÍDA DE RAMA</v>
      </c>
      <c r="AB321" s="64" t="str">
        <f>IFERROR(__xludf.DUMMYFUNCTION("""COMPUTED_VALUE"""),"OPERATIVO DGT")</f>
        <v>OPERATIVO DGT</v>
      </c>
      <c r="AC321" s="64" t="str">
        <f>IFERROR(__xludf.DUMMYFUNCTION("""COMPUTED_VALUE"""),"OPERATIVO PMT")</f>
        <v>OPERATIVO PMT</v>
      </c>
      <c r="AD321" s="64" t="str">
        <f>IFERROR(__xludf.DUMMYFUNCTION("""COMPUTED_VALUE"""),"APOYO A DIGEF")</f>
        <v>APOYO A DIGEF</v>
      </c>
      <c r="AE321" s="64" t="str">
        <f>IFERROR(__xludf.DUMMYFUNCTION("""COMPUTED_VALUE"""),"OPERATIVO PNC TRANSITO")</f>
        <v>OPERATIVO PNC TRANSITO</v>
      </c>
      <c r="AF321" s="64" t="str">
        <f>IFERROR(__xludf.DUMMYFUNCTION("""COMPUTED_VALUE"""),"SOBRECARGA ")</f>
        <v>SOBRECARGA </v>
      </c>
      <c r="AG321" s="64" t="str">
        <f>IFERROR(__xludf.DUMMYFUNCTION("""COMPUTED_VALUE"""),"OPERATIVO EN CONJUNTO")</f>
        <v>OPERATIVO EN CONJUNTO</v>
      </c>
      <c r="AH321" s="64" t="str">
        <f>IFERROR(__xludf.DUMMYFUNCTION("""COMPUTED_VALUE"""),"PUESTO DE ATENCION AL USUARIO")</f>
        <v>PUESTO DE ATENCION AL USUARIO</v>
      </c>
      <c r="AI321" s="64" t="str">
        <f>IFERROR(__xludf.DUMMYFUNCTION("""COMPUTED_VALUE"""),"INCENDIO EN RUTA")</f>
        <v>INCENDIO EN RUTA</v>
      </c>
      <c r="AJ321" s="64" t="str">
        <f>IFERROR(__xludf.DUMMYFUNCTION("""COMPUTED_VALUE"""),"APOYO ANTORCHA ")</f>
        <v>APOYO ANTORCHA </v>
      </c>
    </row>
    <row r="322">
      <c r="B322" s="64" t="s">
        <v>54</v>
      </c>
      <c r="C322" s="64" t="str">
        <f>IFERROR(__xludf.DUMMYFUNCTION(" TRANSPOSE( unique ( QUERY(DATOPRO,""select Col2 where Col1 = '""&amp;B322&amp;""'"")))"),"PINCHAZO")</f>
        <v>PINCHAZO</v>
      </c>
      <c r="D322" s="64" t="str">
        <f>IFERROR(__xludf.DUMMYFUNCTION("""COMPUTED_VALUE"""),"TRABAJOS DE CARRETERA")</f>
        <v>TRABAJOS DE CARRETERA</v>
      </c>
      <c r="E322" s="64" t="str">
        <f>IFERROR(__xludf.DUMMYFUNCTION("""COMPUTED_VALUE"""),"CONSIGNACIÓN")</f>
        <v>CONSIGNACIÓN</v>
      </c>
      <c r="F322" s="64" t="str">
        <f>IFERROR(__xludf.DUMMYFUNCTION("""COMPUTED_VALUE"""),"DERRAME")</f>
        <v>DERRAME</v>
      </c>
      <c r="G322" s="64" t="str">
        <f>IFERROR(__xludf.DUMMYFUNCTION("""COMPUTED_VALUE"""),"CALENTAMIENTO")</f>
        <v>CALENTAMIENTO</v>
      </c>
      <c r="H322" s="64" t="str">
        <f>IFERROR(__xludf.DUMMYFUNCTION("""COMPUTED_VALUE"""),"ESCOLTANDO")</f>
        <v>ESCOLTANDO</v>
      </c>
      <c r="I322" s="64" t="str">
        <f>IFERROR(__xludf.DUMMYFUNCTION("""COMPUTED_VALUE"""),"FALTA DE COMBUSTIBLE")</f>
        <v>FALTA DE COMBUSTIBLE</v>
      </c>
      <c r="J322" s="64" t="str">
        <f>IFERROR(__xludf.DUMMYFUNCTION("""COMPUTED_VALUE"""),"DESPERFECTOS MECÁNICOS")</f>
        <v>DESPERFECTOS MECÁNICOS</v>
      </c>
      <c r="K322" s="64" t="str">
        <f>IFERROR(__xludf.DUMMYFUNCTION("""COMPUTED_VALUE"""),"LLAMADA DE ATENCIÓN")</f>
        <v>LLAMADA DE ATENCIÓN</v>
      </c>
      <c r="L322" s="64" t="str">
        <f>IFERROR(__xludf.DUMMYFUNCTION("""COMPUTED_VALUE"""),"OPERATIVOS")</f>
        <v>OPERATIVOS</v>
      </c>
      <c r="M322" s="64" t="str">
        <f>IFERROR(__xludf.DUMMYFUNCTION("""COMPUTED_VALUE"""),"SANCIÓN")</f>
        <v>SANCIÓN</v>
      </c>
      <c r="N322" s="64" t="str">
        <f>IFERROR(__xludf.DUMMYFUNCTION("""COMPUTED_VALUE"""),"SISTEMA ELECTRICO")</f>
        <v>SISTEMA ELECTRICO</v>
      </c>
      <c r="O322" s="64" t="str">
        <f>IFERROR(__xludf.DUMMYFUNCTION("""COMPUTED_VALUE"""),"ASISTENCIA AL USUARIO")</f>
        <v>ASISTENCIA AL USUARIO</v>
      </c>
      <c r="P322" s="64" t="str">
        <f>IFERROR(__xludf.DUMMYFUNCTION("""COMPUTED_VALUE"""),"DOBLE REMOLQUE")</f>
        <v>DOBLE REMOLQUE</v>
      </c>
      <c r="Q322" s="64" t="str">
        <f>IFERROR(__xludf.DUMMYFUNCTION("""COMPUTED_VALUE"""),"SINAPRESE")</f>
        <v>SINAPRESE</v>
      </c>
      <c r="R322" s="64" t="str">
        <f>IFERROR(__xludf.DUMMYFUNCTION("""COMPUTED_VALUE"""),"APOYO ATLETISMO")</f>
        <v>APOYO ATLETISMO</v>
      </c>
      <c r="S322" s="64" t="str">
        <f>IFERROR(__xludf.DUMMYFUNCTION("""COMPUTED_VALUE"""),"APOYO A CICLISMO")</f>
        <v>APOYO A CICLISMO</v>
      </c>
      <c r="T322" s="64" t="str">
        <f>IFERROR(__xludf.DUMMYFUNCTION("""COMPUTED_VALUE"""),"DESCARGA DE BATERÍA")</f>
        <v>DESCARGA DE BATERÍA</v>
      </c>
      <c r="U322" s="64" t="str">
        <f>IFERROR(__xludf.DUMMYFUNCTION("""COMPUTED_VALUE"""),"PROBLEMAS DE SALUD")</f>
        <v>PROBLEMAS DE SALUD</v>
      </c>
      <c r="V322" s="64" t="str">
        <f>IFERROR(__xludf.DUMMYFUNCTION("""COMPUTED_VALUE"""),"OLVIDO LA LLAVE")</f>
        <v>OLVIDO LA LLAVE</v>
      </c>
      <c r="W322" s="64" t="str">
        <f>IFERROR(__xludf.DUMMYFUNCTION("""COMPUTED_VALUE"""),"CARGA SOBREDIMENSIONADA")</f>
        <v>CARGA SOBREDIMENSIONADA</v>
      </c>
      <c r="X322" s="64" t="str">
        <f>IFERROR(__xludf.DUMMYFUNCTION("""COMPUTED_VALUE"""),"VEHÍCULO ABANDONADO")</f>
        <v>VEHÍCULO ABANDONADO</v>
      </c>
      <c r="Y322" s="64" t="str">
        <f>IFERROR(__xludf.DUMMYFUNCTION("""COMPUTED_VALUE"""),"DESPRENDIMIENTO")</f>
        <v>DESPRENDIMIENTO</v>
      </c>
      <c r="Z322" s="64" t="str">
        <f>IFERROR(__xludf.DUMMYFUNCTION("""COMPUTED_VALUE"""),"CAÍDA DE POSTE")</f>
        <v>CAÍDA DE POSTE</v>
      </c>
      <c r="AA322" s="64" t="str">
        <f>IFERROR(__xludf.DUMMYFUNCTION("""COMPUTED_VALUE"""),"CAÍDA DE RAMA")</f>
        <v>CAÍDA DE RAMA</v>
      </c>
      <c r="AB322" s="64" t="str">
        <f>IFERROR(__xludf.DUMMYFUNCTION("""COMPUTED_VALUE"""),"OPERATIVO DGT")</f>
        <v>OPERATIVO DGT</v>
      </c>
      <c r="AC322" s="64" t="str">
        <f>IFERROR(__xludf.DUMMYFUNCTION("""COMPUTED_VALUE"""),"OPERATIVO PMT")</f>
        <v>OPERATIVO PMT</v>
      </c>
      <c r="AD322" s="64" t="str">
        <f>IFERROR(__xludf.DUMMYFUNCTION("""COMPUTED_VALUE"""),"APOYO A DIGEF")</f>
        <v>APOYO A DIGEF</v>
      </c>
      <c r="AE322" s="64" t="str">
        <f>IFERROR(__xludf.DUMMYFUNCTION("""COMPUTED_VALUE"""),"OPERATIVO PNC TRANSITO")</f>
        <v>OPERATIVO PNC TRANSITO</v>
      </c>
      <c r="AF322" s="64" t="str">
        <f>IFERROR(__xludf.DUMMYFUNCTION("""COMPUTED_VALUE"""),"SOBRECARGA ")</f>
        <v>SOBRECARGA </v>
      </c>
      <c r="AG322" s="64" t="str">
        <f>IFERROR(__xludf.DUMMYFUNCTION("""COMPUTED_VALUE"""),"OPERATIVO EN CONJUNTO")</f>
        <v>OPERATIVO EN CONJUNTO</v>
      </c>
      <c r="AH322" s="64" t="str">
        <f>IFERROR(__xludf.DUMMYFUNCTION("""COMPUTED_VALUE"""),"PUESTO DE ATENCION AL USUARIO")</f>
        <v>PUESTO DE ATENCION AL USUARIO</v>
      </c>
      <c r="AI322" s="64" t="str">
        <f>IFERROR(__xludf.DUMMYFUNCTION("""COMPUTED_VALUE"""),"INCENDIO EN RUTA")</f>
        <v>INCENDIO EN RUTA</v>
      </c>
      <c r="AJ322" s="64" t="str">
        <f>IFERROR(__xludf.DUMMYFUNCTION("""COMPUTED_VALUE"""),"APOYO ANTORCHA ")</f>
        <v>APOYO ANTORCHA </v>
      </c>
    </row>
    <row r="323">
      <c r="B323" s="64" t="s">
        <v>54</v>
      </c>
      <c r="C323" s="64" t="str">
        <f>IFERROR(__xludf.DUMMYFUNCTION(" TRANSPOSE( unique ( QUERY(DATOPRO,""select Col2 where Col1 = '""&amp;B323&amp;""'"")))"),"PINCHAZO")</f>
        <v>PINCHAZO</v>
      </c>
      <c r="D323" s="64" t="str">
        <f>IFERROR(__xludf.DUMMYFUNCTION("""COMPUTED_VALUE"""),"TRABAJOS DE CARRETERA")</f>
        <v>TRABAJOS DE CARRETERA</v>
      </c>
      <c r="E323" s="64" t="str">
        <f>IFERROR(__xludf.DUMMYFUNCTION("""COMPUTED_VALUE"""),"CONSIGNACIÓN")</f>
        <v>CONSIGNACIÓN</v>
      </c>
      <c r="F323" s="64" t="str">
        <f>IFERROR(__xludf.DUMMYFUNCTION("""COMPUTED_VALUE"""),"DERRAME")</f>
        <v>DERRAME</v>
      </c>
      <c r="G323" s="64" t="str">
        <f>IFERROR(__xludf.DUMMYFUNCTION("""COMPUTED_VALUE"""),"CALENTAMIENTO")</f>
        <v>CALENTAMIENTO</v>
      </c>
      <c r="H323" s="64" t="str">
        <f>IFERROR(__xludf.DUMMYFUNCTION("""COMPUTED_VALUE"""),"ESCOLTANDO")</f>
        <v>ESCOLTANDO</v>
      </c>
      <c r="I323" s="64" t="str">
        <f>IFERROR(__xludf.DUMMYFUNCTION("""COMPUTED_VALUE"""),"FALTA DE COMBUSTIBLE")</f>
        <v>FALTA DE COMBUSTIBLE</v>
      </c>
      <c r="J323" s="64" t="str">
        <f>IFERROR(__xludf.DUMMYFUNCTION("""COMPUTED_VALUE"""),"DESPERFECTOS MECÁNICOS")</f>
        <v>DESPERFECTOS MECÁNICOS</v>
      </c>
      <c r="K323" s="64" t="str">
        <f>IFERROR(__xludf.DUMMYFUNCTION("""COMPUTED_VALUE"""),"LLAMADA DE ATENCIÓN")</f>
        <v>LLAMADA DE ATENCIÓN</v>
      </c>
      <c r="L323" s="64" t="str">
        <f>IFERROR(__xludf.DUMMYFUNCTION("""COMPUTED_VALUE"""),"OPERATIVOS")</f>
        <v>OPERATIVOS</v>
      </c>
      <c r="M323" s="64" t="str">
        <f>IFERROR(__xludf.DUMMYFUNCTION("""COMPUTED_VALUE"""),"SANCIÓN")</f>
        <v>SANCIÓN</v>
      </c>
      <c r="N323" s="64" t="str">
        <f>IFERROR(__xludf.DUMMYFUNCTION("""COMPUTED_VALUE"""),"SISTEMA ELECTRICO")</f>
        <v>SISTEMA ELECTRICO</v>
      </c>
      <c r="O323" s="64" t="str">
        <f>IFERROR(__xludf.DUMMYFUNCTION("""COMPUTED_VALUE"""),"ASISTENCIA AL USUARIO")</f>
        <v>ASISTENCIA AL USUARIO</v>
      </c>
      <c r="P323" s="64" t="str">
        <f>IFERROR(__xludf.DUMMYFUNCTION("""COMPUTED_VALUE"""),"DOBLE REMOLQUE")</f>
        <v>DOBLE REMOLQUE</v>
      </c>
      <c r="Q323" s="64" t="str">
        <f>IFERROR(__xludf.DUMMYFUNCTION("""COMPUTED_VALUE"""),"SINAPRESE")</f>
        <v>SINAPRESE</v>
      </c>
      <c r="R323" s="64" t="str">
        <f>IFERROR(__xludf.DUMMYFUNCTION("""COMPUTED_VALUE"""),"APOYO ATLETISMO")</f>
        <v>APOYO ATLETISMO</v>
      </c>
      <c r="S323" s="64" t="str">
        <f>IFERROR(__xludf.DUMMYFUNCTION("""COMPUTED_VALUE"""),"APOYO A CICLISMO")</f>
        <v>APOYO A CICLISMO</v>
      </c>
      <c r="T323" s="64" t="str">
        <f>IFERROR(__xludf.DUMMYFUNCTION("""COMPUTED_VALUE"""),"DESCARGA DE BATERÍA")</f>
        <v>DESCARGA DE BATERÍA</v>
      </c>
      <c r="U323" s="64" t="str">
        <f>IFERROR(__xludf.DUMMYFUNCTION("""COMPUTED_VALUE"""),"PROBLEMAS DE SALUD")</f>
        <v>PROBLEMAS DE SALUD</v>
      </c>
      <c r="V323" s="64" t="str">
        <f>IFERROR(__xludf.DUMMYFUNCTION("""COMPUTED_VALUE"""),"OLVIDO LA LLAVE")</f>
        <v>OLVIDO LA LLAVE</v>
      </c>
      <c r="W323" s="64" t="str">
        <f>IFERROR(__xludf.DUMMYFUNCTION("""COMPUTED_VALUE"""),"CARGA SOBREDIMENSIONADA")</f>
        <v>CARGA SOBREDIMENSIONADA</v>
      </c>
      <c r="X323" s="64" t="str">
        <f>IFERROR(__xludf.DUMMYFUNCTION("""COMPUTED_VALUE"""),"VEHÍCULO ABANDONADO")</f>
        <v>VEHÍCULO ABANDONADO</v>
      </c>
      <c r="Y323" s="64" t="str">
        <f>IFERROR(__xludf.DUMMYFUNCTION("""COMPUTED_VALUE"""),"DESPRENDIMIENTO")</f>
        <v>DESPRENDIMIENTO</v>
      </c>
      <c r="Z323" s="64" t="str">
        <f>IFERROR(__xludf.DUMMYFUNCTION("""COMPUTED_VALUE"""),"CAÍDA DE POSTE")</f>
        <v>CAÍDA DE POSTE</v>
      </c>
      <c r="AA323" s="64" t="str">
        <f>IFERROR(__xludf.DUMMYFUNCTION("""COMPUTED_VALUE"""),"CAÍDA DE RAMA")</f>
        <v>CAÍDA DE RAMA</v>
      </c>
      <c r="AB323" s="64" t="str">
        <f>IFERROR(__xludf.DUMMYFUNCTION("""COMPUTED_VALUE"""),"OPERATIVO DGT")</f>
        <v>OPERATIVO DGT</v>
      </c>
      <c r="AC323" s="64" t="str">
        <f>IFERROR(__xludf.DUMMYFUNCTION("""COMPUTED_VALUE"""),"OPERATIVO PMT")</f>
        <v>OPERATIVO PMT</v>
      </c>
      <c r="AD323" s="64" t="str">
        <f>IFERROR(__xludf.DUMMYFUNCTION("""COMPUTED_VALUE"""),"APOYO A DIGEF")</f>
        <v>APOYO A DIGEF</v>
      </c>
      <c r="AE323" s="64" t="str">
        <f>IFERROR(__xludf.DUMMYFUNCTION("""COMPUTED_VALUE"""),"OPERATIVO PNC TRANSITO")</f>
        <v>OPERATIVO PNC TRANSITO</v>
      </c>
      <c r="AF323" s="64" t="str">
        <f>IFERROR(__xludf.DUMMYFUNCTION("""COMPUTED_VALUE"""),"SOBRECARGA ")</f>
        <v>SOBRECARGA </v>
      </c>
      <c r="AG323" s="64" t="str">
        <f>IFERROR(__xludf.DUMMYFUNCTION("""COMPUTED_VALUE"""),"OPERATIVO EN CONJUNTO")</f>
        <v>OPERATIVO EN CONJUNTO</v>
      </c>
      <c r="AH323" s="64" t="str">
        <f>IFERROR(__xludf.DUMMYFUNCTION("""COMPUTED_VALUE"""),"PUESTO DE ATENCION AL USUARIO")</f>
        <v>PUESTO DE ATENCION AL USUARIO</v>
      </c>
      <c r="AI323" s="64" t="str">
        <f>IFERROR(__xludf.DUMMYFUNCTION("""COMPUTED_VALUE"""),"INCENDIO EN RUTA")</f>
        <v>INCENDIO EN RUTA</v>
      </c>
      <c r="AJ323" s="64" t="str">
        <f>IFERROR(__xludf.DUMMYFUNCTION("""COMPUTED_VALUE"""),"APOYO ANTORCHA ")</f>
        <v>APOYO ANTORCHA </v>
      </c>
    </row>
    <row r="324">
      <c r="B324" s="64" t="s">
        <v>54</v>
      </c>
      <c r="C324" s="64" t="str">
        <f>IFERROR(__xludf.DUMMYFUNCTION(" TRANSPOSE( unique ( QUERY(DATOPRO,""select Col2 where Col1 = '""&amp;B324&amp;""'"")))"),"PINCHAZO")</f>
        <v>PINCHAZO</v>
      </c>
      <c r="D324" s="64" t="str">
        <f>IFERROR(__xludf.DUMMYFUNCTION("""COMPUTED_VALUE"""),"TRABAJOS DE CARRETERA")</f>
        <v>TRABAJOS DE CARRETERA</v>
      </c>
      <c r="E324" s="64" t="str">
        <f>IFERROR(__xludf.DUMMYFUNCTION("""COMPUTED_VALUE"""),"CONSIGNACIÓN")</f>
        <v>CONSIGNACIÓN</v>
      </c>
      <c r="F324" s="64" t="str">
        <f>IFERROR(__xludf.DUMMYFUNCTION("""COMPUTED_VALUE"""),"DERRAME")</f>
        <v>DERRAME</v>
      </c>
      <c r="G324" s="64" t="str">
        <f>IFERROR(__xludf.DUMMYFUNCTION("""COMPUTED_VALUE"""),"CALENTAMIENTO")</f>
        <v>CALENTAMIENTO</v>
      </c>
      <c r="H324" s="64" t="str">
        <f>IFERROR(__xludf.DUMMYFUNCTION("""COMPUTED_VALUE"""),"ESCOLTANDO")</f>
        <v>ESCOLTANDO</v>
      </c>
      <c r="I324" s="64" t="str">
        <f>IFERROR(__xludf.DUMMYFUNCTION("""COMPUTED_VALUE"""),"FALTA DE COMBUSTIBLE")</f>
        <v>FALTA DE COMBUSTIBLE</v>
      </c>
      <c r="J324" s="64" t="str">
        <f>IFERROR(__xludf.DUMMYFUNCTION("""COMPUTED_VALUE"""),"DESPERFECTOS MECÁNICOS")</f>
        <v>DESPERFECTOS MECÁNICOS</v>
      </c>
      <c r="K324" s="64" t="str">
        <f>IFERROR(__xludf.DUMMYFUNCTION("""COMPUTED_VALUE"""),"LLAMADA DE ATENCIÓN")</f>
        <v>LLAMADA DE ATENCIÓN</v>
      </c>
      <c r="L324" s="64" t="str">
        <f>IFERROR(__xludf.DUMMYFUNCTION("""COMPUTED_VALUE"""),"OPERATIVOS")</f>
        <v>OPERATIVOS</v>
      </c>
      <c r="M324" s="64" t="str">
        <f>IFERROR(__xludf.DUMMYFUNCTION("""COMPUTED_VALUE"""),"SANCIÓN")</f>
        <v>SANCIÓN</v>
      </c>
      <c r="N324" s="64" t="str">
        <f>IFERROR(__xludf.DUMMYFUNCTION("""COMPUTED_VALUE"""),"SISTEMA ELECTRICO")</f>
        <v>SISTEMA ELECTRICO</v>
      </c>
      <c r="O324" s="64" t="str">
        <f>IFERROR(__xludf.DUMMYFUNCTION("""COMPUTED_VALUE"""),"ASISTENCIA AL USUARIO")</f>
        <v>ASISTENCIA AL USUARIO</v>
      </c>
      <c r="P324" s="64" t="str">
        <f>IFERROR(__xludf.DUMMYFUNCTION("""COMPUTED_VALUE"""),"DOBLE REMOLQUE")</f>
        <v>DOBLE REMOLQUE</v>
      </c>
      <c r="Q324" s="64" t="str">
        <f>IFERROR(__xludf.DUMMYFUNCTION("""COMPUTED_VALUE"""),"SINAPRESE")</f>
        <v>SINAPRESE</v>
      </c>
      <c r="R324" s="64" t="str">
        <f>IFERROR(__xludf.DUMMYFUNCTION("""COMPUTED_VALUE"""),"APOYO ATLETISMO")</f>
        <v>APOYO ATLETISMO</v>
      </c>
      <c r="S324" s="64" t="str">
        <f>IFERROR(__xludf.DUMMYFUNCTION("""COMPUTED_VALUE"""),"APOYO A CICLISMO")</f>
        <v>APOYO A CICLISMO</v>
      </c>
      <c r="T324" s="64" t="str">
        <f>IFERROR(__xludf.DUMMYFUNCTION("""COMPUTED_VALUE"""),"DESCARGA DE BATERÍA")</f>
        <v>DESCARGA DE BATERÍA</v>
      </c>
      <c r="U324" s="64" t="str">
        <f>IFERROR(__xludf.DUMMYFUNCTION("""COMPUTED_VALUE"""),"PROBLEMAS DE SALUD")</f>
        <v>PROBLEMAS DE SALUD</v>
      </c>
      <c r="V324" s="64" t="str">
        <f>IFERROR(__xludf.DUMMYFUNCTION("""COMPUTED_VALUE"""),"OLVIDO LA LLAVE")</f>
        <v>OLVIDO LA LLAVE</v>
      </c>
      <c r="W324" s="64" t="str">
        <f>IFERROR(__xludf.DUMMYFUNCTION("""COMPUTED_VALUE"""),"CARGA SOBREDIMENSIONADA")</f>
        <v>CARGA SOBREDIMENSIONADA</v>
      </c>
      <c r="X324" s="64" t="str">
        <f>IFERROR(__xludf.DUMMYFUNCTION("""COMPUTED_VALUE"""),"VEHÍCULO ABANDONADO")</f>
        <v>VEHÍCULO ABANDONADO</v>
      </c>
      <c r="Y324" s="64" t="str">
        <f>IFERROR(__xludf.DUMMYFUNCTION("""COMPUTED_VALUE"""),"DESPRENDIMIENTO")</f>
        <v>DESPRENDIMIENTO</v>
      </c>
      <c r="Z324" s="64" t="str">
        <f>IFERROR(__xludf.DUMMYFUNCTION("""COMPUTED_VALUE"""),"CAÍDA DE POSTE")</f>
        <v>CAÍDA DE POSTE</v>
      </c>
      <c r="AA324" s="64" t="str">
        <f>IFERROR(__xludf.DUMMYFUNCTION("""COMPUTED_VALUE"""),"CAÍDA DE RAMA")</f>
        <v>CAÍDA DE RAMA</v>
      </c>
      <c r="AB324" s="64" t="str">
        <f>IFERROR(__xludf.DUMMYFUNCTION("""COMPUTED_VALUE"""),"OPERATIVO DGT")</f>
        <v>OPERATIVO DGT</v>
      </c>
      <c r="AC324" s="64" t="str">
        <f>IFERROR(__xludf.DUMMYFUNCTION("""COMPUTED_VALUE"""),"OPERATIVO PMT")</f>
        <v>OPERATIVO PMT</v>
      </c>
      <c r="AD324" s="64" t="str">
        <f>IFERROR(__xludf.DUMMYFUNCTION("""COMPUTED_VALUE"""),"APOYO A DIGEF")</f>
        <v>APOYO A DIGEF</v>
      </c>
      <c r="AE324" s="64" t="str">
        <f>IFERROR(__xludf.DUMMYFUNCTION("""COMPUTED_VALUE"""),"OPERATIVO PNC TRANSITO")</f>
        <v>OPERATIVO PNC TRANSITO</v>
      </c>
      <c r="AF324" s="64" t="str">
        <f>IFERROR(__xludf.DUMMYFUNCTION("""COMPUTED_VALUE"""),"SOBRECARGA ")</f>
        <v>SOBRECARGA </v>
      </c>
      <c r="AG324" s="64" t="str">
        <f>IFERROR(__xludf.DUMMYFUNCTION("""COMPUTED_VALUE"""),"OPERATIVO EN CONJUNTO")</f>
        <v>OPERATIVO EN CONJUNTO</v>
      </c>
      <c r="AH324" s="64" t="str">
        <f>IFERROR(__xludf.DUMMYFUNCTION("""COMPUTED_VALUE"""),"PUESTO DE ATENCION AL USUARIO")</f>
        <v>PUESTO DE ATENCION AL USUARIO</v>
      </c>
      <c r="AI324" s="64" t="str">
        <f>IFERROR(__xludf.DUMMYFUNCTION("""COMPUTED_VALUE"""),"INCENDIO EN RUTA")</f>
        <v>INCENDIO EN RUTA</v>
      </c>
      <c r="AJ324" s="64" t="str">
        <f>IFERROR(__xludf.DUMMYFUNCTION("""COMPUTED_VALUE"""),"APOYO ANTORCHA ")</f>
        <v>APOYO ANTORCHA </v>
      </c>
    </row>
    <row r="325">
      <c r="B325" s="64" t="s">
        <v>54</v>
      </c>
      <c r="C325" s="64" t="str">
        <f>IFERROR(__xludf.DUMMYFUNCTION(" TRANSPOSE( unique ( QUERY(DATOPRO,""select Col2 where Col1 = '""&amp;B325&amp;""'"")))"),"PINCHAZO")</f>
        <v>PINCHAZO</v>
      </c>
      <c r="D325" s="64" t="str">
        <f>IFERROR(__xludf.DUMMYFUNCTION("""COMPUTED_VALUE"""),"TRABAJOS DE CARRETERA")</f>
        <v>TRABAJOS DE CARRETERA</v>
      </c>
      <c r="E325" s="64" t="str">
        <f>IFERROR(__xludf.DUMMYFUNCTION("""COMPUTED_VALUE"""),"CONSIGNACIÓN")</f>
        <v>CONSIGNACIÓN</v>
      </c>
      <c r="F325" s="64" t="str">
        <f>IFERROR(__xludf.DUMMYFUNCTION("""COMPUTED_VALUE"""),"DERRAME")</f>
        <v>DERRAME</v>
      </c>
      <c r="G325" s="64" t="str">
        <f>IFERROR(__xludf.DUMMYFUNCTION("""COMPUTED_VALUE"""),"CALENTAMIENTO")</f>
        <v>CALENTAMIENTO</v>
      </c>
      <c r="H325" s="64" t="str">
        <f>IFERROR(__xludf.DUMMYFUNCTION("""COMPUTED_VALUE"""),"ESCOLTANDO")</f>
        <v>ESCOLTANDO</v>
      </c>
      <c r="I325" s="64" t="str">
        <f>IFERROR(__xludf.DUMMYFUNCTION("""COMPUTED_VALUE"""),"FALTA DE COMBUSTIBLE")</f>
        <v>FALTA DE COMBUSTIBLE</v>
      </c>
      <c r="J325" s="64" t="str">
        <f>IFERROR(__xludf.DUMMYFUNCTION("""COMPUTED_VALUE"""),"DESPERFECTOS MECÁNICOS")</f>
        <v>DESPERFECTOS MECÁNICOS</v>
      </c>
      <c r="K325" s="64" t="str">
        <f>IFERROR(__xludf.DUMMYFUNCTION("""COMPUTED_VALUE"""),"LLAMADA DE ATENCIÓN")</f>
        <v>LLAMADA DE ATENCIÓN</v>
      </c>
      <c r="L325" s="64" t="str">
        <f>IFERROR(__xludf.DUMMYFUNCTION("""COMPUTED_VALUE"""),"OPERATIVOS")</f>
        <v>OPERATIVOS</v>
      </c>
      <c r="M325" s="64" t="str">
        <f>IFERROR(__xludf.DUMMYFUNCTION("""COMPUTED_VALUE"""),"SANCIÓN")</f>
        <v>SANCIÓN</v>
      </c>
      <c r="N325" s="64" t="str">
        <f>IFERROR(__xludf.DUMMYFUNCTION("""COMPUTED_VALUE"""),"SISTEMA ELECTRICO")</f>
        <v>SISTEMA ELECTRICO</v>
      </c>
      <c r="O325" s="64" t="str">
        <f>IFERROR(__xludf.DUMMYFUNCTION("""COMPUTED_VALUE"""),"ASISTENCIA AL USUARIO")</f>
        <v>ASISTENCIA AL USUARIO</v>
      </c>
      <c r="P325" s="64" t="str">
        <f>IFERROR(__xludf.DUMMYFUNCTION("""COMPUTED_VALUE"""),"DOBLE REMOLQUE")</f>
        <v>DOBLE REMOLQUE</v>
      </c>
      <c r="Q325" s="64" t="str">
        <f>IFERROR(__xludf.DUMMYFUNCTION("""COMPUTED_VALUE"""),"SINAPRESE")</f>
        <v>SINAPRESE</v>
      </c>
      <c r="R325" s="64" t="str">
        <f>IFERROR(__xludf.DUMMYFUNCTION("""COMPUTED_VALUE"""),"APOYO ATLETISMO")</f>
        <v>APOYO ATLETISMO</v>
      </c>
      <c r="S325" s="64" t="str">
        <f>IFERROR(__xludf.DUMMYFUNCTION("""COMPUTED_VALUE"""),"APOYO A CICLISMO")</f>
        <v>APOYO A CICLISMO</v>
      </c>
      <c r="T325" s="64" t="str">
        <f>IFERROR(__xludf.DUMMYFUNCTION("""COMPUTED_VALUE"""),"DESCARGA DE BATERÍA")</f>
        <v>DESCARGA DE BATERÍA</v>
      </c>
      <c r="U325" s="64" t="str">
        <f>IFERROR(__xludf.DUMMYFUNCTION("""COMPUTED_VALUE"""),"PROBLEMAS DE SALUD")</f>
        <v>PROBLEMAS DE SALUD</v>
      </c>
      <c r="V325" s="64" t="str">
        <f>IFERROR(__xludf.DUMMYFUNCTION("""COMPUTED_VALUE"""),"OLVIDO LA LLAVE")</f>
        <v>OLVIDO LA LLAVE</v>
      </c>
      <c r="W325" s="64" t="str">
        <f>IFERROR(__xludf.DUMMYFUNCTION("""COMPUTED_VALUE"""),"CARGA SOBREDIMENSIONADA")</f>
        <v>CARGA SOBREDIMENSIONADA</v>
      </c>
      <c r="X325" s="64" t="str">
        <f>IFERROR(__xludf.DUMMYFUNCTION("""COMPUTED_VALUE"""),"VEHÍCULO ABANDONADO")</f>
        <v>VEHÍCULO ABANDONADO</v>
      </c>
      <c r="Y325" s="64" t="str">
        <f>IFERROR(__xludf.DUMMYFUNCTION("""COMPUTED_VALUE"""),"DESPRENDIMIENTO")</f>
        <v>DESPRENDIMIENTO</v>
      </c>
      <c r="Z325" s="64" t="str">
        <f>IFERROR(__xludf.DUMMYFUNCTION("""COMPUTED_VALUE"""),"CAÍDA DE POSTE")</f>
        <v>CAÍDA DE POSTE</v>
      </c>
      <c r="AA325" s="64" t="str">
        <f>IFERROR(__xludf.DUMMYFUNCTION("""COMPUTED_VALUE"""),"CAÍDA DE RAMA")</f>
        <v>CAÍDA DE RAMA</v>
      </c>
      <c r="AB325" s="64" t="str">
        <f>IFERROR(__xludf.DUMMYFUNCTION("""COMPUTED_VALUE"""),"OPERATIVO DGT")</f>
        <v>OPERATIVO DGT</v>
      </c>
      <c r="AC325" s="64" t="str">
        <f>IFERROR(__xludf.DUMMYFUNCTION("""COMPUTED_VALUE"""),"OPERATIVO PMT")</f>
        <v>OPERATIVO PMT</v>
      </c>
      <c r="AD325" s="64" t="str">
        <f>IFERROR(__xludf.DUMMYFUNCTION("""COMPUTED_VALUE"""),"APOYO A DIGEF")</f>
        <v>APOYO A DIGEF</v>
      </c>
      <c r="AE325" s="64" t="str">
        <f>IFERROR(__xludf.DUMMYFUNCTION("""COMPUTED_VALUE"""),"OPERATIVO PNC TRANSITO")</f>
        <v>OPERATIVO PNC TRANSITO</v>
      </c>
      <c r="AF325" s="64" t="str">
        <f>IFERROR(__xludf.DUMMYFUNCTION("""COMPUTED_VALUE"""),"SOBRECARGA ")</f>
        <v>SOBRECARGA </v>
      </c>
      <c r="AG325" s="64" t="str">
        <f>IFERROR(__xludf.DUMMYFUNCTION("""COMPUTED_VALUE"""),"OPERATIVO EN CONJUNTO")</f>
        <v>OPERATIVO EN CONJUNTO</v>
      </c>
      <c r="AH325" s="64" t="str">
        <f>IFERROR(__xludf.DUMMYFUNCTION("""COMPUTED_VALUE"""),"PUESTO DE ATENCION AL USUARIO")</f>
        <v>PUESTO DE ATENCION AL USUARIO</v>
      </c>
      <c r="AI325" s="64" t="str">
        <f>IFERROR(__xludf.DUMMYFUNCTION("""COMPUTED_VALUE"""),"INCENDIO EN RUTA")</f>
        <v>INCENDIO EN RUTA</v>
      </c>
      <c r="AJ325" s="64" t="str">
        <f>IFERROR(__xludf.DUMMYFUNCTION("""COMPUTED_VALUE"""),"APOYO ANTORCHA ")</f>
        <v>APOYO ANTORCHA </v>
      </c>
    </row>
    <row r="326">
      <c r="B326" s="64" t="s">
        <v>54</v>
      </c>
      <c r="C326" s="64" t="str">
        <f>IFERROR(__xludf.DUMMYFUNCTION(" TRANSPOSE( unique ( QUERY(DATOPRO,""select Col2 where Col1 = '""&amp;B326&amp;""'"")))"),"PINCHAZO")</f>
        <v>PINCHAZO</v>
      </c>
      <c r="D326" s="64" t="str">
        <f>IFERROR(__xludf.DUMMYFUNCTION("""COMPUTED_VALUE"""),"TRABAJOS DE CARRETERA")</f>
        <v>TRABAJOS DE CARRETERA</v>
      </c>
      <c r="E326" s="64" t="str">
        <f>IFERROR(__xludf.DUMMYFUNCTION("""COMPUTED_VALUE"""),"CONSIGNACIÓN")</f>
        <v>CONSIGNACIÓN</v>
      </c>
      <c r="F326" s="64" t="str">
        <f>IFERROR(__xludf.DUMMYFUNCTION("""COMPUTED_VALUE"""),"DERRAME")</f>
        <v>DERRAME</v>
      </c>
      <c r="G326" s="64" t="str">
        <f>IFERROR(__xludf.DUMMYFUNCTION("""COMPUTED_VALUE"""),"CALENTAMIENTO")</f>
        <v>CALENTAMIENTO</v>
      </c>
      <c r="H326" s="64" t="str">
        <f>IFERROR(__xludf.DUMMYFUNCTION("""COMPUTED_VALUE"""),"ESCOLTANDO")</f>
        <v>ESCOLTANDO</v>
      </c>
      <c r="I326" s="64" t="str">
        <f>IFERROR(__xludf.DUMMYFUNCTION("""COMPUTED_VALUE"""),"FALTA DE COMBUSTIBLE")</f>
        <v>FALTA DE COMBUSTIBLE</v>
      </c>
      <c r="J326" s="64" t="str">
        <f>IFERROR(__xludf.DUMMYFUNCTION("""COMPUTED_VALUE"""),"DESPERFECTOS MECÁNICOS")</f>
        <v>DESPERFECTOS MECÁNICOS</v>
      </c>
      <c r="K326" s="64" t="str">
        <f>IFERROR(__xludf.DUMMYFUNCTION("""COMPUTED_VALUE"""),"LLAMADA DE ATENCIÓN")</f>
        <v>LLAMADA DE ATENCIÓN</v>
      </c>
      <c r="L326" s="64" t="str">
        <f>IFERROR(__xludf.DUMMYFUNCTION("""COMPUTED_VALUE"""),"OPERATIVOS")</f>
        <v>OPERATIVOS</v>
      </c>
      <c r="M326" s="64" t="str">
        <f>IFERROR(__xludf.DUMMYFUNCTION("""COMPUTED_VALUE"""),"SANCIÓN")</f>
        <v>SANCIÓN</v>
      </c>
      <c r="N326" s="64" t="str">
        <f>IFERROR(__xludf.DUMMYFUNCTION("""COMPUTED_VALUE"""),"SISTEMA ELECTRICO")</f>
        <v>SISTEMA ELECTRICO</v>
      </c>
      <c r="O326" s="64" t="str">
        <f>IFERROR(__xludf.DUMMYFUNCTION("""COMPUTED_VALUE"""),"ASISTENCIA AL USUARIO")</f>
        <v>ASISTENCIA AL USUARIO</v>
      </c>
      <c r="P326" s="64" t="str">
        <f>IFERROR(__xludf.DUMMYFUNCTION("""COMPUTED_VALUE"""),"DOBLE REMOLQUE")</f>
        <v>DOBLE REMOLQUE</v>
      </c>
      <c r="Q326" s="64" t="str">
        <f>IFERROR(__xludf.DUMMYFUNCTION("""COMPUTED_VALUE"""),"SINAPRESE")</f>
        <v>SINAPRESE</v>
      </c>
      <c r="R326" s="64" t="str">
        <f>IFERROR(__xludf.DUMMYFUNCTION("""COMPUTED_VALUE"""),"APOYO ATLETISMO")</f>
        <v>APOYO ATLETISMO</v>
      </c>
      <c r="S326" s="64" t="str">
        <f>IFERROR(__xludf.DUMMYFUNCTION("""COMPUTED_VALUE"""),"APOYO A CICLISMO")</f>
        <v>APOYO A CICLISMO</v>
      </c>
      <c r="T326" s="64" t="str">
        <f>IFERROR(__xludf.DUMMYFUNCTION("""COMPUTED_VALUE"""),"DESCARGA DE BATERÍA")</f>
        <v>DESCARGA DE BATERÍA</v>
      </c>
      <c r="U326" s="64" t="str">
        <f>IFERROR(__xludf.DUMMYFUNCTION("""COMPUTED_VALUE"""),"PROBLEMAS DE SALUD")</f>
        <v>PROBLEMAS DE SALUD</v>
      </c>
      <c r="V326" s="64" t="str">
        <f>IFERROR(__xludf.DUMMYFUNCTION("""COMPUTED_VALUE"""),"OLVIDO LA LLAVE")</f>
        <v>OLVIDO LA LLAVE</v>
      </c>
      <c r="W326" s="64" t="str">
        <f>IFERROR(__xludf.DUMMYFUNCTION("""COMPUTED_VALUE"""),"CARGA SOBREDIMENSIONADA")</f>
        <v>CARGA SOBREDIMENSIONADA</v>
      </c>
      <c r="X326" s="64" t="str">
        <f>IFERROR(__xludf.DUMMYFUNCTION("""COMPUTED_VALUE"""),"VEHÍCULO ABANDONADO")</f>
        <v>VEHÍCULO ABANDONADO</v>
      </c>
      <c r="Y326" s="64" t="str">
        <f>IFERROR(__xludf.DUMMYFUNCTION("""COMPUTED_VALUE"""),"DESPRENDIMIENTO")</f>
        <v>DESPRENDIMIENTO</v>
      </c>
      <c r="Z326" s="64" t="str">
        <f>IFERROR(__xludf.DUMMYFUNCTION("""COMPUTED_VALUE"""),"CAÍDA DE POSTE")</f>
        <v>CAÍDA DE POSTE</v>
      </c>
      <c r="AA326" s="64" t="str">
        <f>IFERROR(__xludf.DUMMYFUNCTION("""COMPUTED_VALUE"""),"CAÍDA DE RAMA")</f>
        <v>CAÍDA DE RAMA</v>
      </c>
      <c r="AB326" s="64" t="str">
        <f>IFERROR(__xludf.DUMMYFUNCTION("""COMPUTED_VALUE"""),"OPERATIVO DGT")</f>
        <v>OPERATIVO DGT</v>
      </c>
      <c r="AC326" s="64" t="str">
        <f>IFERROR(__xludf.DUMMYFUNCTION("""COMPUTED_VALUE"""),"OPERATIVO PMT")</f>
        <v>OPERATIVO PMT</v>
      </c>
      <c r="AD326" s="64" t="str">
        <f>IFERROR(__xludf.DUMMYFUNCTION("""COMPUTED_VALUE"""),"APOYO A DIGEF")</f>
        <v>APOYO A DIGEF</v>
      </c>
      <c r="AE326" s="64" t="str">
        <f>IFERROR(__xludf.DUMMYFUNCTION("""COMPUTED_VALUE"""),"OPERATIVO PNC TRANSITO")</f>
        <v>OPERATIVO PNC TRANSITO</v>
      </c>
      <c r="AF326" s="64" t="str">
        <f>IFERROR(__xludf.DUMMYFUNCTION("""COMPUTED_VALUE"""),"SOBRECARGA ")</f>
        <v>SOBRECARGA </v>
      </c>
      <c r="AG326" s="64" t="str">
        <f>IFERROR(__xludf.DUMMYFUNCTION("""COMPUTED_VALUE"""),"OPERATIVO EN CONJUNTO")</f>
        <v>OPERATIVO EN CONJUNTO</v>
      </c>
      <c r="AH326" s="64" t="str">
        <f>IFERROR(__xludf.DUMMYFUNCTION("""COMPUTED_VALUE"""),"PUESTO DE ATENCION AL USUARIO")</f>
        <v>PUESTO DE ATENCION AL USUARIO</v>
      </c>
      <c r="AI326" s="64" t="str">
        <f>IFERROR(__xludf.DUMMYFUNCTION("""COMPUTED_VALUE"""),"INCENDIO EN RUTA")</f>
        <v>INCENDIO EN RUTA</v>
      </c>
      <c r="AJ326" s="64" t="str">
        <f>IFERROR(__xludf.DUMMYFUNCTION("""COMPUTED_VALUE"""),"APOYO ANTORCHA ")</f>
        <v>APOYO ANTORCHA </v>
      </c>
    </row>
    <row r="327">
      <c r="B327" s="64" t="s">
        <v>38</v>
      </c>
      <c r="C327" s="64" t="str">
        <f>IFERROR(__xludf.DUMMYFUNCTION(" TRANSPOSE( unique ( QUERY(DATOPRO,""select Col2 where Col1 = '""&amp;B327&amp;""'"")))"),"ATAQUE ARMADO")</f>
        <v>ATAQUE ARMADO</v>
      </c>
      <c r="D327" s="64" t="str">
        <f>IFERROR(__xludf.DUMMYFUNCTION("""COMPUTED_VALUE"""),"DESBALANCE DE CARGA")</f>
        <v>DESBALANCE DE CARGA</v>
      </c>
      <c r="E327" s="64" t="str">
        <f>IFERROR(__xludf.DUMMYFUNCTION("""COMPUTED_VALUE"""),"PERSONA FALLECIDA")</f>
        <v>PERSONA FALLECIDA</v>
      </c>
      <c r="F327" s="64" t="str">
        <f>IFERROR(__xludf.DUMMYFUNCTION("""COMPUTED_VALUE"""),"DESPRENDIMIENTO DE NEUMATICO")</f>
        <v>DESPRENDIMIENTO DE NEUMATICO</v>
      </c>
      <c r="G327" s="64" t="str">
        <f>IFERROR(__xludf.DUMMYFUNCTION("""COMPUTED_VALUE"""),"SALIDA DE PISTA")</f>
        <v>SALIDA DE PISTA</v>
      </c>
      <c r="H327" s="64" t="str">
        <f>IFERROR(__xludf.DUMMYFUNCTION("""COMPUTED_VALUE"""),"DESPRENDIMIENTO DE CONTENEDOR")</f>
        <v>DESPRENDIMIENTO DE CONTENEDOR</v>
      </c>
      <c r="I327" s="64" t="str">
        <f>IFERROR(__xludf.DUMMYFUNCTION("""COMPUTED_VALUE"""),"CAÍDA DE CARGA")</f>
        <v>CAÍDA DE CARGA</v>
      </c>
      <c r="J327" s="64" t="str">
        <f>IFERROR(__xludf.DUMMYFUNCTION("""COMPUTED_VALUE"""),"CHOQUE")</f>
        <v>CHOQUE</v>
      </c>
      <c r="K327" s="64" t="str">
        <f>IFERROR(__xludf.DUMMYFUNCTION("""COMPUTED_VALUE"""),"COLISIÓN")</f>
        <v>COLISIÓN</v>
      </c>
      <c r="L327" s="64" t="str">
        <f>IFERROR(__xludf.DUMMYFUNCTION("""COMPUTED_VALUE"""),"COLISIÓN MÚLTIPLE")</f>
        <v>COLISIÓN MÚLTIPLE</v>
      </c>
      <c r="M327" s="64" t="str">
        <f>IFERROR(__xludf.DUMMYFUNCTION("""COMPUTED_VALUE"""),"DERRAPE")</f>
        <v>DERRAPE</v>
      </c>
      <c r="N327" s="64" t="str">
        <f>IFERROR(__xludf.DUMMYFUNCTION("""COMPUTED_VALUE"""),"VEHÍCULO INCENDIADO")</f>
        <v>VEHÍCULO INCENDIADO</v>
      </c>
      <c r="O327" s="64" t="str">
        <f>IFERROR(__xludf.DUMMYFUNCTION("""COMPUTED_VALUE"""),"VUELCO")</f>
        <v>VUELCO</v>
      </c>
      <c r="P327" s="64" t="str">
        <f>IFERROR(__xludf.DUMMYFUNCTION("""COMPUTED_VALUE"""),"DESPRENDIMIENTO")</f>
        <v>DESPRENDIMIENTO</v>
      </c>
      <c r="Q327" s="64" t="str">
        <f>IFERROR(__xludf.DUMMYFUNCTION("""COMPUTED_VALUE"""),"CAÍDA DE ÁRBOL")</f>
        <v>CAÍDA DE ÁRBOL</v>
      </c>
      <c r="R327" s="64" t="str">
        <f>IFERROR(__xludf.DUMMYFUNCTION("""COMPUTED_VALUE"""),"DESPRENDIMIENTO DE EJE")</f>
        <v>DESPRENDIMIENTO DE EJE</v>
      </c>
      <c r="S327" s="64" t="str">
        <f>IFERROR(__xludf.DUMMYFUNCTION("""COMPUTED_VALUE"""),"PERSONA ATROPELLADA")</f>
        <v>PERSONA ATROPELLADA</v>
      </c>
    </row>
    <row r="328">
      <c r="B328" s="64" t="s">
        <v>54</v>
      </c>
      <c r="C328" s="64" t="str">
        <f>IFERROR(__xludf.DUMMYFUNCTION(" TRANSPOSE( unique ( QUERY(DATOPRO,""select Col2 where Col1 = '""&amp;B328&amp;""'"")))"),"PINCHAZO")</f>
        <v>PINCHAZO</v>
      </c>
      <c r="D328" s="64" t="str">
        <f>IFERROR(__xludf.DUMMYFUNCTION("""COMPUTED_VALUE"""),"TRABAJOS DE CARRETERA")</f>
        <v>TRABAJOS DE CARRETERA</v>
      </c>
      <c r="E328" s="64" t="str">
        <f>IFERROR(__xludf.DUMMYFUNCTION("""COMPUTED_VALUE"""),"CONSIGNACIÓN")</f>
        <v>CONSIGNACIÓN</v>
      </c>
      <c r="F328" s="64" t="str">
        <f>IFERROR(__xludf.DUMMYFUNCTION("""COMPUTED_VALUE"""),"DERRAME")</f>
        <v>DERRAME</v>
      </c>
      <c r="G328" s="64" t="str">
        <f>IFERROR(__xludf.DUMMYFUNCTION("""COMPUTED_VALUE"""),"CALENTAMIENTO")</f>
        <v>CALENTAMIENTO</v>
      </c>
      <c r="H328" s="64" t="str">
        <f>IFERROR(__xludf.DUMMYFUNCTION("""COMPUTED_VALUE"""),"ESCOLTANDO")</f>
        <v>ESCOLTANDO</v>
      </c>
      <c r="I328" s="64" t="str">
        <f>IFERROR(__xludf.DUMMYFUNCTION("""COMPUTED_VALUE"""),"FALTA DE COMBUSTIBLE")</f>
        <v>FALTA DE COMBUSTIBLE</v>
      </c>
      <c r="J328" s="64" t="str">
        <f>IFERROR(__xludf.DUMMYFUNCTION("""COMPUTED_VALUE"""),"DESPERFECTOS MECÁNICOS")</f>
        <v>DESPERFECTOS MECÁNICOS</v>
      </c>
      <c r="K328" s="64" t="str">
        <f>IFERROR(__xludf.DUMMYFUNCTION("""COMPUTED_VALUE"""),"LLAMADA DE ATENCIÓN")</f>
        <v>LLAMADA DE ATENCIÓN</v>
      </c>
      <c r="L328" s="64" t="str">
        <f>IFERROR(__xludf.DUMMYFUNCTION("""COMPUTED_VALUE"""),"OPERATIVOS")</f>
        <v>OPERATIVOS</v>
      </c>
      <c r="M328" s="64" t="str">
        <f>IFERROR(__xludf.DUMMYFUNCTION("""COMPUTED_VALUE"""),"SANCIÓN")</f>
        <v>SANCIÓN</v>
      </c>
      <c r="N328" s="64" t="str">
        <f>IFERROR(__xludf.DUMMYFUNCTION("""COMPUTED_VALUE"""),"SISTEMA ELECTRICO")</f>
        <v>SISTEMA ELECTRICO</v>
      </c>
      <c r="O328" s="64" t="str">
        <f>IFERROR(__xludf.DUMMYFUNCTION("""COMPUTED_VALUE"""),"ASISTENCIA AL USUARIO")</f>
        <v>ASISTENCIA AL USUARIO</v>
      </c>
      <c r="P328" s="64" t="str">
        <f>IFERROR(__xludf.DUMMYFUNCTION("""COMPUTED_VALUE"""),"DOBLE REMOLQUE")</f>
        <v>DOBLE REMOLQUE</v>
      </c>
      <c r="Q328" s="64" t="str">
        <f>IFERROR(__xludf.DUMMYFUNCTION("""COMPUTED_VALUE"""),"SINAPRESE")</f>
        <v>SINAPRESE</v>
      </c>
      <c r="R328" s="64" t="str">
        <f>IFERROR(__xludf.DUMMYFUNCTION("""COMPUTED_VALUE"""),"APOYO ATLETISMO")</f>
        <v>APOYO ATLETISMO</v>
      </c>
      <c r="S328" s="64" t="str">
        <f>IFERROR(__xludf.DUMMYFUNCTION("""COMPUTED_VALUE"""),"APOYO A CICLISMO")</f>
        <v>APOYO A CICLISMO</v>
      </c>
      <c r="T328" s="64" t="str">
        <f>IFERROR(__xludf.DUMMYFUNCTION("""COMPUTED_VALUE"""),"DESCARGA DE BATERÍA")</f>
        <v>DESCARGA DE BATERÍA</v>
      </c>
      <c r="U328" s="64" t="str">
        <f>IFERROR(__xludf.DUMMYFUNCTION("""COMPUTED_VALUE"""),"PROBLEMAS DE SALUD")</f>
        <v>PROBLEMAS DE SALUD</v>
      </c>
      <c r="V328" s="64" t="str">
        <f>IFERROR(__xludf.DUMMYFUNCTION("""COMPUTED_VALUE"""),"OLVIDO LA LLAVE")</f>
        <v>OLVIDO LA LLAVE</v>
      </c>
      <c r="W328" s="64" t="str">
        <f>IFERROR(__xludf.DUMMYFUNCTION("""COMPUTED_VALUE"""),"CARGA SOBREDIMENSIONADA")</f>
        <v>CARGA SOBREDIMENSIONADA</v>
      </c>
      <c r="X328" s="64" t="str">
        <f>IFERROR(__xludf.DUMMYFUNCTION("""COMPUTED_VALUE"""),"VEHÍCULO ABANDONADO")</f>
        <v>VEHÍCULO ABANDONADO</v>
      </c>
      <c r="Y328" s="64" t="str">
        <f>IFERROR(__xludf.DUMMYFUNCTION("""COMPUTED_VALUE"""),"DESPRENDIMIENTO")</f>
        <v>DESPRENDIMIENTO</v>
      </c>
      <c r="Z328" s="64" t="str">
        <f>IFERROR(__xludf.DUMMYFUNCTION("""COMPUTED_VALUE"""),"CAÍDA DE POSTE")</f>
        <v>CAÍDA DE POSTE</v>
      </c>
      <c r="AA328" s="64" t="str">
        <f>IFERROR(__xludf.DUMMYFUNCTION("""COMPUTED_VALUE"""),"CAÍDA DE RAMA")</f>
        <v>CAÍDA DE RAMA</v>
      </c>
      <c r="AB328" s="64" t="str">
        <f>IFERROR(__xludf.DUMMYFUNCTION("""COMPUTED_VALUE"""),"OPERATIVO DGT")</f>
        <v>OPERATIVO DGT</v>
      </c>
      <c r="AC328" s="64" t="str">
        <f>IFERROR(__xludf.DUMMYFUNCTION("""COMPUTED_VALUE"""),"OPERATIVO PMT")</f>
        <v>OPERATIVO PMT</v>
      </c>
      <c r="AD328" s="64" t="str">
        <f>IFERROR(__xludf.DUMMYFUNCTION("""COMPUTED_VALUE"""),"APOYO A DIGEF")</f>
        <v>APOYO A DIGEF</v>
      </c>
      <c r="AE328" s="64" t="str">
        <f>IFERROR(__xludf.DUMMYFUNCTION("""COMPUTED_VALUE"""),"OPERATIVO PNC TRANSITO")</f>
        <v>OPERATIVO PNC TRANSITO</v>
      </c>
      <c r="AF328" s="64" t="str">
        <f>IFERROR(__xludf.DUMMYFUNCTION("""COMPUTED_VALUE"""),"SOBRECARGA ")</f>
        <v>SOBRECARGA </v>
      </c>
      <c r="AG328" s="64" t="str">
        <f>IFERROR(__xludf.DUMMYFUNCTION("""COMPUTED_VALUE"""),"OPERATIVO EN CONJUNTO")</f>
        <v>OPERATIVO EN CONJUNTO</v>
      </c>
      <c r="AH328" s="64" t="str">
        <f>IFERROR(__xludf.DUMMYFUNCTION("""COMPUTED_VALUE"""),"PUESTO DE ATENCION AL USUARIO")</f>
        <v>PUESTO DE ATENCION AL USUARIO</v>
      </c>
      <c r="AI328" s="64" t="str">
        <f>IFERROR(__xludf.DUMMYFUNCTION("""COMPUTED_VALUE"""),"INCENDIO EN RUTA")</f>
        <v>INCENDIO EN RUTA</v>
      </c>
      <c r="AJ328" s="64" t="str">
        <f>IFERROR(__xludf.DUMMYFUNCTION("""COMPUTED_VALUE"""),"APOYO ANTORCHA ")</f>
        <v>APOYO ANTORCHA </v>
      </c>
    </row>
    <row r="329">
      <c r="B329" s="64" t="s">
        <v>38</v>
      </c>
      <c r="C329" s="64" t="str">
        <f>IFERROR(__xludf.DUMMYFUNCTION(" TRANSPOSE( unique ( QUERY(DATOPRO,""select Col2 where Col1 = '""&amp;B329&amp;""'"")))"),"ATAQUE ARMADO")</f>
        <v>ATAQUE ARMADO</v>
      </c>
      <c r="D329" s="64" t="str">
        <f>IFERROR(__xludf.DUMMYFUNCTION("""COMPUTED_VALUE"""),"DESBALANCE DE CARGA")</f>
        <v>DESBALANCE DE CARGA</v>
      </c>
      <c r="E329" s="64" t="str">
        <f>IFERROR(__xludf.DUMMYFUNCTION("""COMPUTED_VALUE"""),"PERSONA FALLECIDA")</f>
        <v>PERSONA FALLECIDA</v>
      </c>
      <c r="F329" s="64" t="str">
        <f>IFERROR(__xludf.DUMMYFUNCTION("""COMPUTED_VALUE"""),"DESPRENDIMIENTO DE NEUMATICO")</f>
        <v>DESPRENDIMIENTO DE NEUMATICO</v>
      </c>
      <c r="G329" s="64" t="str">
        <f>IFERROR(__xludf.DUMMYFUNCTION("""COMPUTED_VALUE"""),"SALIDA DE PISTA")</f>
        <v>SALIDA DE PISTA</v>
      </c>
      <c r="H329" s="64" t="str">
        <f>IFERROR(__xludf.DUMMYFUNCTION("""COMPUTED_VALUE"""),"DESPRENDIMIENTO DE CONTENEDOR")</f>
        <v>DESPRENDIMIENTO DE CONTENEDOR</v>
      </c>
      <c r="I329" s="64" t="str">
        <f>IFERROR(__xludf.DUMMYFUNCTION("""COMPUTED_VALUE"""),"CAÍDA DE CARGA")</f>
        <v>CAÍDA DE CARGA</v>
      </c>
      <c r="J329" s="64" t="str">
        <f>IFERROR(__xludf.DUMMYFUNCTION("""COMPUTED_VALUE"""),"CHOQUE")</f>
        <v>CHOQUE</v>
      </c>
      <c r="K329" s="64" t="str">
        <f>IFERROR(__xludf.DUMMYFUNCTION("""COMPUTED_VALUE"""),"COLISIÓN")</f>
        <v>COLISIÓN</v>
      </c>
      <c r="L329" s="64" t="str">
        <f>IFERROR(__xludf.DUMMYFUNCTION("""COMPUTED_VALUE"""),"COLISIÓN MÚLTIPLE")</f>
        <v>COLISIÓN MÚLTIPLE</v>
      </c>
      <c r="M329" s="64" t="str">
        <f>IFERROR(__xludf.DUMMYFUNCTION("""COMPUTED_VALUE"""),"DERRAPE")</f>
        <v>DERRAPE</v>
      </c>
      <c r="N329" s="64" t="str">
        <f>IFERROR(__xludf.DUMMYFUNCTION("""COMPUTED_VALUE"""),"VEHÍCULO INCENDIADO")</f>
        <v>VEHÍCULO INCENDIADO</v>
      </c>
      <c r="O329" s="64" t="str">
        <f>IFERROR(__xludf.DUMMYFUNCTION("""COMPUTED_VALUE"""),"VUELCO")</f>
        <v>VUELCO</v>
      </c>
      <c r="P329" s="64" t="str">
        <f>IFERROR(__xludf.DUMMYFUNCTION("""COMPUTED_VALUE"""),"DESPRENDIMIENTO")</f>
        <v>DESPRENDIMIENTO</v>
      </c>
      <c r="Q329" s="64" t="str">
        <f>IFERROR(__xludf.DUMMYFUNCTION("""COMPUTED_VALUE"""),"CAÍDA DE ÁRBOL")</f>
        <v>CAÍDA DE ÁRBOL</v>
      </c>
      <c r="R329" s="64" t="str">
        <f>IFERROR(__xludf.DUMMYFUNCTION("""COMPUTED_VALUE"""),"DESPRENDIMIENTO DE EJE")</f>
        <v>DESPRENDIMIENTO DE EJE</v>
      </c>
      <c r="S329" s="64" t="str">
        <f>IFERROR(__xludf.DUMMYFUNCTION("""COMPUTED_VALUE"""),"PERSONA ATROPELLADA")</f>
        <v>PERSONA ATROPELLADA</v>
      </c>
    </row>
    <row r="330">
      <c r="B330" s="64" t="s">
        <v>54</v>
      </c>
      <c r="C330" s="64" t="str">
        <f>IFERROR(__xludf.DUMMYFUNCTION(" TRANSPOSE( unique ( QUERY(DATOPRO,""select Col2 where Col1 = '""&amp;B330&amp;""'"")))"),"PINCHAZO")</f>
        <v>PINCHAZO</v>
      </c>
      <c r="D330" s="64" t="str">
        <f>IFERROR(__xludf.DUMMYFUNCTION("""COMPUTED_VALUE"""),"TRABAJOS DE CARRETERA")</f>
        <v>TRABAJOS DE CARRETERA</v>
      </c>
      <c r="E330" s="64" t="str">
        <f>IFERROR(__xludf.DUMMYFUNCTION("""COMPUTED_VALUE"""),"CONSIGNACIÓN")</f>
        <v>CONSIGNACIÓN</v>
      </c>
      <c r="F330" s="64" t="str">
        <f>IFERROR(__xludf.DUMMYFUNCTION("""COMPUTED_VALUE"""),"DERRAME")</f>
        <v>DERRAME</v>
      </c>
      <c r="G330" s="64" t="str">
        <f>IFERROR(__xludf.DUMMYFUNCTION("""COMPUTED_VALUE"""),"CALENTAMIENTO")</f>
        <v>CALENTAMIENTO</v>
      </c>
      <c r="H330" s="64" t="str">
        <f>IFERROR(__xludf.DUMMYFUNCTION("""COMPUTED_VALUE"""),"ESCOLTANDO")</f>
        <v>ESCOLTANDO</v>
      </c>
      <c r="I330" s="64" t="str">
        <f>IFERROR(__xludf.DUMMYFUNCTION("""COMPUTED_VALUE"""),"FALTA DE COMBUSTIBLE")</f>
        <v>FALTA DE COMBUSTIBLE</v>
      </c>
      <c r="J330" s="64" t="str">
        <f>IFERROR(__xludf.DUMMYFUNCTION("""COMPUTED_VALUE"""),"DESPERFECTOS MECÁNICOS")</f>
        <v>DESPERFECTOS MECÁNICOS</v>
      </c>
      <c r="K330" s="64" t="str">
        <f>IFERROR(__xludf.DUMMYFUNCTION("""COMPUTED_VALUE"""),"LLAMADA DE ATENCIÓN")</f>
        <v>LLAMADA DE ATENCIÓN</v>
      </c>
      <c r="L330" s="64" t="str">
        <f>IFERROR(__xludf.DUMMYFUNCTION("""COMPUTED_VALUE"""),"OPERATIVOS")</f>
        <v>OPERATIVOS</v>
      </c>
      <c r="M330" s="64" t="str">
        <f>IFERROR(__xludf.DUMMYFUNCTION("""COMPUTED_VALUE"""),"SANCIÓN")</f>
        <v>SANCIÓN</v>
      </c>
      <c r="N330" s="64" t="str">
        <f>IFERROR(__xludf.DUMMYFUNCTION("""COMPUTED_VALUE"""),"SISTEMA ELECTRICO")</f>
        <v>SISTEMA ELECTRICO</v>
      </c>
      <c r="O330" s="64" t="str">
        <f>IFERROR(__xludf.DUMMYFUNCTION("""COMPUTED_VALUE"""),"ASISTENCIA AL USUARIO")</f>
        <v>ASISTENCIA AL USUARIO</v>
      </c>
      <c r="P330" s="64" t="str">
        <f>IFERROR(__xludf.DUMMYFUNCTION("""COMPUTED_VALUE"""),"DOBLE REMOLQUE")</f>
        <v>DOBLE REMOLQUE</v>
      </c>
      <c r="Q330" s="64" t="str">
        <f>IFERROR(__xludf.DUMMYFUNCTION("""COMPUTED_VALUE"""),"SINAPRESE")</f>
        <v>SINAPRESE</v>
      </c>
      <c r="R330" s="64" t="str">
        <f>IFERROR(__xludf.DUMMYFUNCTION("""COMPUTED_VALUE"""),"APOYO ATLETISMO")</f>
        <v>APOYO ATLETISMO</v>
      </c>
      <c r="S330" s="64" t="str">
        <f>IFERROR(__xludf.DUMMYFUNCTION("""COMPUTED_VALUE"""),"APOYO A CICLISMO")</f>
        <v>APOYO A CICLISMO</v>
      </c>
      <c r="T330" s="64" t="str">
        <f>IFERROR(__xludf.DUMMYFUNCTION("""COMPUTED_VALUE"""),"DESCARGA DE BATERÍA")</f>
        <v>DESCARGA DE BATERÍA</v>
      </c>
      <c r="U330" s="64" t="str">
        <f>IFERROR(__xludf.DUMMYFUNCTION("""COMPUTED_VALUE"""),"PROBLEMAS DE SALUD")</f>
        <v>PROBLEMAS DE SALUD</v>
      </c>
      <c r="V330" s="64" t="str">
        <f>IFERROR(__xludf.DUMMYFUNCTION("""COMPUTED_VALUE"""),"OLVIDO LA LLAVE")</f>
        <v>OLVIDO LA LLAVE</v>
      </c>
      <c r="W330" s="64" t="str">
        <f>IFERROR(__xludf.DUMMYFUNCTION("""COMPUTED_VALUE"""),"CARGA SOBREDIMENSIONADA")</f>
        <v>CARGA SOBREDIMENSIONADA</v>
      </c>
      <c r="X330" s="64" t="str">
        <f>IFERROR(__xludf.DUMMYFUNCTION("""COMPUTED_VALUE"""),"VEHÍCULO ABANDONADO")</f>
        <v>VEHÍCULO ABANDONADO</v>
      </c>
      <c r="Y330" s="64" t="str">
        <f>IFERROR(__xludf.DUMMYFUNCTION("""COMPUTED_VALUE"""),"DESPRENDIMIENTO")</f>
        <v>DESPRENDIMIENTO</v>
      </c>
      <c r="Z330" s="64" t="str">
        <f>IFERROR(__xludf.DUMMYFUNCTION("""COMPUTED_VALUE"""),"CAÍDA DE POSTE")</f>
        <v>CAÍDA DE POSTE</v>
      </c>
      <c r="AA330" s="64" t="str">
        <f>IFERROR(__xludf.DUMMYFUNCTION("""COMPUTED_VALUE"""),"CAÍDA DE RAMA")</f>
        <v>CAÍDA DE RAMA</v>
      </c>
      <c r="AB330" s="64" t="str">
        <f>IFERROR(__xludf.DUMMYFUNCTION("""COMPUTED_VALUE"""),"OPERATIVO DGT")</f>
        <v>OPERATIVO DGT</v>
      </c>
      <c r="AC330" s="64" t="str">
        <f>IFERROR(__xludf.DUMMYFUNCTION("""COMPUTED_VALUE"""),"OPERATIVO PMT")</f>
        <v>OPERATIVO PMT</v>
      </c>
      <c r="AD330" s="64" t="str">
        <f>IFERROR(__xludf.DUMMYFUNCTION("""COMPUTED_VALUE"""),"APOYO A DIGEF")</f>
        <v>APOYO A DIGEF</v>
      </c>
      <c r="AE330" s="64" t="str">
        <f>IFERROR(__xludf.DUMMYFUNCTION("""COMPUTED_VALUE"""),"OPERATIVO PNC TRANSITO")</f>
        <v>OPERATIVO PNC TRANSITO</v>
      </c>
      <c r="AF330" s="64" t="str">
        <f>IFERROR(__xludf.DUMMYFUNCTION("""COMPUTED_VALUE"""),"SOBRECARGA ")</f>
        <v>SOBRECARGA </v>
      </c>
      <c r="AG330" s="64" t="str">
        <f>IFERROR(__xludf.DUMMYFUNCTION("""COMPUTED_VALUE"""),"OPERATIVO EN CONJUNTO")</f>
        <v>OPERATIVO EN CONJUNTO</v>
      </c>
      <c r="AH330" s="64" t="str">
        <f>IFERROR(__xludf.DUMMYFUNCTION("""COMPUTED_VALUE"""),"PUESTO DE ATENCION AL USUARIO")</f>
        <v>PUESTO DE ATENCION AL USUARIO</v>
      </c>
      <c r="AI330" s="64" t="str">
        <f>IFERROR(__xludf.DUMMYFUNCTION("""COMPUTED_VALUE"""),"INCENDIO EN RUTA")</f>
        <v>INCENDIO EN RUTA</v>
      </c>
      <c r="AJ330" s="64" t="str">
        <f>IFERROR(__xludf.DUMMYFUNCTION("""COMPUTED_VALUE"""),"APOYO ANTORCHA ")</f>
        <v>APOYO ANTORCHA </v>
      </c>
    </row>
    <row r="331">
      <c r="B331" s="64" t="s">
        <v>54</v>
      </c>
      <c r="C331" s="64" t="str">
        <f>IFERROR(__xludf.DUMMYFUNCTION(" TRANSPOSE( unique ( QUERY(DATOPRO,""select Col2 where Col1 = '""&amp;B331&amp;""'"")))"),"PINCHAZO")</f>
        <v>PINCHAZO</v>
      </c>
      <c r="D331" s="64" t="str">
        <f>IFERROR(__xludf.DUMMYFUNCTION("""COMPUTED_VALUE"""),"TRABAJOS DE CARRETERA")</f>
        <v>TRABAJOS DE CARRETERA</v>
      </c>
      <c r="E331" s="64" t="str">
        <f>IFERROR(__xludf.DUMMYFUNCTION("""COMPUTED_VALUE"""),"CONSIGNACIÓN")</f>
        <v>CONSIGNACIÓN</v>
      </c>
      <c r="F331" s="64" t="str">
        <f>IFERROR(__xludf.DUMMYFUNCTION("""COMPUTED_VALUE"""),"DERRAME")</f>
        <v>DERRAME</v>
      </c>
      <c r="G331" s="64" t="str">
        <f>IFERROR(__xludf.DUMMYFUNCTION("""COMPUTED_VALUE"""),"CALENTAMIENTO")</f>
        <v>CALENTAMIENTO</v>
      </c>
      <c r="H331" s="64" t="str">
        <f>IFERROR(__xludf.DUMMYFUNCTION("""COMPUTED_VALUE"""),"ESCOLTANDO")</f>
        <v>ESCOLTANDO</v>
      </c>
      <c r="I331" s="64" t="str">
        <f>IFERROR(__xludf.DUMMYFUNCTION("""COMPUTED_VALUE"""),"FALTA DE COMBUSTIBLE")</f>
        <v>FALTA DE COMBUSTIBLE</v>
      </c>
      <c r="J331" s="64" t="str">
        <f>IFERROR(__xludf.DUMMYFUNCTION("""COMPUTED_VALUE"""),"DESPERFECTOS MECÁNICOS")</f>
        <v>DESPERFECTOS MECÁNICOS</v>
      </c>
      <c r="K331" s="64" t="str">
        <f>IFERROR(__xludf.DUMMYFUNCTION("""COMPUTED_VALUE"""),"LLAMADA DE ATENCIÓN")</f>
        <v>LLAMADA DE ATENCIÓN</v>
      </c>
      <c r="L331" s="64" t="str">
        <f>IFERROR(__xludf.DUMMYFUNCTION("""COMPUTED_VALUE"""),"OPERATIVOS")</f>
        <v>OPERATIVOS</v>
      </c>
      <c r="M331" s="64" t="str">
        <f>IFERROR(__xludf.DUMMYFUNCTION("""COMPUTED_VALUE"""),"SANCIÓN")</f>
        <v>SANCIÓN</v>
      </c>
      <c r="N331" s="64" t="str">
        <f>IFERROR(__xludf.DUMMYFUNCTION("""COMPUTED_VALUE"""),"SISTEMA ELECTRICO")</f>
        <v>SISTEMA ELECTRICO</v>
      </c>
      <c r="O331" s="64" t="str">
        <f>IFERROR(__xludf.DUMMYFUNCTION("""COMPUTED_VALUE"""),"ASISTENCIA AL USUARIO")</f>
        <v>ASISTENCIA AL USUARIO</v>
      </c>
      <c r="P331" s="64" t="str">
        <f>IFERROR(__xludf.DUMMYFUNCTION("""COMPUTED_VALUE"""),"DOBLE REMOLQUE")</f>
        <v>DOBLE REMOLQUE</v>
      </c>
      <c r="Q331" s="64" t="str">
        <f>IFERROR(__xludf.DUMMYFUNCTION("""COMPUTED_VALUE"""),"SINAPRESE")</f>
        <v>SINAPRESE</v>
      </c>
      <c r="R331" s="64" t="str">
        <f>IFERROR(__xludf.DUMMYFUNCTION("""COMPUTED_VALUE"""),"APOYO ATLETISMO")</f>
        <v>APOYO ATLETISMO</v>
      </c>
      <c r="S331" s="64" t="str">
        <f>IFERROR(__xludf.DUMMYFUNCTION("""COMPUTED_VALUE"""),"APOYO A CICLISMO")</f>
        <v>APOYO A CICLISMO</v>
      </c>
      <c r="T331" s="64" t="str">
        <f>IFERROR(__xludf.DUMMYFUNCTION("""COMPUTED_VALUE"""),"DESCARGA DE BATERÍA")</f>
        <v>DESCARGA DE BATERÍA</v>
      </c>
      <c r="U331" s="64" t="str">
        <f>IFERROR(__xludf.DUMMYFUNCTION("""COMPUTED_VALUE"""),"PROBLEMAS DE SALUD")</f>
        <v>PROBLEMAS DE SALUD</v>
      </c>
      <c r="V331" s="64" t="str">
        <f>IFERROR(__xludf.DUMMYFUNCTION("""COMPUTED_VALUE"""),"OLVIDO LA LLAVE")</f>
        <v>OLVIDO LA LLAVE</v>
      </c>
      <c r="W331" s="64" t="str">
        <f>IFERROR(__xludf.DUMMYFUNCTION("""COMPUTED_VALUE"""),"CARGA SOBREDIMENSIONADA")</f>
        <v>CARGA SOBREDIMENSIONADA</v>
      </c>
      <c r="X331" s="64" t="str">
        <f>IFERROR(__xludf.DUMMYFUNCTION("""COMPUTED_VALUE"""),"VEHÍCULO ABANDONADO")</f>
        <v>VEHÍCULO ABANDONADO</v>
      </c>
      <c r="Y331" s="64" t="str">
        <f>IFERROR(__xludf.DUMMYFUNCTION("""COMPUTED_VALUE"""),"DESPRENDIMIENTO")</f>
        <v>DESPRENDIMIENTO</v>
      </c>
      <c r="Z331" s="64" t="str">
        <f>IFERROR(__xludf.DUMMYFUNCTION("""COMPUTED_VALUE"""),"CAÍDA DE POSTE")</f>
        <v>CAÍDA DE POSTE</v>
      </c>
      <c r="AA331" s="64" t="str">
        <f>IFERROR(__xludf.DUMMYFUNCTION("""COMPUTED_VALUE"""),"CAÍDA DE RAMA")</f>
        <v>CAÍDA DE RAMA</v>
      </c>
      <c r="AB331" s="64" t="str">
        <f>IFERROR(__xludf.DUMMYFUNCTION("""COMPUTED_VALUE"""),"OPERATIVO DGT")</f>
        <v>OPERATIVO DGT</v>
      </c>
      <c r="AC331" s="64" t="str">
        <f>IFERROR(__xludf.DUMMYFUNCTION("""COMPUTED_VALUE"""),"OPERATIVO PMT")</f>
        <v>OPERATIVO PMT</v>
      </c>
      <c r="AD331" s="64" t="str">
        <f>IFERROR(__xludf.DUMMYFUNCTION("""COMPUTED_VALUE"""),"APOYO A DIGEF")</f>
        <v>APOYO A DIGEF</v>
      </c>
      <c r="AE331" s="64" t="str">
        <f>IFERROR(__xludf.DUMMYFUNCTION("""COMPUTED_VALUE"""),"OPERATIVO PNC TRANSITO")</f>
        <v>OPERATIVO PNC TRANSITO</v>
      </c>
      <c r="AF331" s="64" t="str">
        <f>IFERROR(__xludf.DUMMYFUNCTION("""COMPUTED_VALUE"""),"SOBRECARGA ")</f>
        <v>SOBRECARGA </v>
      </c>
      <c r="AG331" s="64" t="str">
        <f>IFERROR(__xludf.DUMMYFUNCTION("""COMPUTED_VALUE"""),"OPERATIVO EN CONJUNTO")</f>
        <v>OPERATIVO EN CONJUNTO</v>
      </c>
      <c r="AH331" s="64" t="str">
        <f>IFERROR(__xludf.DUMMYFUNCTION("""COMPUTED_VALUE"""),"PUESTO DE ATENCION AL USUARIO")</f>
        <v>PUESTO DE ATENCION AL USUARIO</v>
      </c>
      <c r="AI331" s="64" t="str">
        <f>IFERROR(__xludf.DUMMYFUNCTION("""COMPUTED_VALUE"""),"INCENDIO EN RUTA")</f>
        <v>INCENDIO EN RUTA</v>
      </c>
      <c r="AJ331" s="64" t="str">
        <f>IFERROR(__xludf.DUMMYFUNCTION("""COMPUTED_VALUE"""),"APOYO ANTORCHA ")</f>
        <v>APOYO ANTORCHA </v>
      </c>
    </row>
    <row r="332">
      <c r="B332" s="64" t="s">
        <v>54</v>
      </c>
      <c r="C332" s="64" t="str">
        <f>IFERROR(__xludf.DUMMYFUNCTION(" TRANSPOSE( unique ( QUERY(DATOPRO,""select Col2 where Col1 = '""&amp;B332&amp;""'"")))"),"PINCHAZO")</f>
        <v>PINCHAZO</v>
      </c>
      <c r="D332" s="64" t="str">
        <f>IFERROR(__xludf.DUMMYFUNCTION("""COMPUTED_VALUE"""),"TRABAJOS DE CARRETERA")</f>
        <v>TRABAJOS DE CARRETERA</v>
      </c>
      <c r="E332" s="64" t="str">
        <f>IFERROR(__xludf.DUMMYFUNCTION("""COMPUTED_VALUE"""),"CONSIGNACIÓN")</f>
        <v>CONSIGNACIÓN</v>
      </c>
      <c r="F332" s="64" t="str">
        <f>IFERROR(__xludf.DUMMYFUNCTION("""COMPUTED_VALUE"""),"DERRAME")</f>
        <v>DERRAME</v>
      </c>
      <c r="G332" s="64" t="str">
        <f>IFERROR(__xludf.DUMMYFUNCTION("""COMPUTED_VALUE"""),"CALENTAMIENTO")</f>
        <v>CALENTAMIENTO</v>
      </c>
      <c r="H332" s="64" t="str">
        <f>IFERROR(__xludf.DUMMYFUNCTION("""COMPUTED_VALUE"""),"ESCOLTANDO")</f>
        <v>ESCOLTANDO</v>
      </c>
      <c r="I332" s="64" t="str">
        <f>IFERROR(__xludf.DUMMYFUNCTION("""COMPUTED_VALUE"""),"FALTA DE COMBUSTIBLE")</f>
        <v>FALTA DE COMBUSTIBLE</v>
      </c>
      <c r="J332" s="64" t="str">
        <f>IFERROR(__xludf.DUMMYFUNCTION("""COMPUTED_VALUE"""),"DESPERFECTOS MECÁNICOS")</f>
        <v>DESPERFECTOS MECÁNICOS</v>
      </c>
      <c r="K332" s="64" t="str">
        <f>IFERROR(__xludf.DUMMYFUNCTION("""COMPUTED_VALUE"""),"LLAMADA DE ATENCIÓN")</f>
        <v>LLAMADA DE ATENCIÓN</v>
      </c>
      <c r="L332" s="64" t="str">
        <f>IFERROR(__xludf.DUMMYFUNCTION("""COMPUTED_VALUE"""),"OPERATIVOS")</f>
        <v>OPERATIVOS</v>
      </c>
      <c r="M332" s="64" t="str">
        <f>IFERROR(__xludf.DUMMYFUNCTION("""COMPUTED_VALUE"""),"SANCIÓN")</f>
        <v>SANCIÓN</v>
      </c>
      <c r="N332" s="64" t="str">
        <f>IFERROR(__xludf.DUMMYFUNCTION("""COMPUTED_VALUE"""),"SISTEMA ELECTRICO")</f>
        <v>SISTEMA ELECTRICO</v>
      </c>
      <c r="O332" s="64" t="str">
        <f>IFERROR(__xludf.DUMMYFUNCTION("""COMPUTED_VALUE"""),"ASISTENCIA AL USUARIO")</f>
        <v>ASISTENCIA AL USUARIO</v>
      </c>
      <c r="P332" s="64" t="str">
        <f>IFERROR(__xludf.DUMMYFUNCTION("""COMPUTED_VALUE"""),"DOBLE REMOLQUE")</f>
        <v>DOBLE REMOLQUE</v>
      </c>
      <c r="Q332" s="64" t="str">
        <f>IFERROR(__xludf.DUMMYFUNCTION("""COMPUTED_VALUE"""),"SINAPRESE")</f>
        <v>SINAPRESE</v>
      </c>
      <c r="R332" s="64" t="str">
        <f>IFERROR(__xludf.DUMMYFUNCTION("""COMPUTED_VALUE"""),"APOYO ATLETISMO")</f>
        <v>APOYO ATLETISMO</v>
      </c>
      <c r="S332" s="64" t="str">
        <f>IFERROR(__xludf.DUMMYFUNCTION("""COMPUTED_VALUE"""),"APOYO A CICLISMO")</f>
        <v>APOYO A CICLISMO</v>
      </c>
      <c r="T332" s="64" t="str">
        <f>IFERROR(__xludf.DUMMYFUNCTION("""COMPUTED_VALUE"""),"DESCARGA DE BATERÍA")</f>
        <v>DESCARGA DE BATERÍA</v>
      </c>
      <c r="U332" s="64" t="str">
        <f>IFERROR(__xludf.DUMMYFUNCTION("""COMPUTED_VALUE"""),"PROBLEMAS DE SALUD")</f>
        <v>PROBLEMAS DE SALUD</v>
      </c>
      <c r="V332" s="64" t="str">
        <f>IFERROR(__xludf.DUMMYFUNCTION("""COMPUTED_VALUE"""),"OLVIDO LA LLAVE")</f>
        <v>OLVIDO LA LLAVE</v>
      </c>
      <c r="W332" s="64" t="str">
        <f>IFERROR(__xludf.DUMMYFUNCTION("""COMPUTED_VALUE"""),"CARGA SOBREDIMENSIONADA")</f>
        <v>CARGA SOBREDIMENSIONADA</v>
      </c>
      <c r="X332" s="64" t="str">
        <f>IFERROR(__xludf.DUMMYFUNCTION("""COMPUTED_VALUE"""),"VEHÍCULO ABANDONADO")</f>
        <v>VEHÍCULO ABANDONADO</v>
      </c>
      <c r="Y332" s="64" t="str">
        <f>IFERROR(__xludf.DUMMYFUNCTION("""COMPUTED_VALUE"""),"DESPRENDIMIENTO")</f>
        <v>DESPRENDIMIENTO</v>
      </c>
      <c r="Z332" s="64" t="str">
        <f>IFERROR(__xludf.DUMMYFUNCTION("""COMPUTED_VALUE"""),"CAÍDA DE POSTE")</f>
        <v>CAÍDA DE POSTE</v>
      </c>
      <c r="AA332" s="64" t="str">
        <f>IFERROR(__xludf.DUMMYFUNCTION("""COMPUTED_VALUE"""),"CAÍDA DE RAMA")</f>
        <v>CAÍDA DE RAMA</v>
      </c>
      <c r="AB332" s="64" t="str">
        <f>IFERROR(__xludf.DUMMYFUNCTION("""COMPUTED_VALUE"""),"OPERATIVO DGT")</f>
        <v>OPERATIVO DGT</v>
      </c>
      <c r="AC332" s="64" t="str">
        <f>IFERROR(__xludf.DUMMYFUNCTION("""COMPUTED_VALUE"""),"OPERATIVO PMT")</f>
        <v>OPERATIVO PMT</v>
      </c>
      <c r="AD332" s="64" t="str">
        <f>IFERROR(__xludf.DUMMYFUNCTION("""COMPUTED_VALUE"""),"APOYO A DIGEF")</f>
        <v>APOYO A DIGEF</v>
      </c>
      <c r="AE332" s="64" t="str">
        <f>IFERROR(__xludf.DUMMYFUNCTION("""COMPUTED_VALUE"""),"OPERATIVO PNC TRANSITO")</f>
        <v>OPERATIVO PNC TRANSITO</v>
      </c>
      <c r="AF332" s="64" t="str">
        <f>IFERROR(__xludf.DUMMYFUNCTION("""COMPUTED_VALUE"""),"SOBRECARGA ")</f>
        <v>SOBRECARGA </v>
      </c>
      <c r="AG332" s="64" t="str">
        <f>IFERROR(__xludf.DUMMYFUNCTION("""COMPUTED_VALUE"""),"OPERATIVO EN CONJUNTO")</f>
        <v>OPERATIVO EN CONJUNTO</v>
      </c>
      <c r="AH332" s="64" t="str">
        <f>IFERROR(__xludf.DUMMYFUNCTION("""COMPUTED_VALUE"""),"PUESTO DE ATENCION AL USUARIO")</f>
        <v>PUESTO DE ATENCION AL USUARIO</v>
      </c>
      <c r="AI332" s="64" t="str">
        <f>IFERROR(__xludf.DUMMYFUNCTION("""COMPUTED_VALUE"""),"INCENDIO EN RUTA")</f>
        <v>INCENDIO EN RUTA</v>
      </c>
      <c r="AJ332" s="64" t="str">
        <f>IFERROR(__xludf.DUMMYFUNCTION("""COMPUTED_VALUE"""),"APOYO ANTORCHA ")</f>
        <v>APOYO ANTORCHA </v>
      </c>
    </row>
    <row r="333">
      <c r="B333" s="64" t="s">
        <v>54</v>
      </c>
      <c r="C333" s="64" t="str">
        <f>IFERROR(__xludf.DUMMYFUNCTION(" TRANSPOSE( unique ( QUERY(DATOPRO,""select Col2 where Col1 = '""&amp;B333&amp;""'"")))"),"PINCHAZO")</f>
        <v>PINCHAZO</v>
      </c>
      <c r="D333" s="64" t="str">
        <f>IFERROR(__xludf.DUMMYFUNCTION("""COMPUTED_VALUE"""),"TRABAJOS DE CARRETERA")</f>
        <v>TRABAJOS DE CARRETERA</v>
      </c>
      <c r="E333" s="64" t="str">
        <f>IFERROR(__xludf.DUMMYFUNCTION("""COMPUTED_VALUE"""),"CONSIGNACIÓN")</f>
        <v>CONSIGNACIÓN</v>
      </c>
      <c r="F333" s="64" t="str">
        <f>IFERROR(__xludf.DUMMYFUNCTION("""COMPUTED_VALUE"""),"DERRAME")</f>
        <v>DERRAME</v>
      </c>
      <c r="G333" s="64" t="str">
        <f>IFERROR(__xludf.DUMMYFUNCTION("""COMPUTED_VALUE"""),"CALENTAMIENTO")</f>
        <v>CALENTAMIENTO</v>
      </c>
      <c r="H333" s="64" t="str">
        <f>IFERROR(__xludf.DUMMYFUNCTION("""COMPUTED_VALUE"""),"ESCOLTANDO")</f>
        <v>ESCOLTANDO</v>
      </c>
      <c r="I333" s="64" t="str">
        <f>IFERROR(__xludf.DUMMYFUNCTION("""COMPUTED_VALUE"""),"FALTA DE COMBUSTIBLE")</f>
        <v>FALTA DE COMBUSTIBLE</v>
      </c>
      <c r="J333" s="64" t="str">
        <f>IFERROR(__xludf.DUMMYFUNCTION("""COMPUTED_VALUE"""),"DESPERFECTOS MECÁNICOS")</f>
        <v>DESPERFECTOS MECÁNICOS</v>
      </c>
      <c r="K333" s="64" t="str">
        <f>IFERROR(__xludf.DUMMYFUNCTION("""COMPUTED_VALUE"""),"LLAMADA DE ATENCIÓN")</f>
        <v>LLAMADA DE ATENCIÓN</v>
      </c>
      <c r="L333" s="64" t="str">
        <f>IFERROR(__xludf.DUMMYFUNCTION("""COMPUTED_VALUE"""),"OPERATIVOS")</f>
        <v>OPERATIVOS</v>
      </c>
      <c r="M333" s="64" t="str">
        <f>IFERROR(__xludf.DUMMYFUNCTION("""COMPUTED_VALUE"""),"SANCIÓN")</f>
        <v>SANCIÓN</v>
      </c>
      <c r="N333" s="64" t="str">
        <f>IFERROR(__xludf.DUMMYFUNCTION("""COMPUTED_VALUE"""),"SISTEMA ELECTRICO")</f>
        <v>SISTEMA ELECTRICO</v>
      </c>
      <c r="O333" s="64" t="str">
        <f>IFERROR(__xludf.DUMMYFUNCTION("""COMPUTED_VALUE"""),"ASISTENCIA AL USUARIO")</f>
        <v>ASISTENCIA AL USUARIO</v>
      </c>
      <c r="P333" s="64" t="str">
        <f>IFERROR(__xludf.DUMMYFUNCTION("""COMPUTED_VALUE"""),"DOBLE REMOLQUE")</f>
        <v>DOBLE REMOLQUE</v>
      </c>
      <c r="Q333" s="64" t="str">
        <f>IFERROR(__xludf.DUMMYFUNCTION("""COMPUTED_VALUE"""),"SINAPRESE")</f>
        <v>SINAPRESE</v>
      </c>
      <c r="R333" s="64" t="str">
        <f>IFERROR(__xludf.DUMMYFUNCTION("""COMPUTED_VALUE"""),"APOYO ATLETISMO")</f>
        <v>APOYO ATLETISMO</v>
      </c>
      <c r="S333" s="64" t="str">
        <f>IFERROR(__xludf.DUMMYFUNCTION("""COMPUTED_VALUE"""),"APOYO A CICLISMO")</f>
        <v>APOYO A CICLISMO</v>
      </c>
      <c r="T333" s="64" t="str">
        <f>IFERROR(__xludf.DUMMYFUNCTION("""COMPUTED_VALUE"""),"DESCARGA DE BATERÍA")</f>
        <v>DESCARGA DE BATERÍA</v>
      </c>
      <c r="U333" s="64" t="str">
        <f>IFERROR(__xludf.DUMMYFUNCTION("""COMPUTED_VALUE"""),"PROBLEMAS DE SALUD")</f>
        <v>PROBLEMAS DE SALUD</v>
      </c>
      <c r="V333" s="64" t="str">
        <f>IFERROR(__xludf.DUMMYFUNCTION("""COMPUTED_VALUE"""),"OLVIDO LA LLAVE")</f>
        <v>OLVIDO LA LLAVE</v>
      </c>
      <c r="W333" s="64" t="str">
        <f>IFERROR(__xludf.DUMMYFUNCTION("""COMPUTED_VALUE"""),"CARGA SOBREDIMENSIONADA")</f>
        <v>CARGA SOBREDIMENSIONADA</v>
      </c>
      <c r="X333" s="64" t="str">
        <f>IFERROR(__xludf.DUMMYFUNCTION("""COMPUTED_VALUE"""),"VEHÍCULO ABANDONADO")</f>
        <v>VEHÍCULO ABANDONADO</v>
      </c>
      <c r="Y333" s="64" t="str">
        <f>IFERROR(__xludf.DUMMYFUNCTION("""COMPUTED_VALUE"""),"DESPRENDIMIENTO")</f>
        <v>DESPRENDIMIENTO</v>
      </c>
      <c r="Z333" s="64" t="str">
        <f>IFERROR(__xludf.DUMMYFUNCTION("""COMPUTED_VALUE"""),"CAÍDA DE POSTE")</f>
        <v>CAÍDA DE POSTE</v>
      </c>
      <c r="AA333" s="64" t="str">
        <f>IFERROR(__xludf.DUMMYFUNCTION("""COMPUTED_VALUE"""),"CAÍDA DE RAMA")</f>
        <v>CAÍDA DE RAMA</v>
      </c>
      <c r="AB333" s="64" t="str">
        <f>IFERROR(__xludf.DUMMYFUNCTION("""COMPUTED_VALUE"""),"OPERATIVO DGT")</f>
        <v>OPERATIVO DGT</v>
      </c>
      <c r="AC333" s="64" t="str">
        <f>IFERROR(__xludf.DUMMYFUNCTION("""COMPUTED_VALUE"""),"OPERATIVO PMT")</f>
        <v>OPERATIVO PMT</v>
      </c>
      <c r="AD333" s="64" t="str">
        <f>IFERROR(__xludf.DUMMYFUNCTION("""COMPUTED_VALUE"""),"APOYO A DIGEF")</f>
        <v>APOYO A DIGEF</v>
      </c>
      <c r="AE333" s="64" t="str">
        <f>IFERROR(__xludf.DUMMYFUNCTION("""COMPUTED_VALUE"""),"OPERATIVO PNC TRANSITO")</f>
        <v>OPERATIVO PNC TRANSITO</v>
      </c>
      <c r="AF333" s="64" t="str">
        <f>IFERROR(__xludf.DUMMYFUNCTION("""COMPUTED_VALUE"""),"SOBRECARGA ")</f>
        <v>SOBRECARGA </v>
      </c>
      <c r="AG333" s="64" t="str">
        <f>IFERROR(__xludf.DUMMYFUNCTION("""COMPUTED_VALUE"""),"OPERATIVO EN CONJUNTO")</f>
        <v>OPERATIVO EN CONJUNTO</v>
      </c>
      <c r="AH333" s="64" t="str">
        <f>IFERROR(__xludf.DUMMYFUNCTION("""COMPUTED_VALUE"""),"PUESTO DE ATENCION AL USUARIO")</f>
        <v>PUESTO DE ATENCION AL USUARIO</v>
      </c>
      <c r="AI333" s="64" t="str">
        <f>IFERROR(__xludf.DUMMYFUNCTION("""COMPUTED_VALUE"""),"INCENDIO EN RUTA")</f>
        <v>INCENDIO EN RUTA</v>
      </c>
      <c r="AJ333" s="64" t="str">
        <f>IFERROR(__xludf.DUMMYFUNCTION("""COMPUTED_VALUE"""),"APOYO ANTORCHA ")</f>
        <v>APOYO ANTORCHA </v>
      </c>
    </row>
    <row r="334">
      <c r="B334" s="64" t="s">
        <v>38</v>
      </c>
      <c r="C334" s="64" t="str">
        <f>IFERROR(__xludf.DUMMYFUNCTION(" TRANSPOSE( unique ( QUERY(DATOPRO,""select Col2 where Col1 = '""&amp;B334&amp;""'"")))"),"ATAQUE ARMADO")</f>
        <v>ATAQUE ARMADO</v>
      </c>
      <c r="D334" s="64" t="str">
        <f>IFERROR(__xludf.DUMMYFUNCTION("""COMPUTED_VALUE"""),"DESBALANCE DE CARGA")</f>
        <v>DESBALANCE DE CARGA</v>
      </c>
      <c r="E334" s="64" t="str">
        <f>IFERROR(__xludf.DUMMYFUNCTION("""COMPUTED_VALUE"""),"PERSONA FALLECIDA")</f>
        <v>PERSONA FALLECIDA</v>
      </c>
      <c r="F334" s="64" t="str">
        <f>IFERROR(__xludf.DUMMYFUNCTION("""COMPUTED_VALUE"""),"DESPRENDIMIENTO DE NEUMATICO")</f>
        <v>DESPRENDIMIENTO DE NEUMATICO</v>
      </c>
      <c r="G334" s="64" t="str">
        <f>IFERROR(__xludf.DUMMYFUNCTION("""COMPUTED_VALUE"""),"SALIDA DE PISTA")</f>
        <v>SALIDA DE PISTA</v>
      </c>
      <c r="H334" s="64" t="str">
        <f>IFERROR(__xludf.DUMMYFUNCTION("""COMPUTED_VALUE"""),"DESPRENDIMIENTO DE CONTENEDOR")</f>
        <v>DESPRENDIMIENTO DE CONTENEDOR</v>
      </c>
      <c r="I334" s="64" t="str">
        <f>IFERROR(__xludf.DUMMYFUNCTION("""COMPUTED_VALUE"""),"CAÍDA DE CARGA")</f>
        <v>CAÍDA DE CARGA</v>
      </c>
      <c r="J334" s="64" t="str">
        <f>IFERROR(__xludf.DUMMYFUNCTION("""COMPUTED_VALUE"""),"CHOQUE")</f>
        <v>CHOQUE</v>
      </c>
      <c r="K334" s="64" t="str">
        <f>IFERROR(__xludf.DUMMYFUNCTION("""COMPUTED_VALUE"""),"COLISIÓN")</f>
        <v>COLISIÓN</v>
      </c>
      <c r="L334" s="64" t="str">
        <f>IFERROR(__xludf.DUMMYFUNCTION("""COMPUTED_VALUE"""),"COLISIÓN MÚLTIPLE")</f>
        <v>COLISIÓN MÚLTIPLE</v>
      </c>
      <c r="M334" s="64" t="str">
        <f>IFERROR(__xludf.DUMMYFUNCTION("""COMPUTED_VALUE"""),"DERRAPE")</f>
        <v>DERRAPE</v>
      </c>
      <c r="N334" s="64" t="str">
        <f>IFERROR(__xludf.DUMMYFUNCTION("""COMPUTED_VALUE"""),"VEHÍCULO INCENDIADO")</f>
        <v>VEHÍCULO INCENDIADO</v>
      </c>
      <c r="O334" s="64" t="str">
        <f>IFERROR(__xludf.DUMMYFUNCTION("""COMPUTED_VALUE"""),"VUELCO")</f>
        <v>VUELCO</v>
      </c>
      <c r="P334" s="64" t="str">
        <f>IFERROR(__xludf.DUMMYFUNCTION("""COMPUTED_VALUE"""),"DESPRENDIMIENTO")</f>
        <v>DESPRENDIMIENTO</v>
      </c>
      <c r="Q334" s="64" t="str">
        <f>IFERROR(__xludf.DUMMYFUNCTION("""COMPUTED_VALUE"""),"CAÍDA DE ÁRBOL")</f>
        <v>CAÍDA DE ÁRBOL</v>
      </c>
      <c r="R334" s="64" t="str">
        <f>IFERROR(__xludf.DUMMYFUNCTION("""COMPUTED_VALUE"""),"DESPRENDIMIENTO DE EJE")</f>
        <v>DESPRENDIMIENTO DE EJE</v>
      </c>
      <c r="S334" s="64" t="str">
        <f>IFERROR(__xludf.DUMMYFUNCTION("""COMPUTED_VALUE"""),"PERSONA ATROPELLADA")</f>
        <v>PERSONA ATROPELLADA</v>
      </c>
    </row>
    <row r="335">
      <c r="B335" s="64" t="s">
        <v>54</v>
      </c>
      <c r="C335" s="64" t="str">
        <f>IFERROR(__xludf.DUMMYFUNCTION(" TRANSPOSE( unique ( QUERY(DATOPRO,""select Col2 where Col1 = '""&amp;B335&amp;""'"")))"),"PINCHAZO")</f>
        <v>PINCHAZO</v>
      </c>
      <c r="D335" s="64" t="str">
        <f>IFERROR(__xludf.DUMMYFUNCTION("""COMPUTED_VALUE"""),"TRABAJOS DE CARRETERA")</f>
        <v>TRABAJOS DE CARRETERA</v>
      </c>
      <c r="E335" s="64" t="str">
        <f>IFERROR(__xludf.DUMMYFUNCTION("""COMPUTED_VALUE"""),"CONSIGNACIÓN")</f>
        <v>CONSIGNACIÓN</v>
      </c>
      <c r="F335" s="64" t="str">
        <f>IFERROR(__xludf.DUMMYFUNCTION("""COMPUTED_VALUE"""),"DERRAME")</f>
        <v>DERRAME</v>
      </c>
      <c r="G335" s="64" t="str">
        <f>IFERROR(__xludf.DUMMYFUNCTION("""COMPUTED_VALUE"""),"CALENTAMIENTO")</f>
        <v>CALENTAMIENTO</v>
      </c>
      <c r="H335" s="64" t="str">
        <f>IFERROR(__xludf.DUMMYFUNCTION("""COMPUTED_VALUE"""),"ESCOLTANDO")</f>
        <v>ESCOLTANDO</v>
      </c>
      <c r="I335" s="64" t="str">
        <f>IFERROR(__xludf.DUMMYFUNCTION("""COMPUTED_VALUE"""),"FALTA DE COMBUSTIBLE")</f>
        <v>FALTA DE COMBUSTIBLE</v>
      </c>
      <c r="J335" s="64" t="str">
        <f>IFERROR(__xludf.DUMMYFUNCTION("""COMPUTED_VALUE"""),"DESPERFECTOS MECÁNICOS")</f>
        <v>DESPERFECTOS MECÁNICOS</v>
      </c>
      <c r="K335" s="64" t="str">
        <f>IFERROR(__xludf.DUMMYFUNCTION("""COMPUTED_VALUE"""),"LLAMADA DE ATENCIÓN")</f>
        <v>LLAMADA DE ATENCIÓN</v>
      </c>
      <c r="L335" s="64" t="str">
        <f>IFERROR(__xludf.DUMMYFUNCTION("""COMPUTED_VALUE"""),"OPERATIVOS")</f>
        <v>OPERATIVOS</v>
      </c>
      <c r="M335" s="64" t="str">
        <f>IFERROR(__xludf.DUMMYFUNCTION("""COMPUTED_VALUE"""),"SANCIÓN")</f>
        <v>SANCIÓN</v>
      </c>
      <c r="N335" s="64" t="str">
        <f>IFERROR(__xludf.DUMMYFUNCTION("""COMPUTED_VALUE"""),"SISTEMA ELECTRICO")</f>
        <v>SISTEMA ELECTRICO</v>
      </c>
      <c r="O335" s="64" t="str">
        <f>IFERROR(__xludf.DUMMYFUNCTION("""COMPUTED_VALUE"""),"ASISTENCIA AL USUARIO")</f>
        <v>ASISTENCIA AL USUARIO</v>
      </c>
      <c r="P335" s="64" t="str">
        <f>IFERROR(__xludf.DUMMYFUNCTION("""COMPUTED_VALUE"""),"DOBLE REMOLQUE")</f>
        <v>DOBLE REMOLQUE</v>
      </c>
      <c r="Q335" s="64" t="str">
        <f>IFERROR(__xludf.DUMMYFUNCTION("""COMPUTED_VALUE"""),"SINAPRESE")</f>
        <v>SINAPRESE</v>
      </c>
      <c r="R335" s="64" t="str">
        <f>IFERROR(__xludf.DUMMYFUNCTION("""COMPUTED_VALUE"""),"APOYO ATLETISMO")</f>
        <v>APOYO ATLETISMO</v>
      </c>
      <c r="S335" s="64" t="str">
        <f>IFERROR(__xludf.DUMMYFUNCTION("""COMPUTED_VALUE"""),"APOYO A CICLISMO")</f>
        <v>APOYO A CICLISMO</v>
      </c>
      <c r="T335" s="64" t="str">
        <f>IFERROR(__xludf.DUMMYFUNCTION("""COMPUTED_VALUE"""),"DESCARGA DE BATERÍA")</f>
        <v>DESCARGA DE BATERÍA</v>
      </c>
      <c r="U335" s="64" t="str">
        <f>IFERROR(__xludf.DUMMYFUNCTION("""COMPUTED_VALUE"""),"PROBLEMAS DE SALUD")</f>
        <v>PROBLEMAS DE SALUD</v>
      </c>
      <c r="V335" s="64" t="str">
        <f>IFERROR(__xludf.DUMMYFUNCTION("""COMPUTED_VALUE"""),"OLVIDO LA LLAVE")</f>
        <v>OLVIDO LA LLAVE</v>
      </c>
      <c r="W335" s="64" t="str">
        <f>IFERROR(__xludf.DUMMYFUNCTION("""COMPUTED_VALUE"""),"CARGA SOBREDIMENSIONADA")</f>
        <v>CARGA SOBREDIMENSIONADA</v>
      </c>
      <c r="X335" s="64" t="str">
        <f>IFERROR(__xludf.DUMMYFUNCTION("""COMPUTED_VALUE"""),"VEHÍCULO ABANDONADO")</f>
        <v>VEHÍCULO ABANDONADO</v>
      </c>
      <c r="Y335" s="64" t="str">
        <f>IFERROR(__xludf.DUMMYFUNCTION("""COMPUTED_VALUE"""),"DESPRENDIMIENTO")</f>
        <v>DESPRENDIMIENTO</v>
      </c>
      <c r="Z335" s="64" t="str">
        <f>IFERROR(__xludf.DUMMYFUNCTION("""COMPUTED_VALUE"""),"CAÍDA DE POSTE")</f>
        <v>CAÍDA DE POSTE</v>
      </c>
      <c r="AA335" s="64" t="str">
        <f>IFERROR(__xludf.DUMMYFUNCTION("""COMPUTED_VALUE"""),"CAÍDA DE RAMA")</f>
        <v>CAÍDA DE RAMA</v>
      </c>
      <c r="AB335" s="64" t="str">
        <f>IFERROR(__xludf.DUMMYFUNCTION("""COMPUTED_VALUE"""),"OPERATIVO DGT")</f>
        <v>OPERATIVO DGT</v>
      </c>
      <c r="AC335" s="64" t="str">
        <f>IFERROR(__xludf.DUMMYFUNCTION("""COMPUTED_VALUE"""),"OPERATIVO PMT")</f>
        <v>OPERATIVO PMT</v>
      </c>
      <c r="AD335" s="64" t="str">
        <f>IFERROR(__xludf.DUMMYFUNCTION("""COMPUTED_VALUE"""),"APOYO A DIGEF")</f>
        <v>APOYO A DIGEF</v>
      </c>
      <c r="AE335" s="64" t="str">
        <f>IFERROR(__xludf.DUMMYFUNCTION("""COMPUTED_VALUE"""),"OPERATIVO PNC TRANSITO")</f>
        <v>OPERATIVO PNC TRANSITO</v>
      </c>
      <c r="AF335" s="64" t="str">
        <f>IFERROR(__xludf.DUMMYFUNCTION("""COMPUTED_VALUE"""),"SOBRECARGA ")</f>
        <v>SOBRECARGA </v>
      </c>
      <c r="AG335" s="64" t="str">
        <f>IFERROR(__xludf.DUMMYFUNCTION("""COMPUTED_VALUE"""),"OPERATIVO EN CONJUNTO")</f>
        <v>OPERATIVO EN CONJUNTO</v>
      </c>
      <c r="AH335" s="64" t="str">
        <f>IFERROR(__xludf.DUMMYFUNCTION("""COMPUTED_VALUE"""),"PUESTO DE ATENCION AL USUARIO")</f>
        <v>PUESTO DE ATENCION AL USUARIO</v>
      </c>
      <c r="AI335" s="64" t="str">
        <f>IFERROR(__xludf.DUMMYFUNCTION("""COMPUTED_VALUE"""),"INCENDIO EN RUTA")</f>
        <v>INCENDIO EN RUTA</v>
      </c>
      <c r="AJ335" s="64" t="str">
        <f>IFERROR(__xludf.DUMMYFUNCTION("""COMPUTED_VALUE"""),"APOYO ANTORCHA ")</f>
        <v>APOYO ANTORCHA </v>
      </c>
    </row>
    <row r="336">
      <c r="B336" s="64" t="s">
        <v>54</v>
      </c>
      <c r="C336" s="64" t="str">
        <f>IFERROR(__xludf.DUMMYFUNCTION(" TRANSPOSE( unique ( QUERY(DATOPRO,""select Col2 where Col1 = '""&amp;B336&amp;""'"")))"),"PINCHAZO")</f>
        <v>PINCHAZO</v>
      </c>
      <c r="D336" s="64" t="str">
        <f>IFERROR(__xludf.DUMMYFUNCTION("""COMPUTED_VALUE"""),"TRABAJOS DE CARRETERA")</f>
        <v>TRABAJOS DE CARRETERA</v>
      </c>
      <c r="E336" s="64" t="str">
        <f>IFERROR(__xludf.DUMMYFUNCTION("""COMPUTED_VALUE"""),"CONSIGNACIÓN")</f>
        <v>CONSIGNACIÓN</v>
      </c>
      <c r="F336" s="64" t="str">
        <f>IFERROR(__xludf.DUMMYFUNCTION("""COMPUTED_VALUE"""),"DERRAME")</f>
        <v>DERRAME</v>
      </c>
      <c r="G336" s="64" t="str">
        <f>IFERROR(__xludf.DUMMYFUNCTION("""COMPUTED_VALUE"""),"CALENTAMIENTO")</f>
        <v>CALENTAMIENTO</v>
      </c>
      <c r="H336" s="64" t="str">
        <f>IFERROR(__xludf.DUMMYFUNCTION("""COMPUTED_VALUE"""),"ESCOLTANDO")</f>
        <v>ESCOLTANDO</v>
      </c>
      <c r="I336" s="64" t="str">
        <f>IFERROR(__xludf.DUMMYFUNCTION("""COMPUTED_VALUE"""),"FALTA DE COMBUSTIBLE")</f>
        <v>FALTA DE COMBUSTIBLE</v>
      </c>
      <c r="J336" s="64" t="str">
        <f>IFERROR(__xludf.DUMMYFUNCTION("""COMPUTED_VALUE"""),"DESPERFECTOS MECÁNICOS")</f>
        <v>DESPERFECTOS MECÁNICOS</v>
      </c>
      <c r="K336" s="64" t="str">
        <f>IFERROR(__xludf.DUMMYFUNCTION("""COMPUTED_VALUE"""),"LLAMADA DE ATENCIÓN")</f>
        <v>LLAMADA DE ATENCIÓN</v>
      </c>
      <c r="L336" s="64" t="str">
        <f>IFERROR(__xludf.DUMMYFUNCTION("""COMPUTED_VALUE"""),"OPERATIVOS")</f>
        <v>OPERATIVOS</v>
      </c>
      <c r="M336" s="64" t="str">
        <f>IFERROR(__xludf.DUMMYFUNCTION("""COMPUTED_VALUE"""),"SANCIÓN")</f>
        <v>SANCIÓN</v>
      </c>
      <c r="N336" s="64" t="str">
        <f>IFERROR(__xludf.DUMMYFUNCTION("""COMPUTED_VALUE"""),"SISTEMA ELECTRICO")</f>
        <v>SISTEMA ELECTRICO</v>
      </c>
      <c r="O336" s="64" t="str">
        <f>IFERROR(__xludf.DUMMYFUNCTION("""COMPUTED_VALUE"""),"ASISTENCIA AL USUARIO")</f>
        <v>ASISTENCIA AL USUARIO</v>
      </c>
      <c r="P336" s="64" t="str">
        <f>IFERROR(__xludf.DUMMYFUNCTION("""COMPUTED_VALUE"""),"DOBLE REMOLQUE")</f>
        <v>DOBLE REMOLQUE</v>
      </c>
      <c r="Q336" s="64" t="str">
        <f>IFERROR(__xludf.DUMMYFUNCTION("""COMPUTED_VALUE"""),"SINAPRESE")</f>
        <v>SINAPRESE</v>
      </c>
      <c r="R336" s="64" t="str">
        <f>IFERROR(__xludf.DUMMYFUNCTION("""COMPUTED_VALUE"""),"APOYO ATLETISMO")</f>
        <v>APOYO ATLETISMO</v>
      </c>
      <c r="S336" s="64" t="str">
        <f>IFERROR(__xludf.DUMMYFUNCTION("""COMPUTED_VALUE"""),"APOYO A CICLISMO")</f>
        <v>APOYO A CICLISMO</v>
      </c>
      <c r="T336" s="64" t="str">
        <f>IFERROR(__xludf.DUMMYFUNCTION("""COMPUTED_VALUE"""),"DESCARGA DE BATERÍA")</f>
        <v>DESCARGA DE BATERÍA</v>
      </c>
      <c r="U336" s="64" t="str">
        <f>IFERROR(__xludf.DUMMYFUNCTION("""COMPUTED_VALUE"""),"PROBLEMAS DE SALUD")</f>
        <v>PROBLEMAS DE SALUD</v>
      </c>
      <c r="V336" s="64" t="str">
        <f>IFERROR(__xludf.DUMMYFUNCTION("""COMPUTED_VALUE"""),"OLVIDO LA LLAVE")</f>
        <v>OLVIDO LA LLAVE</v>
      </c>
      <c r="W336" s="64" t="str">
        <f>IFERROR(__xludf.DUMMYFUNCTION("""COMPUTED_VALUE"""),"CARGA SOBREDIMENSIONADA")</f>
        <v>CARGA SOBREDIMENSIONADA</v>
      </c>
      <c r="X336" s="64" t="str">
        <f>IFERROR(__xludf.DUMMYFUNCTION("""COMPUTED_VALUE"""),"VEHÍCULO ABANDONADO")</f>
        <v>VEHÍCULO ABANDONADO</v>
      </c>
      <c r="Y336" s="64" t="str">
        <f>IFERROR(__xludf.DUMMYFUNCTION("""COMPUTED_VALUE"""),"DESPRENDIMIENTO")</f>
        <v>DESPRENDIMIENTO</v>
      </c>
      <c r="Z336" s="64" t="str">
        <f>IFERROR(__xludf.DUMMYFUNCTION("""COMPUTED_VALUE"""),"CAÍDA DE POSTE")</f>
        <v>CAÍDA DE POSTE</v>
      </c>
      <c r="AA336" s="64" t="str">
        <f>IFERROR(__xludf.DUMMYFUNCTION("""COMPUTED_VALUE"""),"CAÍDA DE RAMA")</f>
        <v>CAÍDA DE RAMA</v>
      </c>
      <c r="AB336" s="64" t="str">
        <f>IFERROR(__xludf.DUMMYFUNCTION("""COMPUTED_VALUE"""),"OPERATIVO DGT")</f>
        <v>OPERATIVO DGT</v>
      </c>
      <c r="AC336" s="64" t="str">
        <f>IFERROR(__xludf.DUMMYFUNCTION("""COMPUTED_VALUE"""),"OPERATIVO PMT")</f>
        <v>OPERATIVO PMT</v>
      </c>
      <c r="AD336" s="64" t="str">
        <f>IFERROR(__xludf.DUMMYFUNCTION("""COMPUTED_VALUE"""),"APOYO A DIGEF")</f>
        <v>APOYO A DIGEF</v>
      </c>
      <c r="AE336" s="64" t="str">
        <f>IFERROR(__xludf.DUMMYFUNCTION("""COMPUTED_VALUE"""),"OPERATIVO PNC TRANSITO")</f>
        <v>OPERATIVO PNC TRANSITO</v>
      </c>
      <c r="AF336" s="64" t="str">
        <f>IFERROR(__xludf.DUMMYFUNCTION("""COMPUTED_VALUE"""),"SOBRECARGA ")</f>
        <v>SOBRECARGA </v>
      </c>
      <c r="AG336" s="64" t="str">
        <f>IFERROR(__xludf.DUMMYFUNCTION("""COMPUTED_VALUE"""),"OPERATIVO EN CONJUNTO")</f>
        <v>OPERATIVO EN CONJUNTO</v>
      </c>
      <c r="AH336" s="64" t="str">
        <f>IFERROR(__xludf.DUMMYFUNCTION("""COMPUTED_VALUE"""),"PUESTO DE ATENCION AL USUARIO")</f>
        <v>PUESTO DE ATENCION AL USUARIO</v>
      </c>
      <c r="AI336" s="64" t="str">
        <f>IFERROR(__xludf.DUMMYFUNCTION("""COMPUTED_VALUE"""),"INCENDIO EN RUTA")</f>
        <v>INCENDIO EN RUTA</v>
      </c>
      <c r="AJ336" s="64" t="str">
        <f>IFERROR(__xludf.DUMMYFUNCTION("""COMPUTED_VALUE"""),"APOYO ANTORCHA ")</f>
        <v>APOYO ANTORCHA </v>
      </c>
    </row>
    <row r="337">
      <c r="B337" s="64" t="s">
        <v>54</v>
      </c>
      <c r="C337" s="64" t="str">
        <f>IFERROR(__xludf.DUMMYFUNCTION(" TRANSPOSE( unique ( QUERY(DATOPRO,""select Col2 where Col1 = '""&amp;B337&amp;""'"")))"),"PINCHAZO")</f>
        <v>PINCHAZO</v>
      </c>
      <c r="D337" s="64" t="str">
        <f>IFERROR(__xludf.DUMMYFUNCTION("""COMPUTED_VALUE"""),"TRABAJOS DE CARRETERA")</f>
        <v>TRABAJOS DE CARRETERA</v>
      </c>
      <c r="E337" s="64" t="str">
        <f>IFERROR(__xludf.DUMMYFUNCTION("""COMPUTED_VALUE"""),"CONSIGNACIÓN")</f>
        <v>CONSIGNACIÓN</v>
      </c>
      <c r="F337" s="64" t="str">
        <f>IFERROR(__xludf.DUMMYFUNCTION("""COMPUTED_VALUE"""),"DERRAME")</f>
        <v>DERRAME</v>
      </c>
      <c r="G337" s="64" t="str">
        <f>IFERROR(__xludf.DUMMYFUNCTION("""COMPUTED_VALUE"""),"CALENTAMIENTO")</f>
        <v>CALENTAMIENTO</v>
      </c>
      <c r="H337" s="64" t="str">
        <f>IFERROR(__xludf.DUMMYFUNCTION("""COMPUTED_VALUE"""),"ESCOLTANDO")</f>
        <v>ESCOLTANDO</v>
      </c>
      <c r="I337" s="64" t="str">
        <f>IFERROR(__xludf.DUMMYFUNCTION("""COMPUTED_VALUE"""),"FALTA DE COMBUSTIBLE")</f>
        <v>FALTA DE COMBUSTIBLE</v>
      </c>
      <c r="J337" s="64" t="str">
        <f>IFERROR(__xludf.DUMMYFUNCTION("""COMPUTED_VALUE"""),"DESPERFECTOS MECÁNICOS")</f>
        <v>DESPERFECTOS MECÁNICOS</v>
      </c>
      <c r="K337" s="64" t="str">
        <f>IFERROR(__xludf.DUMMYFUNCTION("""COMPUTED_VALUE"""),"LLAMADA DE ATENCIÓN")</f>
        <v>LLAMADA DE ATENCIÓN</v>
      </c>
      <c r="L337" s="64" t="str">
        <f>IFERROR(__xludf.DUMMYFUNCTION("""COMPUTED_VALUE"""),"OPERATIVOS")</f>
        <v>OPERATIVOS</v>
      </c>
      <c r="M337" s="64" t="str">
        <f>IFERROR(__xludf.DUMMYFUNCTION("""COMPUTED_VALUE"""),"SANCIÓN")</f>
        <v>SANCIÓN</v>
      </c>
      <c r="N337" s="64" t="str">
        <f>IFERROR(__xludf.DUMMYFUNCTION("""COMPUTED_VALUE"""),"SISTEMA ELECTRICO")</f>
        <v>SISTEMA ELECTRICO</v>
      </c>
      <c r="O337" s="64" t="str">
        <f>IFERROR(__xludf.DUMMYFUNCTION("""COMPUTED_VALUE"""),"ASISTENCIA AL USUARIO")</f>
        <v>ASISTENCIA AL USUARIO</v>
      </c>
      <c r="P337" s="64" t="str">
        <f>IFERROR(__xludf.DUMMYFUNCTION("""COMPUTED_VALUE"""),"DOBLE REMOLQUE")</f>
        <v>DOBLE REMOLQUE</v>
      </c>
      <c r="Q337" s="64" t="str">
        <f>IFERROR(__xludf.DUMMYFUNCTION("""COMPUTED_VALUE"""),"SINAPRESE")</f>
        <v>SINAPRESE</v>
      </c>
      <c r="R337" s="64" t="str">
        <f>IFERROR(__xludf.DUMMYFUNCTION("""COMPUTED_VALUE"""),"APOYO ATLETISMO")</f>
        <v>APOYO ATLETISMO</v>
      </c>
      <c r="S337" s="64" t="str">
        <f>IFERROR(__xludf.DUMMYFUNCTION("""COMPUTED_VALUE"""),"APOYO A CICLISMO")</f>
        <v>APOYO A CICLISMO</v>
      </c>
      <c r="T337" s="64" t="str">
        <f>IFERROR(__xludf.DUMMYFUNCTION("""COMPUTED_VALUE"""),"DESCARGA DE BATERÍA")</f>
        <v>DESCARGA DE BATERÍA</v>
      </c>
      <c r="U337" s="64" t="str">
        <f>IFERROR(__xludf.DUMMYFUNCTION("""COMPUTED_VALUE"""),"PROBLEMAS DE SALUD")</f>
        <v>PROBLEMAS DE SALUD</v>
      </c>
      <c r="V337" s="64" t="str">
        <f>IFERROR(__xludf.DUMMYFUNCTION("""COMPUTED_VALUE"""),"OLVIDO LA LLAVE")</f>
        <v>OLVIDO LA LLAVE</v>
      </c>
      <c r="W337" s="64" t="str">
        <f>IFERROR(__xludf.DUMMYFUNCTION("""COMPUTED_VALUE"""),"CARGA SOBREDIMENSIONADA")</f>
        <v>CARGA SOBREDIMENSIONADA</v>
      </c>
      <c r="X337" s="64" t="str">
        <f>IFERROR(__xludf.DUMMYFUNCTION("""COMPUTED_VALUE"""),"VEHÍCULO ABANDONADO")</f>
        <v>VEHÍCULO ABANDONADO</v>
      </c>
      <c r="Y337" s="64" t="str">
        <f>IFERROR(__xludf.DUMMYFUNCTION("""COMPUTED_VALUE"""),"DESPRENDIMIENTO")</f>
        <v>DESPRENDIMIENTO</v>
      </c>
      <c r="Z337" s="64" t="str">
        <f>IFERROR(__xludf.DUMMYFUNCTION("""COMPUTED_VALUE"""),"CAÍDA DE POSTE")</f>
        <v>CAÍDA DE POSTE</v>
      </c>
      <c r="AA337" s="64" t="str">
        <f>IFERROR(__xludf.DUMMYFUNCTION("""COMPUTED_VALUE"""),"CAÍDA DE RAMA")</f>
        <v>CAÍDA DE RAMA</v>
      </c>
      <c r="AB337" s="64" t="str">
        <f>IFERROR(__xludf.DUMMYFUNCTION("""COMPUTED_VALUE"""),"OPERATIVO DGT")</f>
        <v>OPERATIVO DGT</v>
      </c>
      <c r="AC337" s="64" t="str">
        <f>IFERROR(__xludf.DUMMYFUNCTION("""COMPUTED_VALUE"""),"OPERATIVO PMT")</f>
        <v>OPERATIVO PMT</v>
      </c>
      <c r="AD337" s="64" t="str">
        <f>IFERROR(__xludf.DUMMYFUNCTION("""COMPUTED_VALUE"""),"APOYO A DIGEF")</f>
        <v>APOYO A DIGEF</v>
      </c>
      <c r="AE337" s="64" t="str">
        <f>IFERROR(__xludf.DUMMYFUNCTION("""COMPUTED_VALUE"""),"OPERATIVO PNC TRANSITO")</f>
        <v>OPERATIVO PNC TRANSITO</v>
      </c>
      <c r="AF337" s="64" t="str">
        <f>IFERROR(__xludf.DUMMYFUNCTION("""COMPUTED_VALUE"""),"SOBRECARGA ")</f>
        <v>SOBRECARGA </v>
      </c>
      <c r="AG337" s="64" t="str">
        <f>IFERROR(__xludf.DUMMYFUNCTION("""COMPUTED_VALUE"""),"OPERATIVO EN CONJUNTO")</f>
        <v>OPERATIVO EN CONJUNTO</v>
      </c>
      <c r="AH337" s="64" t="str">
        <f>IFERROR(__xludf.DUMMYFUNCTION("""COMPUTED_VALUE"""),"PUESTO DE ATENCION AL USUARIO")</f>
        <v>PUESTO DE ATENCION AL USUARIO</v>
      </c>
      <c r="AI337" s="64" t="str">
        <f>IFERROR(__xludf.DUMMYFUNCTION("""COMPUTED_VALUE"""),"INCENDIO EN RUTA")</f>
        <v>INCENDIO EN RUTA</v>
      </c>
      <c r="AJ337" s="64" t="str">
        <f>IFERROR(__xludf.DUMMYFUNCTION("""COMPUTED_VALUE"""),"APOYO ANTORCHA ")</f>
        <v>APOYO ANTORCHA </v>
      </c>
    </row>
    <row r="338">
      <c r="B338" s="64" t="s">
        <v>38</v>
      </c>
      <c r="C338" s="64" t="str">
        <f>IFERROR(__xludf.DUMMYFUNCTION(" TRANSPOSE( unique ( QUERY(DATOPRO,""select Col2 where Col1 = '""&amp;B338&amp;""'"")))"),"ATAQUE ARMADO")</f>
        <v>ATAQUE ARMADO</v>
      </c>
      <c r="D338" s="64" t="str">
        <f>IFERROR(__xludf.DUMMYFUNCTION("""COMPUTED_VALUE"""),"DESBALANCE DE CARGA")</f>
        <v>DESBALANCE DE CARGA</v>
      </c>
      <c r="E338" s="64" t="str">
        <f>IFERROR(__xludf.DUMMYFUNCTION("""COMPUTED_VALUE"""),"PERSONA FALLECIDA")</f>
        <v>PERSONA FALLECIDA</v>
      </c>
      <c r="F338" s="64" t="str">
        <f>IFERROR(__xludf.DUMMYFUNCTION("""COMPUTED_VALUE"""),"DESPRENDIMIENTO DE NEUMATICO")</f>
        <v>DESPRENDIMIENTO DE NEUMATICO</v>
      </c>
      <c r="G338" s="64" t="str">
        <f>IFERROR(__xludf.DUMMYFUNCTION("""COMPUTED_VALUE"""),"SALIDA DE PISTA")</f>
        <v>SALIDA DE PISTA</v>
      </c>
      <c r="H338" s="64" t="str">
        <f>IFERROR(__xludf.DUMMYFUNCTION("""COMPUTED_VALUE"""),"DESPRENDIMIENTO DE CONTENEDOR")</f>
        <v>DESPRENDIMIENTO DE CONTENEDOR</v>
      </c>
      <c r="I338" s="64" t="str">
        <f>IFERROR(__xludf.DUMMYFUNCTION("""COMPUTED_VALUE"""),"CAÍDA DE CARGA")</f>
        <v>CAÍDA DE CARGA</v>
      </c>
      <c r="J338" s="64" t="str">
        <f>IFERROR(__xludf.DUMMYFUNCTION("""COMPUTED_VALUE"""),"CHOQUE")</f>
        <v>CHOQUE</v>
      </c>
      <c r="K338" s="64" t="str">
        <f>IFERROR(__xludf.DUMMYFUNCTION("""COMPUTED_VALUE"""),"COLISIÓN")</f>
        <v>COLISIÓN</v>
      </c>
      <c r="L338" s="64" t="str">
        <f>IFERROR(__xludf.DUMMYFUNCTION("""COMPUTED_VALUE"""),"COLISIÓN MÚLTIPLE")</f>
        <v>COLISIÓN MÚLTIPLE</v>
      </c>
      <c r="M338" s="64" t="str">
        <f>IFERROR(__xludf.DUMMYFUNCTION("""COMPUTED_VALUE"""),"DERRAPE")</f>
        <v>DERRAPE</v>
      </c>
      <c r="N338" s="64" t="str">
        <f>IFERROR(__xludf.DUMMYFUNCTION("""COMPUTED_VALUE"""),"VEHÍCULO INCENDIADO")</f>
        <v>VEHÍCULO INCENDIADO</v>
      </c>
      <c r="O338" s="64" t="str">
        <f>IFERROR(__xludf.DUMMYFUNCTION("""COMPUTED_VALUE"""),"VUELCO")</f>
        <v>VUELCO</v>
      </c>
      <c r="P338" s="64" t="str">
        <f>IFERROR(__xludf.DUMMYFUNCTION("""COMPUTED_VALUE"""),"DESPRENDIMIENTO")</f>
        <v>DESPRENDIMIENTO</v>
      </c>
      <c r="Q338" s="64" t="str">
        <f>IFERROR(__xludf.DUMMYFUNCTION("""COMPUTED_VALUE"""),"CAÍDA DE ÁRBOL")</f>
        <v>CAÍDA DE ÁRBOL</v>
      </c>
      <c r="R338" s="64" t="str">
        <f>IFERROR(__xludf.DUMMYFUNCTION("""COMPUTED_VALUE"""),"DESPRENDIMIENTO DE EJE")</f>
        <v>DESPRENDIMIENTO DE EJE</v>
      </c>
      <c r="S338" s="64" t="str">
        <f>IFERROR(__xludf.DUMMYFUNCTION("""COMPUTED_VALUE"""),"PERSONA ATROPELLADA")</f>
        <v>PERSONA ATROPELLADA</v>
      </c>
    </row>
    <row r="339">
      <c r="B339" s="64" t="s">
        <v>38</v>
      </c>
      <c r="C339" s="64" t="str">
        <f>IFERROR(__xludf.DUMMYFUNCTION(" TRANSPOSE( unique ( QUERY(DATOPRO,""select Col2 where Col1 = '""&amp;B339&amp;""'"")))"),"ATAQUE ARMADO")</f>
        <v>ATAQUE ARMADO</v>
      </c>
      <c r="D339" s="64" t="str">
        <f>IFERROR(__xludf.DUMMYFUNCTION("""COMPUTED_VALUE"""),"DESBALANCE DE CARGA")</f>
        <v>DESBALANCE DE CARGA</v>
      </c>
      <c r="E339" s="64" t="str">
        <f>IFERROR(__xludf.DUMMYFUNCTION("""COMPUTED_VALUE"""),"PERSONA FALLECIDA")</f>
        <v>PERSONA FALLECIDA</v>
      </c>
      <c r="F339" s="64" t="str">
        <f>IFERROR(__xludf.DUMMYFUNCTION("""COMPUTED_VALUE"""),"DESPRENDIMIENTO DE NEUMATICO")</f>
        <v>DESPRENDIMIENTO DE NEUMATICO</v>
      </c>
      <c r="G339" s="64" t="str">
        <f>IFERROR(__xludf.DUMMYFUNCTION("""COMPUTED_VALUE"""),"SALIDA DE PISTA")</f>
        <v>SALIDA DE PISTA</v>
      </c>
      <c r="H339" s="64" t="str">
        <f>IFERROR(__xludf.DUMMYFUNCTION("""COMPUTED_VALUE"""),"DESPRENDIMIENTO DE CONTENEDOR")</f>
        <v>DESPRENDIMIENTO DE CONTENEDOR</v>
      </c>
      <c r="I339" s="64" t="str">
        <f>IFERROR(__xludf.DUMMYFUNCTION("""COMPUTED_VALUE"""),"CAÍDA DE CARGA")</f>
        <v>CAÍDA DE CARGA</v>
      </c>
      <c r="J339" s="64" t="str">
        <f>IFERROR(__xludf.DUMMYFUNCTION("""COMPUTED_VALUE"""),"CHOQUE")</f>
        <v>CHOQUE</v>
      </c>
      <c r="K339" s="64" t="str">
        <f>IFERROR(__xludf.DUMMYFUNCTION("""COMPUTED_VALUE"""),"COLISIÓN")</f>
        <v>COLISIÓN</v>
      </c>
      <c r="L339" s="64" t="str">
        <f>IFERROR(__xludf.DUMMYFUNCTION("""COMPUTED_VALUE"""),"COLISIÓN MÚLTIPLE")</f>
        <v>COLISIÓN MÚLTIPLE</v>
      </c>
      <c r="M339" s="64" t="str">
        <f>IFERROR(__xludf.DUMMYFUNCTION("""COMPUTED_VALUE"""),"DERRAPE")</f>
        <v>DERRAPE</v>
      </c>
      <c r="N339" s="64" t="str">
        <f>IFERROR(__xludf.DUMMYFUNCTION("""COMPUTED_VALUE"""),"VEHÍCULO INCENDIADO")</f>
        <v>VEHÍCULO INCENDIADO</v>
      </c>
      <c r="O339" s="64" t="str">
        <f>IFERROR(__xludf.DUMMYFUNCTION("""COMPUTED_VALUE"""),"VUELCO")</f>
        <v>VUELCO</v>
      </c>
      <c r="P339" s="64" t="str">
        <f>IFERROR(__xludf.DUMMYFUNCTION("""COMPUTED_VALUE"""),"DESPRENDIMIENTO")</f>
        <v>DESPRENDIMIENTO</v>
      </c>
      <c r="Q339" s="64" t="str">
        <f>IFERROR(__xludf.DUMMYFUNCTION("""COMPUTED_VALUE"""),"CAÍDA DE ÁRBOL")</f>
        <v>CAÍDA DE ÁRBOL</v>
      </c>
      <c r="R339" s="64" t="str">
        <f>IFERROR(__xludf.DUMMYFUNCTION("""COMPUTED_VALUE"""),"DESPRENDIMIENTO DE EJE")</f>
        <v>DESPRENDIMIENTO DE EJE</v>
      </c>
      <c r="S339" s="64" t="str">
        <f>IFERROR(__xludf.DUMMYFUNCTION("""COMPUTED_VALUE"""),"PERSONA ATROPELLADA")</f>
        <v>PERSONA ATROPELLADA</v>
      </c>
    </row>
    <row r="340">
      <c r="B340" s="64" t="s">
        <v>54</v>
      </c>
      <c r="C340" s="64" t="str">
        <f>IFERROR(__xludf.DUMMYFUNCTION(" TRANSPOSE( unique ( QUERY(DATOPRO,""select Col2 where Col1 = '""&amp;B340&amp;""'"")))"),"PINCHAZO")</f>
        <v>PINCHAZO</v>
      </c>
      <c r="D340" s="64" t="str">
        <f>IFERROR(__xludf.DUMMYFUNCTION("""COMPUTED_VALUE"""),"TRABAJOS DE CARRETERA")</f>
        <v>TRABAJOS DE CARRETERA</v>
      </c>
      <c r="E340" s="64" t="str">
        <f>IFERROR(__xludf.DUMMYFUNCTION("""COMPUTED_VALUE"""),"CONSIGNACIÓN")</f>
        <v>CONSIGNACIÓN</v>
      </c>
      <c r="F340" s="64" t="str">
        <f>IFERROR(__xludf.DUMMYFUNCTION("""COMPUTED_VALUE"""),"DERRAME")</f>
        <v>DERRAME</v>
      </c>
      <c r="G340" s="64" t="str">
        <f>IFERROR(__xludf.DUMMYFUNCTION("""COMPUTED_VALUE"""),"CALENTAMIENTO")</f>
        <v>CALENTAMIENTO</v>
      </c>
      <c r="H340" s="64" t="str">
        <f>IFERROR(__xludf.DUMMYFUNCTION("""COMPUTED_VALUE"""),"ESCOLTANDO")</f>
        <v>ESCOLTANDO</v>
      </c>
      <c r="I340" s="64" t="str">
        <f>IFERROR(__xludf.DUMMYFUNCTION("""COMPUTED_VALUE"""),"FALTA DE COMBUSTIBLE")</f>
        <v>FALTA DE COMBUSTIBLE</v>
      </c>
      <c r="J340" s="64" t="str">
        <f>IFERROR(__xludf.DUMMYFUNCTION("""COMPUTED_VALUE"""),"DESPERFECTOS MECÁNICOS")</f>
        <v>DESPERFECTOS MECÁNICOS</v>
      </c>
      <c r="K340" s="64" t="str">
        <f>IFERROR(__xludf.DUMMYFUNCTION("""COMPUTED_VALUE"""),"LLAMADA DE ATENCIÓN")</f>
        <v>LLAMADA DE ATENCIÓN</v>
      </c>
      <c r="L340" s="64" t="str">
        <f>IFERROR(__xludf.DUMMYFUNCTION("""COMPUTED_VALUE"""),"OPERATIVOS")</f>
        <v>OPERATIVOS</v>
      </c>
      <c r="M340" s="64" t="str">
        <f>IFERROR(__xludf.DUMMYFUNCTION("""COMPUTED_VALUE"""),"SANCIÓN")</f>
        <v>SANCIÓN</v>
      </c>
      <c r="N340" s="64" t="str">
        <f>IFERROR(__xludf.DUMMYFUNCTION("""COMPUTED_VALUE"""),"SISTEMA ELECTRICO")</f>
        <v>SISTEMA ELECTRICO</v>
      </c>
      <c r="O340" s="64" t="str">
        <f>IFERROR(__xludf.DUMMYFUNCTION("""COMPUTED_VALUE"""),"ASISTENCIA AL USUARIO")</f>
        <v>ASISTENCIA AL USUARIO</v>
      </c>
      <c r="P340" s="64" t="str">
        <f>IFERROR(__xludf.DUMMYFUNCTION("""COMPUTED_VALUE"""),"DOBLE REMOLQUE")</f>
        <v>DOBLE REMOLQUE</v>
      </c>
      <c r="Q340" s="64" t="str">
        <f>IFERROR(__xludf.DUMMYFUNCTION("""COMPUTED_VALUE"""),"SINAPRESE")</f>
        <v>SINAPRESE</v>
      </c>
      <c r="R340" s="64" t="str">
        <f>IFERROR(__xludf.DUMMYFUNCTION("""COMPUTED_VALUE"""),"APOYO ATLETISMO")</f>
        <v>APOYO ATLETISMO</v>
      </c>
      <c r="S340" s="64" t="str">
        <f>IFERROR(__xludf.DUMMYFUNCTION("""COMPUTED_VALUE"""),"APOYO A CICLISMO")</f>
        <v>APOYO A CICLISMO</v>
      </c>
      <c r="T340" s="64" t="str">
        <f>IFERROR(__xludf.DUMMYFUNCTION("""COMPUTED_VALUE"""),"DESCARGA DE BATERÍA")</f>
        <v>DESCARGA DE BATERÍA</v>
      </c>
      <c r="U340" s="64" t="str">
        <f>IFERROR(__xludf.DUMMYFUNCTION("""COMPUTED_VALUE"""),"PROBLEMAS DE SALUD")</f>
        <v>PROBLEMAS DE SALUD</v>
      </c>
      <c r="V340" s="64" t="str">
        <f>IFERROR(__xludf.DUMMYFUNCTION("""COMPUTED_VALUE"""),"OLVIDO LA LLAVE")</f>
        <v>OLVIDO LA LLAVE</v>
      </c>
      <c r="W340" s="64" t="str">
        <f>IFERROR(__xludf.DUMMYFUNCTION("""COMPUTED_VALUE"""),"CARGA SOBREDIMENSIONADA")</f>
        <v>CARGA SOBREDIMENSIONADA</v>
      </c>
      <c r="X340" s="64" t="str">
        <f>IFERROR(__xludf.DUMMYFUNCTION("""COMPUTED_VALUE"""),"VEHÍCULO ABANDONADO")</f>
        <v>VEHÍCULO ABANDONADO</v>
      </c>
      <c r="Y340" s="64" t="str">
        <f>IFERROR(__xludf.DUMMYFUNCTION("""COMPUTED_VALUE"""),"DESPRENDIMIENTO")</f>
        <v>DESPRENDIMIENTO</v>
      </c>
      <c r="Z340" s="64" t="str">
        <f>IFERROR(__xludf.DUMMYFUNCTION("""COMPUTED_VALUE"""),"CAÍDA DE POSTE")</f>
        <v>CAÍDA DE POSTE</v>
      </c>
      <c r="AA340" s="64" t="str">
        <f>IFERROR(__xludf.DUMMYFUNCTION("""COMPUTED_VALUE"""),"CAÍDA DE RAMA")</f>
        <v>CAÍDA DE RAMA</v>
      </c>
      <c r="AB340" s="64" t="str">
        <f>IFERROR(__xludf.DUMMYFUNCTION("""COMPUTED_VALUE"""),"OPERATIVO DGT")</f>
        <v>OPERATIVO DGT</v>
      </c>
      <c r="AC340" s="64" t="str">
        <f>IFERROR(__xludf.DUMMYFUNCTION("""COMPUTED_VALUE"""),"OPERATIVO PMT")</f>
        <v>OPERATIVO PMT</v>
      </c>
      <c r="AD340" s="64" t="str">
        <f>IFERROR(__xludf.DUMMYFUNCTION("""COMPUTED_VALUE"""),"APOYO A DIGEF")</f>
        <v>APOYO A DIGEF</v>
      </c>
      <c r="AE340" s="64" t="str">
        <f>IFERROR(__xludf.DUMMYFUNCTION("""COMPUTED_VALUE"""),"OPERATIVO PNC TRANSITO")</f>
        <v>OPERATIVO PNC TRANSITO</v>
      </c>
      <c r="AF340" s="64" t="str">
        <f>IFERROR(__xludf.DUMMYFUNCTION("""COMPUTED_VALUE"""),"SOBRECARGA ")</f>
        <v>SOBRECARGA </v>
      </c>
      <c r="AG340" s="64" t="str">
        <f>IFERROR(__xludf.DUMMYFUNCTION("""COMPUTED_VALUE"""),"OPERATIVO EN CONJUNTO")</f>
        <v>OPERATIVO EN CONJUNTO</v>
      </c>
      <c r="AH340" s="64" t="str">
        <f>IFERROR(__xludf.DUMMYFUNCTION("""COMPUTED_VALUE"""),"PUESTO DE ATENCION AL USUARIO")</f>
        <v>PUESTO DE ATENCION AL USUARIO</v>
      </c>
      <c r="AI340" s="64" t="str">
        <f>IFERROR(__xludf.DUMMYFUNCTION("""COMPUTED_VALUE"""),"INCENDIO EN RUTA")</f>
        <v>INCENDIO EN RUTA</v>
      </c>
      <c r="AJ340" s="64" t="str">
        <f>IFERROR(__xludf.DUMMYFUNCTION("""COMPUTED_VALUE"""),"APOYO ANTORCHA ")</f>
        <v>APOYO ANTORCHA </v>
      </c>
    </row>
    <row r="341">
      <c r="B341" s="64" t="s">
        <v>54</v>
      </c>
      <c r="C341" s="64" t="str">
        <f>IFERROR(__xludf.DUMMYFUNCTION(" TRANSPOSE( unique ( QUERY(DATOPRO,""select Col2 where Col1 = '""&amp;B341&amp;""'"")))"),"PINCHAZO")</f>
        <v>PINCHAZO</v>
      </c>
      <c r="D341" s="64" t="str">
        <f>IFERROR(__xludf.DUMMYFUNCTION("""COMPUTED_VALUE"""),"TRABAJOS DE CARRETERA")</f>
        <v>TRABAJOS DE CARRETERA</v>
      </c>
      <c r="E341" s="64" t="str">
        <f>IFERROR(__xludf.DUMMYFUNCTION("""COMPUTED_VALUE"""),"CONSIGNACIÓN")</f>
        <v>CONSIGNACIÓN</v>
      </c>
      <c r="F341" s="64" t="str">
        <f>IFERROR(__xludf.DUMMYFUNCTION("""COMPUTED_VALUE"""),"DERRAME")</f>
        <v>DERRAME</v>
      </c>
      <c r="G341" s="64" t="str">
        <f>IFERROR(__xludf.DUMMYFUNCTION("""COMPUTED_VALUE"""),"CALENTAMIENTO")</f>
        <v>CALENTAMIENTO</v>
      </c>
      <c r="H341" s="64" t="str">
        <f>IFERROR(__xludf.DUMMYFUNCTION("""COMPUTED_VALUE"""),"ESCOLTANDO")</f>
        <v>ESCOLTANDO</v>
      </c>
      <c r="I341" s="64" t="str">
        <f>IFERROR(__xludf.DUMMYFUNCTION("""COMPUTED_VALUE"""),"FALTA DE COMBUSTIBLE")</f>
        <v>FALTA DE COMBUSTIBLE</v>
      </c>
      <c r="J341" s="64" t="str">
        <f>IFERROR(__xludf.DUMMYFUNCTION("""COMPUTED_VALUE"""),"DESPERFECTOS MECÁNICOS")</f>
        <v>DESPERFECTOS MECÁNICOS</v>
      </c>
      <c r="K341" s="64" t="str">
        <f>IFERROR(__xludf.DUMMYFUNCTION("""COMPUTED_VALUE"""),"LLAMADA DE ATENCIÓN")</f>
        <v>LLAMADA DE ATENCIÓN</v>
      </c>
      <c r="L341" s="64" t="str">
        <f>IFERROR(__xludf.DUMMYFUNCTION("""COMPUTED_VALUE"""),"OPERATIVOS")</f>
        <v>OPERATIVOS</v>
      </c>
      <c r="M341" s="64" t="str">
        <f>IFERROR(__xludf.DUMMYFUNCTION("""COMPUTED_VALUE"""),"SANCIÓN")</f>
        <v>SANCIÓN</v>
      </c>
      <c r="N341" s="64" t="str">
        <f>IFERROR(__xludf.DUMMYFUNCTION("""COMPUTED_VALUE"""),"SISTEMA ELECTRICO")</f>
        <v>SISTEMA ELECTRICO</v>
      </c>
      <c r="O341" s="64" t="str">
        <f>IFERROR(__xludf.DUMMYFUNCTION("""COMPUTED_VALUE"""),"ASISTENCIA AL USUARIO")</f>
        <v>ASISTENCIA AL USUARIO</v>
      </c>
      <c r="P341" s="64" t="str">
        <f>IFERROR(__xludf.DUMMYFUNCTION("""COMPUTED_VALUE"""),"DOBLE REMOLQUE")</f>
        <v>DOBLE REMOLQUE</v>
      </c>
      <c r="Q341" s="64" t="str">
        <f>IFERROR(__xludf.DUMMYFUNCTION("""COMPUTED_VALUE"""),"SINAPRESE")</f>
        <v>SINAPRESE</v>
      </c>
      <c r="R341" s="64" t="str">
        <f>IFERROR(__xludf.DUMMYFUNCTION("""COMPUTED_VALUE"""),"APOYO ATLETISMO")</f>
        <v>APOYO ATLETISMO</v>
      </c>
      <c r="S341" s="64" t="str">
        <f>IFERROR(__xludf.DUMMYFUNCTION("""COMPUTED_VALUE"""),"APOYO A CICLISMO")</f>
        <v>APOYO A CICLISMO</v>
      </c>
      <c r="T341" s="64" t="str">
        <f>IFERROR(__xludf.DUMMYFUNCTION("""COMPUTED_VALUE"""),"DESCARGA DE BATERÍA")</f>
        <v>DESCARGA DE BATERÍA</v>
      </c>
      <c r="U341" s="64" t="str">
        <f>IFERROR(__xludf.DUMMYFUNCTION("""COMPUTED_VALUE"""),"PROBLEMAS DE SALUD")</f>
        <v>PROBLEMAS DE SALUD</v>
      </c>
      <c r="V341" s="64" t="str">
        <f>IFERROR(__xludf.DUMMYFUNCTION("""COMPUTED_VALUE"""),"OLVIDO LA LLAVE")</f>
        <v>OLVIDO LA LLAVE</v>
      </c>
      <c r="W341" s="64" t="str">
        <f>IFERROR(__xludf.DUMMYFUNCTION("""COMPUTED_VALUE"""),"CARGA SOBREDIMENSIONADA")</f>
        <v>CARGA SOBREDIMENSIONADA</v>
      </c>
      <c r="X341" s="64" t="str">
        <f>IFERROR(__xludf.DUMMYFUNCTION("""COMPUTED_VALUE"""),"VEHÍCULO ABANDONADO")</f>
        <v>VEHÍCULO ABANDONADO</v>
      </c>
      <c r="Y341" s="64" t="str">
        <f>IFERROR(__xludf.DUMMYFUNCTION("""COMPUTED_VALUE"""),"DESPRENDIMIENTO")</f>
        <v>DESPRENDIMIENTO</v>
      </c>
      <c r="Z341" s="64" t="str">
        <f>IFERROR(__xludf.DUMMYFUNCTION("""COMPUTED_VALUE"""),"CAÍDA DE POSTE")</f>
        <v>CAÍDA DE POSTE</v>
      </c>
      <c r="AA341" s="64" t="str">
        <f>IFERROR(__xludf.DUMMYFUNCTION("""COMPUTED_VALUE"""),"CAÍDA DE RAMA")</f>
        <v>CAÍDA DE RAMA</v>
      </c>
      <c r="AB341" s="64" t="str">
        <f>IFERROR(__xludf.DUMMYFUNCTION("""COMPUTED_VALUE"""),"OPERATIVO DGT")</f>
        <v>OPERATIVO DGT</v>
      </c>
      <c r="AC341" s="64" t="str">
        <f>IFERROR(__xludf.DUMMYFUNCTION("""COMPUTED_VALUE"""),"OPERATIVO PMT")</f>
        <v>OPERATIVO PMT</v>
      </c>
      <c r="AD341" s="64" t="str">
        <f>IFERROR(__xludf.DUMMYFUNCTION("""COMPUTED_VALUE"""),"APOYO A DIGEF")</f>
        <v>APOYO A DIGEF</v>
      </c>
      <c r="AE341" s="64" t="str">
        <f>IFERROR(__xludf.DUMMYFUNCTION("""COMPUTED_VALUE"""),"OPERATIVO PNC TRANSITO")</f>
        <v>OPERATIVO PNC TRANSITO</v>
      </c>
      <c r="AF341" s="64" t="str">
        <f>IFERROR(__xludf.DUMMYFUNCTION("""COMPUTED_VALUE"""),"SOBRECARGA ")</f>
        <v>SOBRECARGA </v>
      </c>
      <c r="AG341" s="64" t="str">
        <f>IFERROR(__xludf.DUMMYFUNCTION("""COMPUTED_VALUE"""),"OPERATIVO EN CONJUNTO")</f>
        <v>OPERATIVO EN CONJUNTO</v>
      </c>
      <c r="AH341" s="64" t="str">
        <f>IFERROR(__xludf.DUMMYFUNCTION("""COMPUTED_VALUE"""),"PUESTO DE ATENCION AL USUARIO")</f>
        <v>PUESTO DE ATENCION AL USUARIO</v>
      </c>
      <c r="AI341" s="64" t="str">
        <f>IFERROR(__xludf.DUMMYFUNCTION("""COMPUTED_VALUE"""),"INCENDIO EN RUTA")</f>
        <v>INCENDIO EN RUTA</v>
      </c>
      <c r="AJ341" s="64" t="str">
        <f>IFERROR(__xludf.DUMMYFUNCTION("""COMPUTED_VALUE"""),"APOYO ANTORCHA ")</f>
        <v>APOYO ANTORCHA </v>
      </c>
    </row>
    <row r="342">
      <c r="B342" s="64" t="s">
        <v>54</v>
      </c>
      <c r="C342" s="64" t="str">
        <f>IFERROR(__xludf.DUMMYFUNCTION(" TRANSPOSE( unique ( QUERY(DATOPRO,""select Col2 where Col1 = '""&amp;B342&amp;""'"")))"),"PINCHAZO")</f>
        <v>PINCHAZO</v>
      </c>
      <c r="D342" s="64" t="str">
        <f>IFERROR(__xludf.DUMMYFUNCTION("""COMPUTED_VALUE"""),"TRABAJOS DE CARRETERA")</f>
        <v>TRABAJOS DE CARRETERA</v>
      </c>
      <c r="E342" s="64" t="str">
        <f>IFERROR(__xludf.DUMMYFUNCTION("""COMPUTED_VALUE"""),"CONSIGNACIÓN")</f>
        <v>CONSIGNACIÓN</v>
      </c>
      <c r="F342" s="64" t="str">
        <f>IFERROR(__xludf.DUMMYFUNCTION("""COMPUTED_VALUE"""),"DERRAME")</f>
        <v>DERRAME</v>
      </c>
      <c r="G342" s="64" t="str">
        <f>IFERROR(__xludf.DUMMYFUNCTION("""COMPUTED_VALUE"""),"CALENTAMIENTO")</f>
        <v>CALENTAMIENTO</v>
      </c>
      <c r="H342" s="64" t="str">
        <f>IFERROR(__xludf.DUMMYFUNCTION("""COMPUTED_VALUE"""),"ESCOLTANDO")</f>
        <v>ESCOLTANDO</v>
      </c>
      <c r="I342" s="64" t="str">
        <f>IFERROR(__xludf.DUMMYFUNCTION("""COMPUTED_VALUE"""),"FALTA DE COMBUSTIBLE")</f>
        <v>FALTA DE COMBUSTIBLE</v>
      </c>
      <c r="J342" s="64" t="str">
        <f>IFERROR(__xludf.DUMMYFUNCTION("""COMPUTED_VALUE"""),"DESPERFECTOS MECÁNICOS")</f>
        <v>DESPERFECTOS MECÁNICOS</v>
      </c>
      <c r="K342" s="64" t="str">
        <f>IFERROR(__xludf.DUMMYFUNCTION("""COMPUTED_VALUE"""),"LLAMADA DE ATENCIÓN")</f>
        <v>LLAMADA DE ATENCIÓN</v>
      </c>
      <c r="L342" s="64" t="str">
        <f>IFERROR(__xludf.DUMMYFUNCTION("""COMPUTED_VALUE"""),"OPERATIVOS")</f>
        <v>OPERATIVOS</v>
      </c>
      <c r="M342" s="64" t="str">
        <f>IFERROR(__xludf.DUMMYFUNCTION("""COMPUTED_VALUE"""),"SANCIÓN")</f>
        <v>SANCIÓN</v>
      </c>
      <c r="N342" s="64" t="str">
        <f>IFERROR(__xludf.DUMMYFUNCTION("""COMPUTED_VALUE"""),"SISTEMA ELECTRICO")</f>
        <v>SISTEMA ELECTRICO</v>
      </c>
      <c r="O342" s="64" t="str">
        <f>IFERROR(__xludf.DUMMYFUNCTION("""COMPUTED_VALUE"""),"ASISTENCIA AL USUARIO")</f>
        <v>ASISTENCIA AL USUARIO</v>
      </c>
      <c r="P342" s="64" t="str">
        <f>IFERROR(__xludf.DUMMYFUNCTION("""COMPUTED_VALUE"""),"DOBLE REMOLQUE")</f>
        <v>DOBLE REMOLQUE</v>
      </c>
      <c r="Q342" s="64" t="str">
        <f>IFERROR(__xludf.DUMMYFUNCTION("""COMPUTED_VALUE"""),"SINAPRESE")</f>
        <v>SINAPRESE</v>
      </c>
      <c r="R342" s="64" t="str">
        <f>IFERROR(__xludf.DUMMYFUNCTION("""COMPUTED_VALUE"""),"APOYO ATLETISMO")</f>
        <v>APOYO ATLETISMO</v>
      </c>
      <c r="S342" s="64" t="str">
        <f>IFERROR(__xludf.DUMMYFUNCTION("""COMPUTED_VALUE"""),"APOYO A CICLISMO")</f>
        <v>APOYO A CICLISMO</v>
      </c>
      <c r="T342" s="64" t="str">
        <f>IFERROR(__xludf.DUMMYFUNCTION("""COMPUTED_VALUE"""),"DESCARGA DE BATERÍA")</f>
        <v>DESCARGA DE BATERÍA</v>
      </c>
      <c r="U342" s="64" t="str">
        <f>IFERROR(__xludf.DUMMYFUNCTION("""COMPUTED_VALUE"""),"PROBLEMAS DE SALUD")</f>
        <v>PROBLEMAS DE SALUD</v>
      </c>
      <c r="V342" s="64" t="str">
        <f>IFERROR(__xludf.DUMMYFUNCTION("""COMPUTED_VALUE"""),"OLVIDO LA LLAVE")</f>
        <v>OLVIDO LA LLAVE</v>
      </c>
      <c r="W342" s="64" t="str">
        <f>IFERROR(__xludf.DUMMYFUNCTION("""COMPUTED_VALUE"""),"CARGA SOBREDIMENSIONADA")</f>
        <v>CARGA SOBREDIMENSIONADA</v>
      </c>
      <c r="X342" s="64" t="str">
        <f>IFERROR(__xludf.DUMMYFUNCTION("""COMPUTED_VALUE"""),"VEHÍCULO ABANDONADO")</f>
        <v>VEHÍCULO ABANDONADO</v>
      </c>
      <c r="Y342" s="64" t="str">
        <f>IFERROR(__xludf.DUMMYFUNCTION("""COMPUTED_VALUE"""),"DESPRENDIMIENTO")</f>
        <v>DESPRENDIMIENTO</v>
      </c>
      <c r="Z342" s="64" t="str">
        <f>IFERROR(__xludf.DUMMYFUNCTION("""COMPUTED_VALUE"""),"CAÍDA DE POSTE")</f>
        <v>CAÍDA DE POSTE</v>
      </c>
      <c r="AA342" s="64" t="str">
        <f>IFERROR(__xludf.DUMMYFUNCTION("""COMPUTED_VALUE"""),"CAÍDA DE RAMA")</f>
        <v>CAÍDA DE RAMA</v>
      </c>
      <c r="AB342" s="64" t="str">
        <f>IFERROR(__xludf.DUMMYFUNCTION("""COMPUTED_VALUE"""),"OPERATIVO DGT")</f>
        <v>OPERATIVO DGT</v>
      </c>
      <c r="AC342" s="64" t="str">
        <f>IFERROR(__xludf.DUMMYFUNCTION("""COMPUTED_VALUE"""),"OPERATIVO PMT")</f>
        <v>OPERATIVO PMT</v>
      </c>
      <c r="AD342" s="64" t="str">
        <f>IFERROR(__xludf.DUMMYFUNCTION("""COMPUTED_VALUE"""),"APOYO A DIGEF")</f>
        <v>APOYO A DIGEF</v>
      </c>
      <c r="AE342" s="64" t="str">
        <f>IFERROR(__xludf.DUMMYFUNCTION("""COMPUTED_VALUE"""),"OPERATIVO PNC TRANSITO")</f>
        <v>OPERATIVO PNC TRANSITO</v>
      </c>
      <c r="AF342" s="64" t="str">
        <f>IFERROR(__xludf.DUMMYFUNCTION("""COMPUTED_VALUE"""),"SOBRECARGA ")</f>
        <v>SOBRECARGA </v>
      </c>
      <c r="AG342" s="64" t="str">
        <f>IFERROR(__xludf.DUMMYFUNCTION("""COMPUTED_VALUE"""),"OPERATIVO EN CONJUNTO")</f>
        <v>OPERATIVO EN CONJUNTO</v>
      </c>
      <c r="AH342" s="64" t="str">
        <f>IFERROR(__xludf.DUMMYFUNCTION("""COMPUTED_VALUE"""),"PUESTO DE ATENCION AL USUARIO")</f>
        <v>PUESTO DE ATENCION AL USUARIO</v>
      </c>
      <c r="AI342" s="64" t="str">
        <f>IFERROR(__xludf.DUMMYFUNCTION("""COMPUTED_VALUE"""),"INCENDIO EN RUTA")</f>
        <v>INCENDIO EN RUTA</v>
      </c>
      <c r="AJ342" s="64" t="str">
        <f>IFERROR(__xludf.DUMMYFUNCTION("""COMPUTED_VALUE"""),"APOYO ANTORCHA ")</f>
        <v>APOYO ANTORCHA </v>
      </c>
    </row>
    <row r="343">
      <c r="B343" s="64" t="s">
        <v>54</v>
      </c>
      <c r="C343" s="64" t="str">
        <f>IFERROR(__xludf.DUMMYFUNCTION(" TRANSPOSE( unique ( QUERY(DATOPRO,""select Col2 where Col1 = '""&amp;B343&amp;""'"")))"),"PINCHAZO")</f>
        <v>PINCHAZO</v>
      </c>
      <c r="D343" s="64" t="str">
        <f>IFERROR(__xludf.DUMMYFUNCTION("""COMPUTED_VALUE"""),"TRABAJOS DE CARRETERA")</f>
        <v>TRABAJOS DE CARRETERA</v>
      </c>
      <c r="E343" s="64" t="str">
        <f>IFERROR(__xludf.DUMMYFUNCTION("""COMPUTED_VALUE"""),"CONSIGNACIÓN")</f>
        <v>CONSIGNACIÓN</v>
      </c>
      <c r="F343" s="64" t="str">
        <f>IFERROR(__xludf.DUMMYFUNCTION("""COMPUTED_VALUE"""),"DERRAME")</f>
        <v>DERRAME</v>
      </c>
      <c r="G343" s="64" t="str">
        <f>IFERROR(__xludf.DUMMYFUNCTION("""COMPUTED_VALUE"""),"CALENTAMIENTO")</f>
        <v>CALENTAMIENTO</v>
      </c>
      <c r="H343" s="64" t="str">
        <f>IFERROR(__xludf.DUMMYFUNCTION("""COMPUTED_VALUE"""),"ESCOLTANDO")</f>
        <v>ESCOLTANDO</v>
      </c>
      <c r="I343" s="64" t="str">
        <f>IFERROR(__xludf.DUMMYFUNCTION("""COMPUTED_VALUE"""),"FALTA DE COMBUSTIBLE")</f>
        <v>FALTA DE COMBUSTIBLE</v>
      </c>
      <c r="J343" s="64" t="str">
        <f>IFERROR(__xludf.DUMMYFUNCTION("""COMPUTED_VALUE"""),"DESPERFECTOS MECÁNICOS")</f>
        <v>DESPERFECTOS MECÁNICOS</v>
      </c>
      <c r="K343" s="64" t="str">
        <f>IFERROR(__xludf.DUMMYFUNCTION("""COMPUTED_VALUE"""),"LLAMADA DE ATENCIÓN")</f>
        <v>LLAMADA DE ATENCIÓN</v>
      </c>
      <c r="L343" s="64" t="str">
        <f>IFERROR(__xludf.DUMMYFUNCTION("""COMPUTED_VALUE"""),"OPERATIVOS")</f>
        <v>OPERATIVOS</v>
      </c>
      <c r="M343" s="64" t="str">
        <f>IFERROR(__xludf.DUMMYFUNCTION("""COMPUTED_VALUE"""),"SANCIÓN")</f>
        <v>SANCIÓN</v>
      </c>
      <c r="N343" s="64" t="str">
        <f>IFERROR(__xludf.DUMMYFUNCTION("""COMPUTED_VALUE"""),"SISTEMA ELECTRICO")</f>
        <v>SISTEMA ELECTRICO</v>
      </c>
      <c r="O343" s="64" t="str">
        <f>IFERROR(__xludf.DUMMYFUNCTION("""COMPUTED_VALUE"""),"ASISTENCIA AL USUARIO")</f>
        <v>ASISTENCIA AL USUARIO</v>
      </c>
      <c r="P343" s="64" t="str">
        <f>IFERROR(__xludf.DUMMYFUNCTION("""COMPUTED_VALUE"""),"DOBLE REMOLQUE")</f>
        <v>DOBLE REMOLQUE</v>
      </c>
      <c r="Q343" s="64" t="str">
        <f>IFERROR(__xludf.DUMMYFUNCTION("""COMPUTED_VALUE"""),"SINAPRESE")</f>
        <v>SINAPRESE</v>
      </c>
      <c r="R343" s="64" t="str">
        <f>IFERROR(__xludf.DUMMYFUNCTION("""COMPUTED_VALUE"""),"APOYO ATLETISMO")</f>
        <v>APOYO ATLETISMO</v>
      </c>
      <c r="S343" s="64" t="str">
        <f>IFERROR(__xludf.DUMMYFUNCTION("""COMPUTED_VALUE"""),"APOYO A CICLISMO")</f>
        <v>APOYO A CICLISMO</v>
      </c>
      <c r="T343" s="64" t="str">
        <f>IFERROR(__xludf.DUMMYFUNCTION("""COMPUTED_VALUE"""),"DESCARGA DE BATERÍA")</f>
        <v>DESCARGA DE BATERÍA</v>
      </c>
      <c r="U343" s="64" t="str">
        <f>IFERROR(__xludf.DUMMYFUNCTION("""COMPUTED_VALUE"""),"PROBLEMAS DE SALUD")</f>
        <v>PROBLEMAS DE SALUD</v>
      </c>
      <c r="V343" s="64" t="str">
        <f>IFERROR(__xludf.DUMMYFUNCTION("""COMPUTED_VALUE"""),"OLVIDO LA LLAVE")</f>
        <v>OLVIDO LA LLAVE</v>
      </c>
      <c r="W343" s="64" t="str">
        <f>IFERROR(__xludf.DUMMYFUNCTION("""COMPUTED_VALUE"""),"CARGA SOBREDIMENSIONADA")</f>
        <v>CARGA SOBREDIMENSIONADA</v>
      </c>
      <c r="X343" s="64" t="str">
        <f>IFERROR(__xludf.DUMMYFUNCTION("""COMPUTED_VALUE"""),"VEHÍCULO ABANDONADO")</f>
        <v>VEHÍCULO ABANDONADO</v>
      </c>
      <c r="Y343" s="64" t="str">
        <f>IFERROR(__xludf.DUMMYFUNCTION("""COMPUTED_VALUE"""),"DESPRENDIMIENTO")</f>
        <v>DESPRENDIMIENTO</v>
      </c>
      <c r="Z343" s="64" t="str">
        <f>IFERROR(__xludf.DUMMYFUNCTION("""COMPUTED_VALUE"""),"CAÍDA DE POSTE")</f>
        <v>CAÍDA DE POSTE</v>
      </c>
      <c r="AA343" s="64" t="str">
        <f>IFERROR(__xludf.DUMMYFUNCTION("""COMPUTED_VALUE"""),"CAÍDA DE RAMA")</f>
        <v>CAÍDA DE RAMA</v>
      </c>
      <c r="AB343" s="64" t="str">
        <f>IFERROR(__xludf.DUMMYFUNCTION("""COMPUTED_VALUE"""),"OPERATIVO DGT")</f>
        <v>OPERATIVO DGT</v>
      </c>
      <c r="AC343" s="64" t="str">
        <f>IFERROR(__xludf.DUMMYFUNCTION("""COMPUTED_VALUE"""),"OPERATIVO PMT")</f>
        <v>OPERATIVO PMT</v>
      </c>
      <c r="AD343" s="64" t="str">
        <f>IFERROR(__xludf.DUMMYFUNCTION("""COMPUTED_VALUE"""),"APOYO A DIGEF")</f>
        <v>APOYO A DIGEF</v>
      </c>
      <c r="AE343" s="64" t="str">
        <f>IFERROR(__xludf.DUMMYFUNCTION("""COMPUTED_VALUE"""),"OPERATIVO PNC TRANSITO")</f>
        <v>OPERATIVO PNC TRANSITO</v>
      </c>
      <c r="AF343" s="64" t="str">
        <f>IFERROR(__xludf.DUMMYFUNCTION("""COMPUTED_VALUE"""),"SOBRECARGA ")</f>
        <v>SOBRECARGA </v>
      </c>
      <c r="AG343" s="64" t="str">
        <f>IFERROR(__xludf.DUMMYFUNCTION("""COMPUTED_VALUE"""),"OPERATIVO EN CONJUNTO")</f>
        <v>OPERATIVO EN CONJUNTO</v>
      </c>
      <c r="AH343" s="64" t="str">
        <f>IFERROR(__xludf.DUMMYFUNCTION("""COMPUTED_VALUE"""),"PUESTO DE ATENCION AL USUARIO")</f>
        <v>PUESTO DE ATENCION AL USUARIO</v>
      </c>
      <c r="AI343" s="64" t="str">
        <f>IFERROR(__xludf.DUMMYFUNCTION("""COMPUTED_VALUE"""),"INCENDIO EN RUTA")</f>
        <v>INCENDIO EN RUTA</v>
      </c>
      <c r="AJ343" s="64" t="str">
        <f>IFERROR(__xludf.DUMMYFUNCTION("""COMPUTED_VALUE"""),"APOYO ANTORCHA ")</f>
        <v>APOYO ANTORCHA </v>
      </c>
    </row>
    <row r="344">
      <c r="B344" s="64" t="s">
        <v>38</v>
      </c>
      <c r="C344" s="64" t="str">
        <f>IFERROR(__xludf.DUMMYFUNCTION(" TRANSPOSE( unique ( QUERY(DATOPRO,""select Col2 where Col1 = '""&amp;B344&amp;""'"")))"),"ATAQUE ARMADO")</f>
        <v>ATAQUE ARMADO</v>
      </c>
      <c r="D344" s="64" t="str">
        <f>IFERROR(__xludf.DUMMYFUNCTION("""COMPUTED_VALUE"""),"DESBALANCE DE CARGA")</f>
        <v>DESBALANCE DE CARGA</v>
      </c>
      <c r="E344" s="64" t="str">
        <f>IFERROR(__xludf.DUMMYFUNCTION("""COMPUTED_VALUE"""),"PERSONA FALLECIDA")</f>
        <v>PERSONA FALLECIDA</v>
      </c>
      <c r="F344" s="64" t="str">
        <f>IFERROR(__xludf.DUMMYFUNCTION("""COMPUTED_VALUE"""),"DESPRENDIMIENTO DE NEUMATICO")</f>
        <v>DESPRENDIMIENTO DE NEUMATICO</v>
      </c>
      <c r="G344" s="64" t="str">
        <f>IFERROR(__xludf.DUMMYFUNCTION("""COMPUTED_VALUE"""),"SALIDA DE PISTA")</f>
        <v>SALIDA DE PISTA</v>
      </c>
      <c r="H344" s="64" t="str">
        <f>IFERROR(__xludf.DUMMYFUNCTION("""COMPUTED_VALUE"""),"DESPRENDIMIENTO DE CONTENEDOR")</f>
        <v>DESPRENDIMIENTO DE CONTENEDOR</v>
      </c>
      <c r="I344" s="64" t="str">
        <f>IFERROR(__xludf.DUMMYFUNCTION("""COMPUTED_VALUE"""),"CAÍDA DE CARGA")</f>
        <v>CAÍDA DE CARGA</v>
      </c>
      <c r="J344" s="64" t="str">
        <f>IFERROR(__xludf.DUMMYFUNCTION("""COMPUTED_VALUE"""),"CHOQUE")</f>
        <v>CHOQUE</v>
      </c>
      <c r="K344" s="64" t="str">
        <f>IFERROR(__xludf.DUMMYFUNCTION("""COMPUTED_VALUE"""),"COLISIÓN")</f>
        <v>COLISIÓN</v>
      </c>
      <c r="L344" s="64" t="str">
        <f>IFERROR(__xludf.DUMMYFUNCTION("""COMPUTED_VALUE"""),"COLISIÓN MÚLTIPLE")</f>
        <v>COLISIÓN MÚLTIPLE</v>
      </c>
      <c r="M344" s="64" t="str">
        <f>IFERROR(__xludf.DUMMYFUNCTION("""COMPUTED_VALUE"""),"DERRAPE")</f>
        <v>DERRAPE</v>
      </c>
      <c r="N344" s="64" t="str">
        <f>IFERROR(__xludf.DUMMYFUNCTION("""COMPUTED_VALUE"""),"VEHÍCULO INCENDIADO")</f>
        <v>VEHÍCULO INCENDIADO</v>
      </c>
      <c r="O344" s="64" t="str">
        <f>IFERROR(__xludf.DUMMYFUNCTION("""COMPUTED_VALUE"""),"VUELCO")</f>
        <v>VUELCO</v>
      </c>
      <c r="P344" s="64" t="str">
        <f>IFERROR(__xludf.DUMMYFUNCTION("""COMPUTED_VALUE"""),"DESPRENDIMIENTO")</f>
        <v>DESPRENDIMIENTO</v>
      </c>
      <c r="Q344" s="64" t="str">
        <f>IFERROR(__xludf.DUMMYFUNCTION("""COMPUTED_VALUE"""),"CAÍDA DE ÁRBOL")</f>
        <v>CAÍDA DE ÁRBOL</v>
      </c>
      <c r="R344" s="64" t="str">
        <f>IFERROR(__xludf.DUMMYFUNCTION("""COMPUTED_VALUE"""),"DESPRENDIMIENTO DE EJE")</f>
        <v>DESPRENDIMIENTO DE EJE</v>
      </c>
      <c r="S344" s="64" t="str">
        <f>IFERROR(__xludf.DUMMYFUNCTION("""COMPUTED_VALUE"""),"PERSONA ATROPELLADA")</f>
        <v>PERSONA ATROPELLADA</v>
      </c>
    </row>
    <row r="345">
      <c r="B345" s="64" t="s">
        <v>54</v>
      </c>
      <c r="C345" s="64" t="str">
        <f>IFERROR(__xludf.DUMMYFUNCTION(" TRANSPOSE( unique ( QUERY(DATOPRO,""select Col2 where Col1 = '""&amp;B345&amp;""'"")))"),"PINCHAZO")</f>
        <v>PINCHAZO</v>
      </c>
      <c r="D345" s="64" t="str">
        <f>IFERROR(__xludf.DUMMYFUNCTION("""COMPUTED_VALUE"""),"TRABAJOS DE CARRETERA")</f>
        <v>TRABAJOS DE CARRETERA</v>
      </c>
      <c r="E345" s="64" t="str">
        <f>IFERROR(__xludf.DUMMYFUNCTION("""COMPUTED_VALUE"""),"CONSIGNACIÓN")</f>
        <v>CONSIGNACIÓN</v>
      </c>
      <c r="F345" s="64" t="str">
        <f>IFERROR(__xludf.DUMMYFUNCTION("""COMPUTED_VALUE"""),"DERRAME")</f>
        <v>DERRAME</v>
      </c>
      <c r="G345" s="64" t="str">
        <f>IFERROR(__xludf.DUMMYFUNCTION("""COMPUTED_VALUE"""),"CALENTAMIENTO")</f>
        <v>CALENTAMIENTO</v>
      </c>
      <c r="H345" s="64" t="str">
        <f>IFERROR(__xludf.DUMMYFUNCTION("""COMPUTED_VALUE"""),"ESCOLTANDO")</f>
        <v>ESCOLTANDO</v>
      </c>
      <c r="I345" s="64" t="str">
        <f>IFERROR(__xludf.DUMMYFUNCTION("""COMPUTED_VALUE"""),"FALTA DE COMBUSTIBLE")</f>
        <v>FALTA DE COMBUSTIBLE</v>
      </c>
      <c r="J345" s="64" t="str">
        <f>IFERROR(__xludf.DUMMYFUNCTION("""COMPUTED_VALUE"""),"DESPERFECTOS MECÁNICOS")</f>
        <v>DESPERFECTOS MECÁNICOS</v>
      </c>
      <c r="K345" s="64" t="str">
        <f>IFERROR(__xludf.DUMMYFUNCTION("""COMPUTED_VALUE"""),"LLAMADA DE ATENCIÓN")</f>
        <v>LLAMADA DE ATENCIÓN</v>
      </c>
      <c r="L345" s="64" t="str">
        <f>IFERROR(__xludf.DUMMYFUNCTION("""COMPUTED_VALUE"""),"OPERATIVOS")</f>
        <v>OPERATIVOS</v>
      </c>
      <c r="M345" s="64" t="str">
        <f>IFERROR(__xludf.DUMMYFUNCTION("""COMPUTED_VALUE"""),"SANCIÓN")</f>
        <v>SANCIÓN</v>
      </c>
      <c r="N345" s="64" t="str">
        <f>IFERROR(__xludf.DUMMYFUNCTION("""COMPUTED_VALUE"""),"SISTEMA ELECTRICO")</f>
        <v>SISTEMA ELECTRICO</v>
      </c>
      <c r="O345" s="64" t="str">
        <f>IFERROR(__xludf.DUMMYFUNCTION("""COMPUTED_VALUE"""),"ASISTENCIA AL USUARIO")</f>
        <v>ASISTENCIA AL USUARIO</v>
      </c>
      <c r="P345" s="64" t="str">
        <f>IFERROR(__xludf.DUMMYFUNCTION("""COMPUTED_VALUE"""),"DOBLE REMOLQUE")</f>
        <v>DOBLE REMOLQUE</v>
      </c>
      <c r="Q345" s="64" t="str">
        <f>IFERROR(__xludf.DUMMYFUNCTION("""COMPUTED_VALUE"""),"SINAPRESE")</f>
        <v>SINAPRESE</v>
      </c>
      <c r="R345" s="64" t="str">
        <f>IFERROR(__xludf.DUMMYFUNCTION("""COMPUTED_VALUE"""),"APOYO ATLETISMO")</f>
        <v>APOYO ATLETISMO</v>
      </c>
      <c r="S345" s="64" t="str">
        <f>IFERROR(__xludf.DUMMYFUNCTION("""COMPUTED_VALUE"""),"APOYO A CICLISMO")</f>
        <v>APOYO A CICLISMO</v>
      </c>
      <c r="T345" s="64" t="str">
        <f>IFERROR(__xludf.DUMMYFUNCTION("""COMPUTED_VALUE"""),"DESCARGA DE BATERÍA")</f>
        <v>DESCARGA DE BATERÍA</v>
      </c>
      <c r="U345" s="64" t="str">
        <f>IFERROR(__xludf.DUMMYFUNCTION("""COMPUTED_VALUE"""),"PROBLEMAS DE SALUD")</f>
        <v>PROBLEMAS DE SALUD</v>
      </c>
      <c r="V345" s="64" t="str">
        <f>IFERROR(__xludf.DUMMYFUNCTION("""COMPUTED_VALUE"""),"OLVIDO LA LLAVE")</f>
        <v>OLVIDO LA LLAVE</v>
      </c>
      <c r="W345" s="64" t="str">
        <f>IFERROR(__xludf.DUMMYFUNCTION("""COMPUTED_VALUE"""),"CARGA SOBREDIMENSIONADA")</f>
        <v>CARGA SOBREDIMENSIONADA</v>
      </c>
      <c r="X345" s="64" t="str">
        <f>IFERROR(__xludf.DUMMYFUNCTION("""COMPUTED_VALUE"""),"VEHÍCULO ABANDONADO")</f>
        <v>VEHÍCULO ABANDONADO</v>
      </c>
      <c r="Y345" s="64" t="str">
        <f>IFERROR(__xludf.DUMMYFUNCTION("""COMPUTED_VALUE"""),"DESPRENDIMIENTO")</f>
        <v>DESPRENDIMIENTO</v>
      </c>
      <c r="Z345" s="64" t="str">
        <f>IFERROR(__xludf.DUMMYFUNCTION("""COMPUTED_VALUE"""),"CAÍDA DE POSTE")</f>
        <v>CAÍDA DE POSTE</v>
      </c>
      <c r="AA345" s="64" t="str">
        <f>IFERROR(__xludf.DUMMYFUNCTION("""COMPUTED_VALUE"""),"CAÍDA DE RAMA")</f>
        <v>CAÍDA DE RAMA</v>
      </c>
      <c r="AB345" s="64" t="str">
        <f>IFERROR(__xludf.DUMMYFUNCTION("""COMPUTED_VALUE"""),"OPERATIVO DGT")</f>
        <v>OPERATIVO DGT</v>
      </c>
      <c r="AC345" s="64" t="str">
        <f>IFERROR(__xludf.DUMMYFUNCTION("""COMPUTED_VALUE"""),"OPERATIVO PMT")</f>
        <v>OPERATIVO PMT</v>
      </c>
      <c r="AD345" s="64" t="str">
        <f>IFERROR(__xludf.DUMMYFUNCTION("""COMPUTED_VALUE"""),"APOYO A DIGEF")</f>
        <v>APOYO A DIGEF</v>
      </c>
      <c r="AE345" s="64" t="str">
        <f>IFERROR(__xludf.DUMMYFUNCTION("""COMPUTED_VALUE"""),"OPERATIVO PNC TRANSITO")</f>
        <v>OPERATIVO PNC TRANSITO</v>
      </c>
      <c r="AF345" s="64" t="str">
        <f>IFERROR(__xludf.DUMMYFUNCTION("""COMPUTED_VALUE"""),"SOBRECARGA ")</f>
        <v>SOBRECARGA </v>
      </c>
      <c r="AG345" s="64" t="str">
        <f>IFERROR(__xludf.DUMMYFUNCTION("""COMPUTED_VALUE"""),"OPERATIVO EN CONJUNTO")</f>
        <v>OPERATIVO EN CONJUNTO</v>
      </c>
      <c r="AH345" s="64" t="str">
        <f>IFERROR(__xludf.DUMMYFUNCTION("""COMPUTED_VALUE"""),"PUESTO DE ATENCION AL USUARIO")</f>
        <v>PUESTO DE ATENCION AL USUARIO</v>
      </c>
      <c r="AI345" s="64" t="str">
        <f>IFERROR(__xludf.DUMMYFUNCTION("""COMPUTED_VALUE"""),"INCENDIO EN RUTA")</f>
        <v>INCENDIO EN RUTA</v>
      </c>
      <c r="AJ345" s="64" t="str">
        <f>IFERROR(__xludf.DUMMYFUNCTION("""COMPUTED_VALUE"""),"APOYO ANTORCHA ")</f>
        <v>APOYO ANTORCHA </v>
      </c>
    </row>
    <row r="346">
      <c r="B346" s="64" t="s">
        <v>54</v>
      </c>
      <c r="C346" s="64" t="str">
        <f>IFERROR(__xludf.DUMMYFUNCTION(" TRANSPOSE( unique ( QUERY(DATOPRO,""select Col2 where Col1 = '""&amp;B346&amp;""'"")))"),"PINCHAZO")</f>
        <v>PINCHAZO</v>
      </c>
      <c r="D346" s="64" t="str">
        <f>IFERROR(__xludf.DUMMYFUNCTION("""COMPUTED_VALUE"""),"TRABAJOS DE CARRETERA")</f>
        <v>TRABAJOS DE CARRETERA</v>
      </c>
      <c r="E346" s="64" t="str">
        <f>IFERROR(__xludf.DUMMYFUNCTION("""COMPUTED_VALUE"""),"CONSIGNACIÓN")</f>
        <v>CONSIGNACIÓN</v>
      </c>
      <c r="F346" s="64" t="str">
        <f>IFERROR(__xludf.DUMMYFUNCTION("""COMPUTED_VALUE"""),"DERRAME")</f>
        <v>DERRAME</v>
      </c>
      <c r="G346" s="64" t="str">
        <f>IFERROR(__xludf.DUMMYFUNCTION("""COMPUTED_VALUE"""),"CALENTAMIENTO")</f>
        <v>CALENTAMIENTO</v>
      </c>
      <c r="H346" s="64" t="str">
        <f>IFERROR(__xludf.DUMMYFUNCTION("""COMPUTED_VALUE"""),"ESCOLTANDO")</f>
        <v>ESCOLTANDO</v>
      </c>
      <c r="I346" s="64" t="str">
        <f>IFERROR(__xludf.DUMMYFUNCTION("""COMPUTED_VALUE"""),"FALTA DE COMBUSTIBLE")</f>
        <v>FALTA DE COMBUSTIBLE</v>
      </c>
      <c r="J346" s="64" t="str">
        <f>IFERROR(__xludf.DUMMYFUNCTION("""COMPUTED_VALUE"""),"DESPERFECTOS MECÁNICOS")</f>
        <v>DESPERFECTOS MECÁNICOS</v>
      </c>
      <c r="K346" s="64" t="str">
        <f>IFERROR(__xludf.DUMMYFUNCTION("""COMPUTED_VALUE"""),"LLAMADA DE ATENCIÓN")</f>
        <v>LLAMADA DE ATENCIÓN</v>
      </c>
      <c r="L346" s="64" t="str">
        <f>IFERROR(__xludf.DUMMYFUNCTION("""COMPUTED_VALUE"""),"OPERATIVOS")</f>
        <v>OPERATIVOS</v>
      </c>
      <c r="M346" s="64" t="str">
        <f>IFERROR(__xludf.DUMMYFUNCTION("""COMPUTED_VALUE"""),"SANCIÓN")</f>
        <v>SANCIÓN</v>
      </c>
      <c r="N346" s="64" t="str">
        <f>IFERROR(__xludf.DUMMYFUNCTION("""COMPUTED_VALUE"""),"SISTEMA ELECTRICO")</f>
        <v>SISTEMA ELECTRICO</v>
      </c>
      <c r="O346" s="64" t="str">
        <f>IFERROR(__xludf.DUMMYFUNCTION("""COMPUTED_VALUE"""),"ASISTENCIA AL USUARIO")</f>
        <v>ASISTENCIA AL USUARIO</v>
      </c>
      <c r="P346" s="64" t="str">
        <f>IFERROR(__xludf.DUMMYFUNCTION("""COMPUTED_VALUE"""),"DOBLE REMOLQUE")</f>
        <v>DOBLE REMOLQUE</v>
      </c>
      <c r="Q346" s="64" t="str">
        <f>IFERROR(__xludf.DUMMYFUNCTION("""COMPUTED_VALUE"""),"SINAPRESE")</f>
        <v>SINAPRESE</v>
      </c>
      <c r="R346" s="64" t="str">
        <f>IFERROR(__xludf.DUMMYFUNCTION("""COMPUTED_VALUE"""),"APOYO ATLETISMO")</f>
        <v>APOYO ATLETISMO</v>
      </c>
      <c r="S346" s="64" t="str">
        <f>IFERROR(__xludf.DUMMYFUNCTION("""COMPUTED_VALUE"""),"APOYO A CICLISMO")</f>
        <v>APOYO A CICLISMO</v>
      </c>
      <c r="T346" s="64" t="str">
        <f>IFERROR(__xludf.DUMMYFUNCTION("""COMPUTED_VALUE"""),"DESCARGA DE BATERÍA")</f>
        <v>DESCARGA DE BATERÍA</v>
      </c>
      <c r="U346" s="64" t="str">
        <f>IFERROR(__xludf.DUMMYFUNCTION("""COMPUTED_VALUE"""),"PROBLEMAS DE SALUD")</f>
        <v>PROBLEMAS DE SALUD</v>
      </c>
      <c r="V346" s="64" t="str">
        <f>IFERROR(__xludf.DUMMYFUNCTION("""COMPUTED_VALUE"""),"OLVIDO LA LLAVE")</f>
        <v>OLVIDO LA LLAVE</v>
      </c>
      <c r="W346" s="64" t="str">
        <f>IFERROR(__xludf.DUMMYFUNCTION("""COMPUTED_VALUE"""),"CARGA SOBREDIMENSIONADA")</f>
        <v>CARGA SOBREDIMENSIONADA</v>
      </c>
      <c r="X346" s="64" t="str">
        <f>IFERROR(__xludf.DUMMYFUNCTION("""COMPUTED_VALUE"""),"VEHÍCULO ABANDONADO")</f>
        <v>VEHÍCULO ABANDONADO</v>
      </c>
      <c r="Y346" s="64" t="str">
        <f>IFERROR(__xludf.DUMMYFUNCTION("""COMPUTED_VALUE"""),"DESPRENDIMIENTO")</f>
        <v>DESPRENDIMIENTO</v>
      </c>
      <c r="Z346" s="64" t="str">
        <f>IFERROR(__xludf.DUMMYFUNCTION("""COMPUTED_VALUE"""),"CAÍDA DE POSTE")</f>
        <v>CAÍDA DE POSTE</v>
      </c>
      <c r="AA346" s="64" t="str">
        <f>IFERROR(__xludf.DUMMYFUNCTION("""COMPUTED_VALUE"""),"CAÍDA DE RAMA")</f>
        <v>CAÍDA DE RAMA</v>
      </c>
      <c r="AB346" s="64" t="str">
        <f>IFERROR(__xludf.DUMMYFUNCTION("""COMPUTED_VALUE"""),"OPERATIVO DGT")</f>
        <v>OPERATIVO DGT</v>
      </c>
      <c r="AC346" s="64" t="str">
        <f>IFERROR(__xludf.DUMMYFUNCTION("""COMPUTED_VALUE"""),"OPERATIVO PMT")</f>
        <v>OPERATIVO PMT</v>
      </c>
      <c r="AD346" s="64" t="str">
        <f>IFERROR(__xludf.DUMMYFUNCTION("""COMPUTED_VALUE"""),"APOYO A DIGEF")</f>
        <v>APOYO A DIGEF</v>
      </c>
      <c r="AE346" s="64" t="str">
        <f>IFERROR(__xludf.DUMMYFUNCTION("""COMPUTED_VALUE"""),"OPERATIVO PNC TRANSITO")</f>
        <v>OPERATIVO PNC TRANSITO</v>
      </c>
      <c r="AF346" s="64" t="str">
        <f>IFERROR(__xludf.DUMMYFUNCTION("""COMPUTED_VALUE"""),"SOBRECARGA ")</f>
        <v>SOBRECARGA </v>
      </c>
      <c r="AG346" s="64" t="str">
        <f>IFERROR(__xludf.DUMMYFUNCTION("""COMPUTED_VALUE"""),"OPERATIVO EN CONJUNTO")</f>
        <v>OPERATIVO EN CONJUNTO</v>
      </c>
      <c r="AH346" s="64" t="str">
        <f>IFERROR(__xludf.DUMMYFUNCTION("""COMPUTED_VALUE"""),"PUESTO DE ATENCION AL USUARIO")</f>
        <v>PUESTO DE ATENCION AL USUARIO</v>
      </c>
      <c r="AI346" s="64" t="str">
        <f>IFERROR(__xludf.DUMMYFUNCTION("""COMPUTED_VALUE"""),"INCENDIO EN RUTA")</f>
        <v>INCENDIO EN RUTA</v>
      </c>
      <c r="AJ346" s="64" t="str">
        <f>IFERROR(__xludf.DUMMYFUNCTION("""COMPUTED_VALUE"""),"APOYO ANTORCHA ")</f>
        <v>APOYO ANTORCHA </v>
      </c>
    </row>
    <row r="347">
      <c r="B347" s="64" t="s">
        <v>54</v>
      </c>
      <c r="C347" s="64" t="str">
        <f>IFERROR(__xludf.DUMMYFUNCTION(" TRANSPOSE( unique ( QUERY(DATOPRO,""select Col2 where Col1 = '""&amp;B347&amp;""'"")))"),"PINCHAZO")</f>
        <v>PINCHAZO</v>
      </c>
      <c r="D347" s="64" t="str">
        <f>IFERROR(__xludf.DUMMYFUNCTION("""COMPUTED_VALUE"""),"TRABAJOS DE CARRETERA")</f>
        <v>TRABAJOS DE CARRETERA</v>
      </c>
      <c r="E347" s="64" t="str">
        <f>IFERROR(__xludf.DUMMYFUNCTION("""COMPUTED_VALUE"""),"CONSIGNACIÓN")</f>
        <v>CONSIGNACIÓN</v>
      </c>
      <c r="F347" s="64" t="str">
        <f>IFERROR(__xludf.DUMMYFUNCTION("""COMPUTED_VALUE"""),"DERRAME")</f>
        <v>DERRAME</v>
      </c>
      <c r="G347" s="64" t="str">
        <f>IFERROR(__xludf.DUMMYFUNCTION("""COMPUTED_VALUE"""),"CALENTAMIENTO")</f>
        <v>CALENTAMIENTO</v>
      </c>
      <c r="H347" s="64" t="str">
        <f>IFERROR(__xludf.DUMMYFUNCTION("""COMPUTED_VALUE"""),"ESCOLTANDO")</f>
        <v>ESCOLTANDO</v>
      </c>
      <c r="I347" s="64" t="str">
        <f>IFERROR(__xludf.DUMMYFUNCTION("""COMPUTED_VALUE"""),"FALTA DE COMBUSTIBLE")</f>
        <v>FALTA DE COMBUSTIBLE</v>
      </c>
      <c r="J347" s="64" t="str">
        <f>IFERROR(__xludf.DUMMYFUNCTION("""COMPUTED_VALUE"""),"DESPERFECTOS MECÁNICOS")</f>
        <v>DESPERFECTOS MECÁNICOS</v>
      </c>
      <c r="K347" s="64" t="str">
        <f>IFERROR(__xludf.DUMMYFUNCTION("""COMPUTED_VALUE"""),"LLAMADA DE ATENCIÓN")</f>
        <v>LLAMADA DE ATENCIÓN</v>
      </c>
      <c r="L347" s="64" t="str">
        <f>IFERROR(__xludf.DUMMYFUNCTION("""COMPUTED_VALUE"""),"OPERATIVOS")</f>
        <v>OPERATIVOS</v>
      </c>
      <c r="M347" s="64" t="str">
        <f>IFERROR(__xludf.DUMMYFUNCTION("""COMPUTED_VALUE"""),"SANCIÓN")</f>
        <v>SANCIÓN</v>
      </c>
      <c r="N347" s="64" t="str">
        <f>IFERROR(__xludf.DUMMYFUNCTION("""COMPUTED_VALUE"""),"SISTEMA ELECTRICO")</f>
        <v>SISTEMA ELECTRICO</v>
      </c>
      <c r="O347" s="64" t="str">
        <f>IFERROR(__xludf.DUMMYFUNCTION("""COMPUTED_VALUE"""),"ASISTENCIA AL USUARIO")</f>
        <v>ASISTENCIA AL USUARIO</v>
      </c>
      <c r="P347" s="64" t="str">
        <f>IFERROR(__xludf.DUMMYFUNCTION("""COMPUTED_VALUE"""),"DOBLE REMOLQUE")</f>
        <v>DOBLE REMOLQUE</v>
      </c>
      <c r="Q347" s="64" t="str">
        <f>IFERROR(__xludf.DUMMYFUNCTION("""COMPUTED_VALUE"""),"SINAPRESE")</f>
        <v>SINAPRESE</v>
      </c>
      <c r="R347" s="64" t="str">
        <f>IFERROR(__xludf.DUMMYFUNCTION("""COMPUTED_VALUE"""),"APOYO ATLETISMO")</f>
        <v>APOYO ATLETISMO</v>
      </c>
      <c r="S347" s="64" t="str">
        <f>IFERROR(__xludf.DUMMYFUNCTION("""COMPUTED_VALUE"""),"APOYO A CICLISMO")</f>
        <v>APOYO A CICLISMO</v>
      </c>
      <c r="T347" s="64" t="str">
        <f>IFERROR(__xludf.DUMMYFUNCTION("""COMPUTED_VALUE"""),"DESCARGA DE BATERÍA")</f>
        <v>DESCARGA DE BATERÍA</v>
      </c>
      <c r="U347" s="64" t="str">
        <f>IFERROR(__xludf.DUMMYFUNCTION("""COMPUTED_VALUE"""),"PROBLEMAS DE SALUD")</f>
        <v>PROBLEMAS DE SALUD</v>
      </c>
      <c r="V347" s="64" t="str">
        <f>IFERROR(__xludf.DUMMYFUNCTION("""COMPUTED_VALUE"""),"OLVIDO LA LLAVE")</f>
        <v>OLVIDO LA LLAVE</v>
      </c>
      <c r="W347" s="64" t="str">
        <f>IFERROR(__xludf.DUMMYFUNCTION("""COMPUTED_VALUE"""),"CARGA SOBREDIMENSIONADA")</f>
        <v>CARGA SOBREDIMENSIONADA</v>
      </c>
      <c r="X347" s="64" t="str">
        <f>IFERROR(__xludf.DUMMYFUNCTION("""COMPUTED_VALUE"""),"VEHÍCULO ABANDONADO")</f>
        <v>VEHÍCULO ABANDONADO</v>
      </c>
      <c r="Y347" s="64" t="str">
        <f>IFERROR(__xludf.DUMMYFUNCTION("""COMPUTED_VALUE"""),"DESPRENDIMIENTO")</f>
        <v>DESPRENDIMIENTO</v>
      </c>
      <c r="Z347" s="64" t="str">
        <f>IFERROR(__xludf.DUMMYFUNCTION("""COMPUTED_VALUE"""),"CAÍDA DE POSTE")</f>
        <v>CAÍDA DE POSTE</v>
      </c>
      <c r="AA347" s="64" t="str">
        <f>IFERROR(__xludf.DUMMYFUNCTION("""COMPUTED_VALUE"""),"CAÍDA DE RAMA")</f>
        <v>CAÍDA DE RAMA</v>
      </c>
      <c r="AB347" s="64" t="str">
        <f>IFERROR(__xludf.DUMMYFUNCTION("""COMPUTED_VALUE"""),"OPERATIVO DGT")</f>
        <v>OPERATIVO DGT</v>
      </c>
      <c r="AC347" s="64" t="str">
        <f>IFERROR(__xludf.DUMMYFUNCTION("""COMPUTED_VALUE"""),"OPERATIVO PMT")</f>
        <v>OPERATIVO PMT</v>
      </c>
      <c r="AD347" s="64" t="str">
        <f>IFERROR(__xludf.DUMMYFUNCTION("""COMPUTED_VALUE"""),"APOYO A DIGEF")</f>
        <v>APOYO A DIGEF</v>
      </c>
      <c r="AE347" s="64" t="str">
        <f>IFERROR(__xludf.DUMMYFUNCTION("""COMPUTED_VALUE"""),"OPERATIVO PNC TRANSITO")</f>
        <v>OPERATIVO PNC TRANSITO</v>
      </c>
      <c r="AF347" s="64" t="str">
        <f>IFERROR(__xludf.DUMMYFUNCTION("""COMPUTED_VALUE"""),"SOBRECARGA ")</f>
        <v>SOBRECARGA </v>
      </c>
      <c r="AG347" s="64" t="str">
        <f>IFERROR(__xludf.DUMMYFUNCTION("""COMPUTED_VALUE"""),"OPERATIVO EN CONJUNTO")</f>
        <v>OPERATIVO EN CONJUNTO</v>
      </c>
      <c r="AH347" s="64" t="str">
        <f>IFERROR(__xludf.DUMMYFUNCTION("""COMPUTED_VALUE"""),"PUESTO DE ATENCION AL USUARIO")</f>
        <v>PUESTO DE ATENCION AL USUARIO</v>
      </c>
      <c r="AI347" s="64" t="str">
        <f>IFERROR(__xludf.DUMMYFUNCTION("""COMPUTED_VALUE"""),"INCENDIO EN RUTA")</f>
        <v>INCENDIO EN RUTA</v>
      </c>
      <c r="AJ347" s="64" t="str">
        <f>IFERROR(__xludf.DUMMYFUNCTION("""COMPUTED_VALUE"""),"APOYO ANTORCHA ")</f>
        <v>APOYO ANTORCHA </v>
      </c>
    </row>
    <row r="348">
      <c r="B348" s="64" t="s">
        <v>54</v>
      </c>
      <c r="C348" s="64" t="str">
        <f>IFERROR(__xludf.DUMMYFUNCTION(" TRANSPOSE( unique ( QUERY(DATOPRO,""select Col2 where Col1 = '""&amp;B348&amp;""'"")))"),"PINCHAZO")</f>
        <v>PINCHAZO</v>
      </c>
      <c r="D348" s="64" t="str">
        <f>IFERROR(__xludf.DUMMYFUNCTION("""COMPUTED_VALUE"""),"TRABAJOS DE CARRETERA")</f>
        <v>TRABAJOS DE CARRETERA</v>
      </c>
      <c r="E348" s="64" t="str">
        <f>IFERROR(__xludf.DUMMYFUNCTION("""COMPUTED_VALUE"""),"CONSIGNACIÓN")</f>
        <v>CONSIGNACIÓN</v>
      </c>
      <c r="F348" s="64" t="str">
        <f>IFERROR(__xludf.DUMMYFUNCTION("""COMPUTED_VALUE"""),"DERRAME")</f>
        <v>DERRAME</v>
      </c>
      <c r="G348" s="64" t="str">
        <f>IFERROR(__xludf.DUMMYFUNCTION("""COMPUTED_VALUE"""),"CALENTAMIENTO")</f>
        <v>CALENTAMIENTO</v>
      </c>
      <c r="H348" s="64" t="str">
        <f>IFERROR(__xludf.DUMMYFUNCTION("""COMPUTED_VALUE"""),"ESCOLTANDO")</f>
        <v>ESCOLTANDO</v>
      </c>
      <c r="I348" s="64" t="str">
        <f>IFERROR(__xludf.DUMMYFUNCTION("""COMPUTED_VALUE"""),"FALTA DE COMBUSTIBLE")</f>
        <v>FALTA DE COMBUSTIBLE</v>
      </c>
      <c r="J348" s="64" t="str">
        <f>IFERROR(__xludf.DUMMYFUNCTION("""COMPUTED_VALUE"""),"DESPERFECTOS MECÁNICOS")</f>
        <v>DESPERFECTOS MECÁNICOS</v>
      </c>
      <c r="K348" s="64" t="str">
        <f>IFERROR(__xludf.DUMMYFUNCTION("""COMPUTED_VALUE"""),"LLAMADA DE ATENCIÓN")</f>
        <v>LLAMADA DE ATENCIÓN</v>
      </c>
      <c r="L348" s="64" t="str">
        <f>IFERROR(__xludf.DUMMYFUNCTION("""COMPUTED_VALUE"""),"OPERATIVOS")</f>
        <v>OPERATIVOS</v>
      </c>
      <c r="M348" s="64" t="str">
        <f>IFERROR(__xludf.DUMMYFUNCTION("""COMPUTED_VALUE"""),"SANCIÓN")</f>
        <v>SANCIÓN</v>
      </c>
      <c r="N348" s="64" t="str">
        <f>IFERROR(__xludf.DUMMYFUNCTION("""COMPUTED_VALUE"""),"SISTEMA ELECTRICO")</f>
        <v>SISTEMA ELECTRICO</v>
      </c>
      <c r="O348" s="64" t="str">
        <f>IFERROR(__xludf.DUMMYFUNCTION("""COMPUTED_VALUE"""),"ASISTENCIA AL USUARIO")</f>
        <v>ASISTENCIA AL USUARIO</v>
      </c>
      <c r="P348" s="64" t="str">
        <f>IFERROR(__xludf.DUMMYFUNCTION("""COMPUTED_VALUE"""),"DOBLE REMOLQUE")</f>
        <v>DOBLE REMOLQUE</v>
      </c>
      <c r="Q348" s="64" t="str">
        <f>IFERROR(__xludf.DUMMYFUNCTION("""COMPUTED_VALUE"""),"SINAPRESE")</f>
        <v>SINAPRESE</v>
      </c>
      <c r="R348" s="64" t="str">
        <f>IFERROR(__xludf.DUMMYFUNCTION("""COMPUTED_VALUE"""),"APOYO ATLETISMO")</f>
        <v>APOYO ATLETISMO</v>
      </c>
      <c r="S348" s="64" t="str">
        <f>IFERROR(__xludf.DUMMYFUNCTION("""COMPUTED_VALUE"""),"APOYO A CICLISMO")</f>
        <v>APOYO A CICLISMO</v>
      </c>
      <c r="T348" s="64" t="str">
        <f>IFERROR(__xludf.DUMMYFUNCTION("""COMPUTED_VALUE"""),"DESCARGA DE BATERÍA")</f>
        <v>DESCARGA DE BATERÍA</v>
      </c>
      <c r="U348" s="64" t="str">
        <f>IFERROR(__xludf.DUMMYFUNCTION("""COMPUTED_VALUE"""),"PROBLEMAS DE SALUD")</f>
        <v>PROBLEMAS DE SALUD</v>
      </c>
      <c r="V348" s="64" t="str">
        <f>IFERROR(__xludf.DUMMYFUNCTION("""COMPUTED_VALUE"""),"OLVIDO LA LLAVE")</f>
        <v>OLVIDO LA LLAVE</v>
      </c>
      <c r="W348" s="64" t="str">
        <f>IFERROR(__xludf.DUMMYFUNCTION("""COMPUTED_VALUE"""),"CARGA SOBREDIMENSIONADA")</f>
        <v>CARGA SOBREDIMENSIONADA</v>
      </c>
      <c r="X348" s="64" t="str">
        <f>IFERROR(__xludf.DUMMYFUNCTION("""COMPUTED_VALUE"""),"VEHÍCULO ABANDONADO")</f>
        <v>VEHÍCULO ABANDONADO</v>
      </c>
      <c r="Y348" s="64" t="str">
        <f>IFERROR(__xludf.DUMMYFUNCTION("""COMPUTED_VALUE"""),"DESPRENDIMIENTO")</f>
        <v>DESPRENDIMIENTO</v>
      </c>
      <c r="Z348" s="64" t="str">
        <f>IFERROR(__xludf.DUMMYFUNCTION("""COMPUTED_VALUE"""),"CAÍDA DE POSTE")</f>
        <v>CAÍDA DE POSTE</v>
      </c>
      <c r="AA348" s="64" t="str">
        <f>IFERROR(__xludf.DUMMYFUNCTION("""COMPUTED_VALUE"""),"CAÍDA DE RAMA")</f>
        <v>CAÍDA DE RAMA</v>
      </c>
      <c r="AB348" s="64" t="str">
        <f>IFERROR(__xludf.DUMMYFUNCTION("""COMPUTED_VALUE"""),"OPERATIVO DGT")</f>
        <v>OPERATIVO DGT</v>
      </c>
      <c r="AC348" s="64" t="str">
        <f>IFERROR(__xludf.DUMMYFUNCTION("""COMPUTED_VALUE"""),"OPERATIVO PMT")</f>
        <v>OPERATIVO PMT</v>
      </c>
      <c r="AD348" s="64" t="str">
        <f>IFERROR(__xludf.DUMMYFUNCTION("""COMPUTED_VALUE"""),"APOYO A DIGEF")</f>
        <v>APOYO A DIGEF</v>
      </c>
      <c r="AE348" s="64" t="str">
        <f>IFERROR(__xludf.DUMMYFUNCTION("""COMPUTED_VALUE"""),"OPERATIVO PNC TRANSITO")</f>
        <v>OPERATIVO PNC TRANSITO</v>
      </c>
      <c r="AF348" s="64" t="str">
        <f>IFERROR(__xludf.DUMMYFUNCTION("""COMPUTED_VALUE"""),"SOBRECARGA ")</f>
        <v>SOBRECARGA </v>
      </c>
      <c r="AG348" s="64" t="str">
        <f>IFERROR(__xludf.DUMMYFUNCTION("""COMPUTED_VALUE"""),"OPERATIVO EN CONJUNTO")</f>
        <v>OPERATIVO EN CONJUNTO</v>
      </c>
      <c r="AH348" s="64" t="str">
        <f>IFERROR(__xludf.DUMMYFUNCTION("""COMPUTED_VALUE"""),"PUESTO DE ATENCION AL USUARIO")</f>
        <v>PUESTO DE ATENCION AL USUARIO</v>
      </c>
      <c r="AI348" s="64" t="str">
        <f>IFERROR(__xludf.DUMMYFUNCTION("""COMPUTED_VALUE"""),"INCENDIO EN RUTA")</f>
        <v>INCENDIO EN RUTA</v>
      </c>
      <c r="AJ348" s="64" t="str">
        <f>IFERROR(__xludf.DUMMYFUNCTION("""COMPUTED_VALUE"""),"APOYO ANTORCHA ")</f>
        <v>APOYO ANTORCHA </v>
      </c>
    </row>
    <row r="349">
      <c r="B349" s="64" t="s">
        <v>38</v>
      </c>
      <c r="C349" s="64" t="str">
        <f>IFERROR(__xludf.DUMMYFUNCTION(" TRANSPOSE( unique ( QUERY(DATOPRO,""select Col2 where Col1 = '""&amp;B349&amp;""'"")))"),"ATAQUE ARMADO")</f>
        <v>ATAQUE ARMADO</v>
      </c>
      <c r="D349" s="64" t="str">
        <f>IFERROR(__xludf.DUMMYFUNCTION("""COMPUTED_VALUE"""),"DESBALANCE DE CARGA")</f>
        <v>DESBALANCE DE CARGA</v>
      </c>
      <c r="E349" s="64" t="str">
        <f>IFERROR(__xludf.DUMMYFUNCTION("""COMPUTED_VALUE"""),"PERSONA FALLECIDA")</f>
        <v>PERSONA FALLECIDA</v>
      </c>
      <c r="F349" s="64" t="str">
        <f>IFERROR(__xludf.DUMMYFUNCTION("""COMPUTED_VALUE"""),"DESPRENDIMIENTO DE NEUMATICO")</f>
        <v>DESPRENDIMIENTO DE NEUMATICO</v>
      </c>
      <c r="G349" s="64" t="str">
        <f>IFERROR(__xludf.DUMMYFUNCTION("""COMPUTED_VALUE"""),"SALIDA DE PISTA")</f>
        <v>SALIDA DE PISTA</v>
      </c>
      <c r="H349" s="64" t="str">
        <f>IFERROR(__xludf.DUMMYFUNCTION("""COMPUTED_VALUE"""),"DESPRENDIMIENTO DE CONTENEDOR")</f>
        <v>DESPRENDIMIENTO DE CONTENEDOR</v>
      </c>
      <c r="I349" s="64" t="str">
        <f>IFERROR(__xludf.DUMMYFUNCTION("""COMPUTED_VALUE"""),"CAÍDA DE CARGA")</f>
        <v>CAÍDA DE CARGA</v>
      </c>
      <c r="J349" s="64" t="str">
        <f>IFERROR(__xludf.DUMMYFUNCTION("""COMPUTED_VALUE"""),"CHOQUE")</f>
        <v>CHOQUE</v>
      </c>
      <c r="K349" s="64" t="str">
        <f>IFERROR(__xludf.DUMMYFUNCTION("""COMPUTED_VALUE"""),"COLISIÓN")</f>
        <v>COLISIÓN</v>
      </c>
      <c r="L349" s="64" t="str">
        <f>IFERROR(__xludf.DUMMYFUNCTION("""COMPUTED_VALUE"""),"COLISIÓN MÚLTIPLE")</f>
        <v>COLISIÓN MÚLTIPLE</v>
      </c>
      <c r="M349" s="64" t="str">
        <f>IFERROR(__xludf.DUMMYFUNCTION("""COMPUTED_VALUE"""),"DERRAPE")</f>
        <v>DERRAPE</v>
      </c>
      <c r="N349" s="64" t="str">
        <f>IFERROR(__xludf.DUMMYFUNCTION("""COMPUTED_VALUE"""),"VEHÍCULO INCENDIADO")</f>
        <v>VEHÍCULO INCENDIADO</v>
      </c>
      <c r="O349" s="64" t="str">
        <f>IFERROR(__xludf.DUMMYFUNCTION("""COMPUTED_VALUE"""),"VUELCO")</f>
        <v>VUELCO</v>
      </c>
      <c r="P349" s="64" t="str">
        <f>IFERROR(__xludf.DUMMYFUNCTION("""COMPUTED_VALUE"""),"DESPRENDIMIENTO")</f>
        <v>DESPRENDIMIENTO</v>
      </c>
      <c r="Q349" s="64" t="str">
        <f>IFERROR(__xludf.DUMMYFUNCTION("""COMPUTED_VALUE"""),"CAÍDA DE ÁRBOL")</f>
        <v>CAÍDA DE ÁRBOL</v>
      </c>
      <c r="R349" s="64" t="str">
        <f>IFERROR(__xludf.DUMMYFUNCTION("""COMPUTED_VALUE"""),"DESPRENDIMIENTO DE EJE")</f>
        <v>DESPRENDIMIENTO DE EJE</v>
      </c>
      <c r="S349" s="64" t="str">
        <f>IFERROR(__xludf.DUMMYFUNCTION("""COMPUTED_VALUE"""),"PERSONA ATROPELLADA")</f>
        <v>PERSONA ATROPELLADA</v>
      </c>
    </row>
    <row r="350">
      <c r="B350" s="64" t="s">
        <v>54</v>
      </c>
      <c r="C350" s="64" t="str">
        <f>IFERROR(__xludf.DUMMYFUNCTION(" TRANSPOSE( unique ( QUERY(DATOPRO,""select Col2 where Col1 = '""&amp;B350&amp;""'"")))"),"PINCHAZO")</f>
        <v>PINCHAZO</v>
      </c>
      <c r="D350" s="64" t="str">
        <f>IFERROR(__xludf.DUMMYFUNCTION("""COMPUTED_VALUE"""),"TRABAJOS DE CARRETERA")</f>
        <v>TRABAJOS DE CARRETERA</v>
      </c>
      <c r="E350" s="64" t="str">
        <f>IFERROR(__xludf.DUMMYFUNCTION("""COMPUTED_VALUE"""),"CONSIGNACIÓN")</f>
        <v>CONSIGNACIÓN</v>
      </c>
      <c r="F350" s="64" t="str">
        <f>IFERROR(__xludf.DUMMYFUNCTION("""COMPUTED_VALUE"""),"DERRAME")</f>
        <v>DERRAME</v>
      </c>
      <c r="G350" s="64" t="str">
        <f>IFERROR(__xludf.DUMMYFUNCTION("""COMPUTED_VALUE"""),"CALENTAMIENTO")</f>
        <v>CALENTAMIENTO</v>
      </c>
      <c r="H350" s="64" t="str">
        <f>IFERROR(__xludf.DUMMYFUNCTION("""COMPUTED_VALUE"""),"ESCOLTANDO")</f>
        <v>ESCOLTANDO</v>
      </c>
      <c r="I350" s="64" t="str">
        <f>IFERROR(__xludf.DUMMYFUNCTION("""COMPUTED_VALUE"""),"FALTA DE COMBUSTIBLE")</f>
        <v>FALTA DE COMBUSTIBLE</v>
      </c>
      <c r="J350" s="64" t="str">
        <f>IFERROR(__xludf.DUMMYFUNCTION("""COMPUTED_VALUE"""),"DESPERFECTOS MECÁNICOS")</f>
        <v>DESPERFECTOS MECÁNICOS</v>
      </c>
      <c r="K350" s="64" t="str">
        <f>IFERROR(__xludf.DUMMYFUNCTION("""COMPUTED_VALUE"""),"LLAMADA DE ATENCIÓN")</f>
        <v>LLAMADA DE ATENCIÓN</v>
      </c>
      <c r="L350" s="64" t="str">
        <f>IFERROR(__xludf.DUMMYFUNCTION("""COMPUTED_VALUE"""),"OPERATIVOS")</f>
        <v>OPERATIVOS</v>
      </c>
      <c r="M350" s="64" t="str">
        <f>IFERROR(__xludf.DUMMYFUNCTION("""COMPUTED_VALUE"""),"SANCIÓN")</f>
        <v>SANCIÓN</v>
      </c>
      <c r="N350" s="64" t="str">
        <f>IFERROR(__xludf.DUMMYFUNCTION("""COMPUTED_VALUE"""),"SISTEMA ELECTRICO")</f>
        <v>SISTEMA ELECTRICO</v>
      </c>
      <c r="O350" s="64" t="str">
        <f>IFERROR(__xludf.DUMMYFUNCTION("""COMPUTED_VALUE"""),"ASISTENCIA AL USUARIO")</f>
        <v>ASISTENCIA AL USUARIO</v>
      </c>
      <c r="P350" s="64" t="str">
        <f>IFERROR(__xludf.DUMMYFUNCTION("""COMPUTED_VALUE"""),"DOBLE REMOLQUE")</f>
        <v>DOBLE REMOLQUE</v>
      </c>
      <c r="Q350" s="64" t="str">
        <f>IFERROR(__xludf.DUMMYFUNCTION("""COMPUTED_VALUE"""),"SINAPRESE")</f>
        <v>SINAPRESE</v>
      </c>
      <c r="R350" s="64" t="str">
        <f>IFERROR(__xludf.DUMMYFUNCTION("""COMPUTED_VALUE"""),"APOYO ATLETISMO")</f>
        <v>APOYO ATLETISMO</v>
      </c>
      <c r="S350" s="64" t="str">
        <f>IFERROR(__xludf.DUMMYFUNCTION("""COMPUTED_VALUE"""),"APOYO A CICLISMO")</f>
        <v>APOYO A CICLISMO</v>
      </c>
      <c r="T350" s="64" t="str">
        <f>IFERROR(__xludf.DUMMYFUNCTION("""COMPUTED_VALUE"""),"DESCARGA DE BATERÍA")</f>
        <v>DESCARGA DE BATERÍA</v>
      </c>
      <c r="U350" s="64" t="str">
        <f>IFERROR(__xludf.DUMMYFUNCTION("""COMPUTED_VALUE"""),"PROBLEMAS DE SALUD")</f>
        <v>PROBLEMAS DE SALUD</v>
      </c>
      <c r="V350" s="64" t="str">
        <f>IFERROR(__xludf.DUMMYFUNCTION("""COMPUTED_VALUE"""),"OLVIDO LA LLAVE")</f>
        <v>OLVIDO LA LLAVE</v>
      </c>
      <c r="W350" s="64" t="str">
        <f>IFERROR(__xludf.DUMMYFUNCTION("""COMPUTED_VALUE"""),"CARGA SOBREDIMENSIONADA")</f>
        <v>CARGA SOBREDIMENSIONADA</v>
      </c>
      <c r="X350" s="64" t="str">
        <f>IFERROR(__xludf.DUMMYFUNCTION("""COMPUTED_VALUE"""),"VEHÍCULO ABANDONADO")</f>
        <v>VEHÍCULO ABANDONADO</v>
      </c>
      <c r="Y350" s="64" t="str">
        <f>IFERROR(__xludf.DUMMYFUNCTION("""COMPUTED_VALUE"""),"DESPRENDIMIENTO")</f>
        <v>DESPRENDIMIENTO</v>
      </c>
      <c r="Z350" s="64" t="str">
        <f>IFERROR(__xludf.DUMMYFUNCTION("""COMPUTED_VALUE"""),"CAÍDA DE POSTE")</f>
        <v>CAÍDA DE POSTE</v>
      </c>
      <c r="AA350" s="64" t="str">
        <f>IFERROR(__xludf.DUMMYFUNCTION("""COMPUTED_VALUE"""),"CAÍDA DE RAMA")</f>
        <v>CAÍDA DE RAMA</v>
      </c>
      <c r="AB350" s="64" t="str">
        <f>IFERROR(__xludf.DUMMYFUNCTION("""COMPUTED_VALUE"""),"OPERATIVO DGT")</f>
        <v>OPERATIVO DGT</v>
      </c>
      <c r="AC350" s="64" t="str">
        <f>IFERROR(__xludf.DUMMYFUNCTION("""COMPUTED_VALUE"""),"OPERATIVO PMT")</f>
        <v>OPERATIVO PMT</v>
      </c>
      <c r="AD350" s="64" t="str">
        <f>IFERROR(__xludf.DUMMYFUNCTION("""COMPUTED_VALUE"""),"APOYO A DIGEF")</f>
        <v>APOYO A DIGEF</v>
      </c>
      <c r="AE350" s="64" t="str">
        <f>IFERROR(__xludf.DUMMYFUNCTION("""COMPUTED_VALUE"""),"OPERATIVO PNC TRANSITO")</f>
        <v>OPERATIVO PNC TRANSITO</v>
      </c>
      <c r="AF350" s="64" t="str">
        <f>IFERROR(__xludf.DUMMYFUNCTION("""COMPUTED_VALUE"""),"SOBRECARGA ")</f>
        <v>SOBRECARGA </v>
      </c>
      <c r="AG350" s="64" t="str">
        <f>IFERROR(__xludf.DUMMYFUNCTION("""COMPUTED_VALUE"""),"OPERATIVO EN CONJUNTO")</f>
        <v>OPERATIVO EN CONJUNTO</v>
      </c>
      <c r="AH350" s="64" t="str">
        <f>IFERROR(__xludf.DUMMYFUNCTION("""COMPUTED_VALUE"""),"PUESTO DE ATENCION AL USUARIO")</f>
        <v>PUESTO DE ATENCION AL USUARIO</v>
      </c>
      <c r="AI350" s="64" t="str">
        <f>IFERROR(__xludf.DUMMYFUNCTION("""COMPUTED_VALUE"""),"INCENDIO EN RUTA")</f>
        <v>INCENDIO EN RUTA</v>
      </c>
      <c r="AJ350" s="64" t="str">
        <f>IFERROR(__xludf.DUMMYFUNCTION("""COMPUTED_VALUE"""),"APOYO ANTORCHA ")</f>
        <v>APOYO ANTORCHA </v>
      </c>
    </row>
    <row r="351">
      <c r="B351" s="64" t="s">
        <v>38</v>
      </c>
      <c r="C351" s="64" t="str">
        <f>IFERROR(__xludf.DUMMYFUNCTION(" TRANSPOSE( unique ( QUERY(DATOPRO,""select Col2 where Col1 = '""&amp;B351&amp;""'"")))"),"ATAQUE ARMADO")</f>
        <v>ATAQUE ARMADO</v>
      </c>
      <c r="D351" s="64" t="str">
        <f>IFERROR(__xludf.DUMMYFUNCTION("""COMPUTED_VALUE"""),"DESBALANCE DE CARGA")</f>
        <v>DESBALANCE DE CARGA</v>
      </c>
      <c r="E351" s="64" t="str">
        <f>IFERROR(__xludf.DUMMYFUNCTION("""COMPUTED_VALUE"""),"PERSONA FALLECIDA")</f>
        <v>PERSONA FALLECIDA</v>
      </c>
      <c r="F351" s="64" t="str">
        <f>IFERROR(__xludf.DUMMYFUNCTION("""COMPUTED_VALUE"""),"DESPRENDIMIENTO DE NEUMATICO")</f>
        <v>DESPRENDIMIENTO DE NEUMATICO</v>
      </c>
      <c r="G351" s="64" t="str">
        <f>IFERROR(__xludf.DUMMYFUNCTION("""COMPUTED_VALUE"""),"SALIDA DE PISTA")</f>
        <v>SALIDA DE PISTA</v>
      </c>
      <c r="H351" s="64" t="str">
        <f>IFERROR(__xludf.DUMMYFUNCTION("""COMPUTED_VALUE"""),"DESPRENDIMIENTO DE CONTENEDOR")</f>
        <v>DESPRENDIMIENTO DE CONTENEDOR</v>
      </c>
      <c r="I351" s="64" t="str">
        <f>IFERROR(__xludf.DUMMYFUNCTION("""COMPUTED_VALUE"""),"CAÍDA DE CARGA")</f>
        <v>CAÍDA DE CARGA</v>
      </c>
      <c r="J351" s="64" t="str">
        <f>IFERROR(__xludf.DUMMYFUNCTION("""COMPUTED_VALUE"""),"CHOQUE")</f>
        <v>CHOQUE</v>
      </c>
      <c r="K351" s="64" t="str">
        <f>IFERROR(__xludf.DUMMYFUNCTION("""COMPUTED_VALUE"""),"COLISIÓN")</f>
        <v>COLISIÓN</v>
      </c>
      <c r="L351" s="64" t="str">
        <f>IFERROR(__xludf.DUMMYFUNCTION("""COMPUTED_VALUE"""),"COLISIÓN MÚLTIPLE")</f>
        <v>COLISIÓN MÚLTIPLE</v>
      </c>
      <c r="M351" s="64" t="str">
        <f>IFERROR(__xludf.DUMMYFUNCTION("""COMPUTED_VALUE"""),"DERRAPE")</f>
        <v>DERRAPE</v>
      </c>
      <c r="N351" s="64" t="str">
        <f>IFERROR(__xludf.DUMMYFUNCTION("""COMPUTED_VALUE"""),"VEHÍCULO INCENDIADO")</f>
        <v>VEHÍCULO INCENDIADO</v>
      </c>
      <c r="O351" s="64" t="str">
        <f>IFERROR(__xludf.DUMMYFUNCTION("""COMPUTED_VALUE"""),"VUELCO")</f>
        <v>VUELCO</v>
      </c>
      <c r="P351" s="64" t="str">
        <f>IFERROR(__xludf.DUMMYFUNCTION("""COMPUTED_VALUE"""),"DESPRENDIMIENTO")</f>
        <v>DESPRENDIMIENTO</v>
      </c>
      <c r="Q351" s="64" t="str">
        <f>IFERROR(__xludf.DUMMYFUNCTION("""COMPUTED_VALUE"""),"CAÍDA DE ÁRBOL")</f>
        <v>CAÍDA DE ÁRBOL</v>
      </c>
      <c r="R351" s="64" t="str">
        <f>IFERROR(__xludf.DUMMYFUNCTION("""COMPUTED_VALUE"""),"DESPRENDIMIENTO DE EJE")</f>
        <v>DESPRENDIMIENTO DE EJE</v>
      </c>
      <c r="S351" s="64" t="str">
        <f>IFERROR(__xludf.DUMMYFUNCTION("""COMPUTED_VALUE"""),"PERSONA ATROPELLADA")</f>
        <v>PERSONA ATROPELLADA</v>
      </c>
    </row>
    <row r="352">
      <c r="B352" s="64" t="s">
        <v>38</v>
      </c>
      <c r="C352" s="64" t="str">
        <f>IFERROR(__xludf.DUMMYFUNCTION(" TRANSPOSE( unique ( QUERY(DATOPRO,""select Col2 where Col1 = '""&amp;B352&amp;""'"")))"),"ATAQUE ARMADO")</f>
        <v>ATAQUE ARMADO</v>
      </c>
      <c r="D352" s="64" t="str">
        <f>IFERROR(__xludf.DUMMYFUNCTION("""COMPUTED_VALUE"""),"DESBALANCE DE CARGA")</f>
        <v>DESBALANCE DE CARGA</v>
      </c>
      <c r="E352" s="64" t="str">
        <f>IFERROR(__xludf.DUMMYFUNCTION("""COMPUTED_VALUE"""),"PERSONA FALLECIDA")</f>
        <v>PERSONA FALLECIDA</v>
      </c>
      <c r="F352" s="64" t="str">
        <f>IFERROR(__xludf.DUMMYFUNCTION("""COMPUTED_VALUE"""),"DESPRENDIMIENTO DE NEUMATICO")</f>
        <v>DESPRENDIMIENTO DE NEUMATICO</v>
      </c>
      <c r="G352" s="64" t="str">
        <f>IFERROR(__xludf.DUMMYFUNCTION("""COMPUTED_VALUE"""),"SALIDA DE PISTA")</f>
        <v>SALIDA DE PISTA</v>
      </c>
      <c r="H352" s="64" t="str">
        <f>IFERROR(__xludf.DUMMYFUNCTION("""COMPUTED_VALUE"""),"DESPRENDIMIENTO DE CONTENEDOR")</f>
        <v>DESPRENDIMIENTO DE CONTENEDOR</v>
      </c>
      <c r="I352" s="64" t="str">
        <f>IFERROR(__xludf.DUMMYFUNCTION("""COMPUTED_VALUE"""),"CAÍDA DE CARGA")</f>
        <v>CAÍDA DE CARGA</v>
      </c>
      <c r="J352" s="64" t="str">
        <f>IFERROR(__xludf.DUMMYFUNCTION("""COMPUTED_VALUE"""),"CHOQUE")</f>
        <v>CHOQUE</v>
      </c>
      <c r="K352" s="64" t="str">
        <f>IFERROR(__xludf.DUMMYFUNCTION("""COMPUTED_VALUE"""),"COLISIÓN")</f>
        <v>COLISIÓN</v>
      </c>
      <c r="L352" s="64" t="str">
        <f>IFERROR(__xludf.DUMMYFUNCTION("""COMPUTED_VALUE"""),"COLISIÓN MÚLTIPLE")</f>
        <v>COLISIÓN MÚLTIPLE</v>
      </c>
      <c r="M352" s="64" t="str">
        <f>IFERROR(__xludf.DUMMYFUNCTION("""COMPUTED_VALUE"""),"DERRAPE")</f>
        <v>DERRAPE</v>
      </c>
      <c r="N352" s="64" t="str">
        <f>IFERROR(__xludf.DUMMYFUNCTION("""COMPUTED_VALUE"""),"VEHÍCULO INCENDIADO")</f>
        <v>VEHÍCULO INCENDIADO</v>
      </c>
      <c r="O352" s="64" t="str">
        <f>IFERROR(__xludf.DUMMYFUNCTION("""COMPUTED_VALUE"""),"VUELCO")</f>
        <v>VUELCO</v>
      </c>
      <c r="P352" s="64" t="str">
        <f>IFERROR(__xludf.DUMMYFUNCTION("""COMPUTED_VALUE"""),"DESPRENDIMIENTO")</f>
        <v>DESPRENDIMIENTO</v>
      </c>
      <c r="Q352" s="64" t="str">
        <f>IFERROR(__xludf.DUMMYFUNCTION("""COMPUTED_VALUE"""),"CAÍDA DE ÁRBOL")</f>
        <v>CAÍDA DE ÁRBOL</v>
      </c>
      <c r="R352" s="64" t="str">
        <f>IFERROR(__xludf.DUMMYFUNCTION("""COMPUTED_VALUE"""),"DESPRENDIMIENTO DE EJE")</f>
        <v>DESPRENDIMIENTO DE EJE</v>
      </c>
      <c r="S352" s="64" t="str">
        <f>IFERROR(__xludf.DUMMYFUNCTION("""COMPUTED_VALUE"""),"PERSONA ATROPELLADA")</f>
        <v>PERSONA ATROPELLADA</v>
      </c>
    </row>
    <row r="353">
      <c r="B353" s="64" t="s">
        <v>54</v>
      </c>
      <c r="C353" s="64" t="str">
        <f>IFERROR(__xludf.DUMMYFUNCTION(" TRANSPOSE( unique ( QUERY(DATOPRO,""select Col2 where Col1 = '""&amp;B353&amp;""'"")))"),"PINCHAZO")</f>
        <v>PINCHAZO</v>
      </c>
      <c r="D353" s="64" t="str">
        <f>IFERROR(__xludf.DUMMYFUNCTION("""COMPUTED_VALUE"""),"TRABAJOS DE CARRETERA")</f>
        <v>TRABAJOS DE CARRETERA</v>
      </c>
      <c r="E353" s="64" t="str">
        <f>IFERROR(__xludf.DUMMYFUNCTION("""COMPUTED_VALUE"""),"CONSIGNACIÓN")</f>
        <v>CONSIGNACIÓN</v>
      </c>
      <c r="F353" s="64" t="str">
        <f>IFERROR(__xludf.DUMMYFUNCTION("""COMPUTED_VALUE"""),"DERRAME")</f>
        <v>DERRAME</v>
      </c>
      <c r="G353" s="64" t="str">
        <f>IFERROR(__xludf.DUMMYFUNCTION("""COMPUTED_VALUE"""),"CALENTAMIENTO")</f>
        <v>CALENTAMIENTO</v>
      </c>
      <c r="H353" s="64" t="str">
        <f>IFERROR(__xludf.DUMMYFUNCTION("""COMPUTED_VALUE"""),"ESCOLTANDO")</f>
        <v>ESCOLTANDO</v>
      </c>
      <c r="I353" s="64" t="str">
        <f>IFERROR(__xludf.DUMMYFUNCTION("""COMPUTED_VALUE"""),"FALTA DE COMBUSTIBLE")</f>
        <v>FALTA DE COMBUSTIBLE</v>
      </c>
      <c r="J353" s="64" t="str">
        <f>IFERROR(__xludf.DUMMYFUNCTION("""COMPUTED_VALUE"""),"DESPERFECTOS MECÁNICOS")</f>
        <v>DESPERFECTOS MECÁNICOS</v>
      </c>
      <c r="K353" s="64" t="str">
        <f>IFERROR(__xludf.DUMMYFUNCTION("""COMPUTED_VALUE"""),"LLAMADA DE ATENCIÓN")</f>
        <v>LLAMADA DE ATENCIÓN</v>
      </c>
      <c r="L353" s="64" t="str">
        <f>IFERROR(__xludf.DUMMYFUNCTION("""COMPUTED_VALUE"""),"OPERATIVOS")</f>
        <v>OPERATIVOS</v>
      </c>
      <c r="M353" s="64" t="str">
        <f>IFERROR(__xludf.DUMMYFUNCTION("""COMPUTED_VALUE"""),"SANCIÓN")</f>
        <v>SANCIÓN</v>
      </c>
      <c r="N353" s="64" t="str">
        <f>IFERROR(__xludf.DUMMYFUNCTION("""COMPUTED_VALUE"""),"SISTEMA ELECTRICO")</f>
        <v>SISTEMA ELECTRICO</v>
      </c>
      <c r="O353" s="64" t="str">
        <f>IFERROR(__xludf.DUMMYFUNCTION("""COMPUTED_VALUE"""),"ASISTENCIA AL USUARIO")</f>
        <v>ASISTENCIA AL USUARIO</v>
      </c>
      <c r="P353" s="64" t="str">
        <f>IFERROR(__xludf.DUMMYFUNCTION("""COMPUTED_VALUE"""),"DOBLE REMOLQUE")</f>
        <v>DOBLE REMOLQUE</v>
      </c>
      <c r="Q353" s="64" t="str">
        <f>IFERROR(__xludf.DUMMYFUNCTION("""COMPUTED_VALUE"""),"SINAPRESE")</f>
        <v>SINAPRESE</v>
      </c>
      <c r="R353" s="64" t="str">
        <f>IFERROR(__xludf.DUMMYFUNCTION("""COMPUTED_VALUE"""),"APOYO ATLETISMO")</f>
        <v>APOYO ATLETISMO</v>
      </c>
      <c r="S353" s="64" t="str">
        <f>IFERROR(__xludf.DUMMYFUNCTION("""COMPUTED_VALUE"""),"APOYO A CICLISMO")</f>
        <v>APOYO A CICLISMO</v>
      </c>
      <c r="T353" s="64" t="str">
        <f>IFERROR(__xludf.DUMMYFUNCTION("""COMPUTED_VALUE"""),"DESCARGA DE BATERÍA")</f>
        <v>DESCARGA DE BATERÍA</v>
      </c>
      <c r="U353" s="64" t="str">
        <f>IFERROR(__xludf.DUMMYFUNCTION("""COMPUTED_VALUE"""),"PROBLEMAS DE SALUD")</f>
        <v>PROBLEMAS DE SALUD</v>
      </c>
      <c r="V353" s="64" t="str">
        <f>IFERROR(__xludf.DUMMYFUNCTION("""COMPUTED_VALUE"""),"OLVIDO LA LLAVE")</f>
        <v>OLVIDO LA LLAVE</v>
      </c>
      <c r="W353" s="64" t="str">
        <f>IFERROR(__xludf.DUMMYFUNCTION("""COMPUTED_VALUE"""),"CARGA SOBREDIMENSIONADA")</f>
        <v>CARGA SOBREDIMENSIONADA</v>
      </c>
      <c r="X353" s="64" t="str">
        <f>IFERROR(__xludf.DUMMYFUNCTION("""COMPUTED_VALUE"""),"VEHÍCULO ABANDONADO")</f>
        <v>VEHÍCULO ABANDONADO</v>
      </c>
      <c r="Y353" s="64" t="str">
        <f>IFERROR(__xludf.DUMMYFUNCTION("""COMPUTED_VALUE"""),"DESPRENDIMIENTO")</f>
        <v>DESPRENDIMIENTO</v>
      </c>
      <c r="Z353" s="64" t="str">
        <f>IFERROR(__xludf.DUMMYFUNCTION("""COMPUTED_VALUE"""),"CAÍDA DE POSTE")</f>
        <v>CAÍDA DE POSTE</v>
      </c>
      <c r="AA353" s="64" t="str">
        <f>IFERROR(__xludf.DUMMYFUNCTION("""COMPUTED_VALUE"""),"CAÍDA DE RAMA")</f>
        <v>CAÍDA DE RAMA</v>
      </c>
      <c r="AB353" s="64" t="str">
        <f>IFERROR(__xludf.DUMMYFUNCTION("""COMPUTED_VALUE"""),"OPERATIVO DGT")</f>
        <v>OPERATIVO DGT</v>
      </c>
      <c r="AC353" s="64" t="str">
        <f>IFERROR(__xludf.DUMMYFUNCTION("""COMPUTED_VALUE"""),"OPERATIVO PMT")</f>
        <v>OPERATIVO PMT</v>
      </c>
      <c r="AD353" s="64" t="str">
        <f>IFERROR(__xludf.DUMMYFUNCTION("""COMPUTED_VALUE"""),"APOYO A DIGEF")</f>
        <v>APOYO A DIGEF</v>
      </c>
      <c r="AE353" s="64" t="str">
        <f>IFERROR(__xludf.DUMMYFUNCTION("""COMPUTED_VALUE"""),"OPERATIVO PNC TRANSITO")</f>
        <v>OPERATIVO PNC TRANSITO</v>
      </c>
      <c r="AF353" s="64" t="str">
        <f>IFERROR(__xludf.DUMMYFUNCTION("""COMPUTED_VALUE"""),"SOBRECARGA ")</f>
        <v>SOBRECARGA </v>
      </c>
      <c r="AG353" s="64" t="str">
        <f>IFERROR(__xludf.DUMMYFUNCTION("""COMPUTED_VALUE"""),"OPERATIVO EN CONJUNTO")</f>
        <v>OPERATIVO EN CONJUNTO</v>
      </c>
      <c r="AH353" s="64" t="str">
        <f>IFERROR(__xludf.DUMMYFUNCTION("""COMPUTED_VALUE"""),"PUESTO DE ATENCION AL USUARIO")</f>
        <v>PUESTO DE ATENCION AL USUARIO</v>
      </c>
      <c r="AI353" s="64" t="str">
        <f>IFERROR(__xludf.DUMMYFUNCTION("""COMPUTED_VALUE"""),"INCENDIO EN RUTA")</f>
        <v>INCENDIO EN RUTA</v>
      </c>
      <c r="AJ353" s="64" t="str">
        <f>IFERROR(__xludf.DUMMYFUNCTION("""COMPUTED_VALUE"""),"APOYO ANTORCHA ")</f>
        <v>APOYO ANTORCHA </v>
      </c>
    </row>
    <row r="354">
      <c r="B354" s="64" t="s">
        <v>54</v>
      </c>
      <c r="C354" s="64" t="str">
        <f>IFERROR(__xludf.DUMMYFUNCTION(" TRANSPOSE( unique ( QUERY(DATOPRO,""select Col2 where Col1 = '""&amp;B354&amp;""'"")))"),"PINCHAZO")</f>
        <v>PINCHAZO</v>
      </c>
      <c r="D354" s="64" t="str">
        <f>IFERROR(__xludf.DUMMYFUNCTION("""COMPUTED_VALUE"""),"TRABAJOS DE CARRETERA")</f>
        <v>TRABAJOS DE CARRETERA</v>
      </c>
      <c r="E354" s="64" t="str">
        <f>IFERROR(__xludf.DUMMYFUNCTION("""COMPUTED_VALUE"""),"CONSIGNACIÓN")</f>
        <v>CONSIGNACIÓN</v>
      </c>
      <c r="F354" s="64" t="str">
        <f>IFERROR(__xludf.DUMMYFUNCTION("""COMPUTED_VALUE"""),"DERRAME")</f>
        <v>DERRAME</v>
      </c>
      <c r="G354" s="64" t="str">
        <f>IFERROR(__xludf.DUMMYFUNCTION("""COMPUTED_VALUE"""),"CALENTAMIENTO")</f>
        <v>CALENTAMIENTO</v>
      </c>
      <c r="H354" s="64" t="str">
        <f>IFERROR(__xludf.DUMMYFUNCTION("""COMPUTED_VALUE"""),"ESCOLTANDO")</f>
        <v>ESCOLTANDO</v>
      </c>
      <c r="I354" s="64" t="str">
        <f>IFERROR(__xludf.DUMMYFUNCTION("""COMPUTED_VALUE"""),"FALTA DE COMBUSTIBLE")</f>
        <v>FALTA DE COMBUSTIBLE</v>
      </c>
      <c r="J354" s="64" t="str">
        <f>IFERROR(__xludf.DUMMYFUNCTION("""COMPUTED_VALUE"""),"DESPERFECTOS MECÁNICOS")</f>
        <v>DESPERFECTOS MECÁNICOS</v>
      </c>
      <c r="K354" s="64" t="str">
        <f>IFERROR(__xludf.DUMMYFUNCTION("""COMPUTED_VALUE"""),"LLAMADA DE ATENCIÓN")</f>
        <v>LLAMADA DE ATENCIÓN</v>
      </c>
      <c r="L354" s="64" t="str">
        <f>IFERROR(__xludf.DUMMYFUNCTION("""COMPUTED_VALUE"""),"OPERATIVOS")</f>
        <v>OPERATIVOS</v>
      </c>
      <c r="M354" s="64" t="str">
        <f>IFERROR(__xludf.DUMMYFUNCTION("""COMPUTED_VALUE"""),"SANCIÓN")</f>
        <v>SANCIÓN</v>
      </c>
      <c r="N354" s="64" t="str">
        <f>IFERROR(__xludf.DUMMYFUNCTION("""COMPUTED_VALUE"""),"SISTEMA ELECTRICO")</f>
        <v>SISTEMA ELECTRICO</v>
      </c>
      <c r="O354" s="64" t="str">
        <f>IFERROR(__xludf.DUMMYFUNCTION("""COMPUTED_VALUE"""),"ASISTENCIA AL USUARIO")</f>
        <v>ASISTENCIA AL USUARIO</v>
      </c>
      <c r="P354" s="64" t="str">
        <f>IFERROR(__xludf.DUMMYFUNCTION("""COMPUTED_VALUE"""),"DOBLE REMOLQUE")</f>
        <v>DOBLE REMOLQUE</v>
      </c>
      <c r="Q354" s="64" t="str">
        <f>IFERROR(__xludf.DUMMYFUNCTION("""COMPUTED_VALUE"""),"SINAPRESE")</f>
        <v>SINAPRESE</v>
      </c>
      <c r="R354" s="64" t="str">
        <f>IFERROR(__xludf.DUMMYFUNCTION("""COMPUTED_VALUE"""),"APOYO ATLETISMO")</f>
        <v>APOYO ATLETISMO</v>
      </c>
      <c r="S354" s="64" t="str">
        <f>IFERROR(__xludf.DUMMYFUNCTION("""COMPUTED_VALUE"""),"APOYO A CICLISMO")</f>
        <v>APOYO A CICLISMO</v>
      </c>
      <c r="T354" s="64" t="str">
        <f>IFERROR(__xludf.DUMMYFUNCTION("""COMPUTED_VALUE"""),"DESCARGA DE BATERÍA")</f>
        <v>DESCARGA DE BATERÍA</v>
      </c>
      <c r="U354" s="64" t="str">
        <f>IFERROR(__xludf.DUMMYFUNCTION("""COMPUTED_VALUE"""),"PROBLEMAS DE SALUD")</f>
        <v>PROBLEMAS DE SALUD</v>
      </c>
      <c r="V354" s="64" t="str">
        <f>IFERROR(__xludf.DUMMYFUNCTION("""COMPUTED_VALUE"""),"OLVIDO LA LLAVE")</f>
        <v>OLVIDO LA LLAVE</v>
      </c>
      <c r="W354" s="64" t="str">
        <f>IFERROR(__xludf.DUMMYFUNCTION("""COMPUTED_VALUE"""),"CARGA SOBREDIMENSIONADA")</f>
        <v>CARGA SOBREDIMENSIONADA</v>
      </c>
      <c r="X354" s="64" t="str">
        <f>IFERROR(__xludf.DUMMYFUNCTION("""COMPUTED_VALUE"""),"VEHÍCULO ABANDONADO")</f>
        <v>VEHÍCULO ABANDONADO</v>
      </c>
      <c r="Y354" s="64" t="str">
        <f>IFERROR(__xludf.DUMMYFUNCTION("""COMPUTED_VALUE"""),"DESPRENDIMIENTO")</f>
        <v>DESPRENDIMIENTO</v>
      </c>
      <c r="Z354" s="64" t="str">
        <f>IFERROR(__xludf.DUMMYFUNCTION("""COMPUTED_VALUE"""),"CAÍDA DE POSTE")</f>
        <v>CAÍDA DE POSTE</v>
      </c>
      <c r="AA354" s="64" t="str">
        <f>IFERROR(__xludf.DUMMYFUNCTION("""COMPUTED_VALUE"""),"CAÍDA DE RAMA")</f>
        <v>CAÍDA DE RAMA</v>
      </c>
      <c r="AB354" s="64" t="str">
        <f>IFERROR(__xludf.DUMMYFUNCTION("""COMPUTED_VALUE"""),"OPERATIVO DGT")</f>
        <v>OPERATIVO DGT</v>
      </c>
      <c r="AC354" s="64" t="str">
        <f>IFERROR(__xludf.DUMMYFUNCTION("""COMPUTED_VALUE"""),"OPERATIVO PMT")</f>
        <v>OPERATIVO PMT</v>
      </c>
      <c r="AD354" s="64" t="str">
        <f>IFERROR(__xludf.DUMMYFUNCTION("""COMPUTED_VALUE"""),"APOYO A DIGEF")</f>
        <v>APOYO A DIGEF</v>
      </c>
      <c r="AE354" s="64" t="str">
        <f>IFERROR(__xludf.DUMMYFUNCTION("""COMPUTED_VALUE"""),"OPERATIVO PNC TRANSITO")</f>
        <v>OPERATIVO PNC TRANSITO</v>
      </c>
      <c r="AF354" s="64" t="str">
        <f>IFERROR(__xludf.DUMMYFUNCTION("""COMPUTED_VALUE"""),"SOBRECARGA ")</f>
        <v>SOBRECARGA </v>
      </c>
      <c r="AG354" s="64" t="str">
        <f>IFERROR(__xludf.DUMMYFUNCTION("""COMPUTED_VALUE"""),"OPERATIVO EN CONJUNTO")</f>
        <v>OPERATIVO EN CONJUNTO</v>
      </c>
      <c r="AH354" s="64" t="str">
        <f>IFERROR(__xludf.DUMMYFUNCTION("""COMPUTED_VALUE"""),"PUESTO DE ATENCION AL USUARIO")</f>
        <v>PUESTO DE ATENCION AL USUARIO</v>
      </c>
      <c r="AI354" s="64" t="str">
        <f>IFERROR(__xludf.DUMMYFUNCTION("""COMPUTED_VALUE"""),"INCENDIO EN RUTA")</f>
        <v>INCENDIO EN RUTA</v>
      </c>
      <c r="AJ354" s="64" t="str">
        <f>IFERROR(__xludf.DUMMYFUNCTION("""COMPUTED_VALUE"""),"APOYO ANTORCHA ")</f>
        <v>APOYO ANTORCHA </v>
      </c>
    </row>
    <row r="355">
      <c r="B355" s="64" t="s">
        <v>54</v>
      </c>
      <c r="C355" s="64" t="str">
        <f>IFERROR(__xludf.DUMMYFUNCTION(" TRANSPOSE( unique ( QUERY(DATOPRO,""select Col2 where Col1 = '""&amp;B355&amp;""'"")))"),"PINCHAZO")</f>
        <v>PINCHAZO</v>
      </c>
      <c r="D355" s="64" t="str">
        <f>IFERROR(__xludf.DUMMYFUNCTION("""COMPUTED_VALUE"""),"TRABAJOS DE CARRETERA")</f>
        <v>TRABAJOS DE CARRETERA</v>
      </c>
      <c r="E355" s="64" t="str">
        <f>IFERROR(__xludf.DUMMYFUNCTION("""COMPUTED_VALUE"""),"CONSIGNACIÓN")</f>
        <v>CONSIGNACIÓN</v>
      </c>
      <c r="F355" s="64" t="str">
        <f>IFERROR(__xludf.DUMMYFUNCTION("""COMPUTED_VALUE"""),"DERRAME")</f>
        <v>DERRAME</v>
      </c>
      <c r="G355" s="64" t="str">
        <f>IFERROR(__xludf.DUMMYFUNCTION("""COMPUTED_VALUE"""),"CALENTAMIENTO")</f>
        <v>CALENTAMIENTO</v>
      </c>
      <c r="H355" s="64" t="str">
        <f>IFERROR(__xludf.DUMMYFUNCTION("""COMPUTED_VALUE"""),"ESCOLTANDO")</f>
        <v>ESCOLTANDO</v>
      </c>
      <c r="I355" s="64" t="str">
        <f>IFERROR(__xludf.DUMMYFUNCTION("""COMPUTED_VALUE"""),"FALTA DE COMBUSTIBLE")</f>
        <v>FALTA DE COMBUSTIBLE</v>
      </c>
      <c r="J355" s="64" t="str">
        <f>IFERROR(__xludf.DUMMYFUNCTION("""COMPUTED_VALUE"""),"DESPERFECTOS MECÁNICOS")</f>
        <v>DESPERFECTOS MECÁNICOS</v>
      </c>
      <c r="K355" s="64" t="str">
        <f>IFERROR(__xludf.DUMMYFUNCTION("""COMPUTED_VALUE"""),"LLAMADA DE ATENCIÓN")</f>
        <v>LLAMADA DE ATENCIÓN</v>
      </c>
      <c r="L355" s="64" t="str">
        <f>IFERROR(__xludf.DUMMYFUNCTION("""COMPUTED_VALUE"""),"OPERATIVOS")</f>
        <v>OPERATIVOS</v>
      </c>
      <c r="M355" s="64" t="str">
        <f>IFERROR(__xludf.DUMMYFUNCTION("""COMPUTED_VALUE"""),"SANCIÓN")</f>
        <v>SANCIÓN</v>
      </c>
      <c r="N355" s="64" t="str">
        <f>IFERROR(__xludf.DUMMYFUNCTION("""COMPUTED_VALUE"""),"SISTEMA ELECTRICO")</f>
        <v>SISTEMA ELECTRICO</v>
      </c>
      <c r="O355" s="64" t="str">
        <f>IFERROR(__xludf.DUMMYFUNCTION("""COMPUTED_VALUE"""),"ASISTENCIA AL USUARIO")</f>
        <v>ASISTENCIA AL USUARIO</v>
      </c>
      <c r="P355" s="64" t="str">
        <f>IFERROR(__xludf.DUMMYFUNCTION("""COMPUTED_VALUE"""),"DOBLE REMOLQUE")</f>
        <v>DOBLE REMOLQUE</v>
      </c>
      <c r="Q355" s="64" t="str">
        <f>IFERROR(__xludf.DUMMYFUNCTION("""COMPUTED_VALUE"""),"SINAPRESE")</f>
        <v>SINAPRESE</v>
      </c>
      <c r="R355" s="64" t="str">
        <f>IFERROR(__xludf.DUMMYFUNCTION("""COMPUTED_VALUE"""),"APOYO ATLETISMO")</f>
        <v>APOYO ATLETISMO</v>
      </c>
      <c r="S355" s="64" t="str">
        <f>IFERROR(__xludf.DUMMYFUNCTION("""COMPUTED_VALUE"""),"APOYO A CICLISMO")</f>
        <v>APOYO A CICLISMO</v>
      </c>
      <c r="T355" s="64" t="str">
        <f>IFERROR(__xludf.DUMMYFUNCTION("""COMPUTED_VALUE"""),"DESCARGA DE BATERÍA")</f>
        <v>DESCARGA DE BATERÍA</v>
      </c>
      <c r="U355" s="64" t="str">
        <f>IFERROR(__xludf.DUMMYFUNCTION("""COMPUTED_VALUE"""),"PROBLEMAS DE SALUD")</f>
        <v>PROBLEMAS DE SALUD</v>
      </c>
      <c r="V355" s="64" t="str">
        <f>IFERROR(__xludf.DUMMYFUNCTION("""COMPUTED_VALUE"""),"OLVIDO LA LLAVE")</f>
        <v>OLVIDO LA LLAVE</v>
      </c>
      <c r="W355" s="64" t="str">
        <f>IFERROR(__xludf.DUMMYFUNCTION("""COMPUTED_VALUE"""),"CARGA SOBREDIMENSIONADA")</f>
        <v>CARGA SOBREDIMENSIONADA</v>
      </c>
      <c r="X355" s="64" t="str">
        <f>IFERROR(__xludf.DUMMYFUNCTION("""COMPUTED_VALUE"""),"VEHÍCULO ABANDONADO")</f>
        <v>VEHÍCULO ABANDONADO</v>
      </c>
      <c r="Y355" s="64" t="str">
        <f>IFERROR(__xludf.DUMMYFUNCTION("""COMPUTED_VALUE"""),"DESPRENDIMIENTO")</f>
        <v>DESPRENDIMIENTO</v>
      </c>
      <c r="Z355" s="64" t="str">
        <f>IFERROR(__xludf.DUMMYFUNCTION("""COMPUTED_VALUE"""),"CAÍDA DE POSTE")</f>
        <v>CAÍDA DE POSTE</v>
      </c>
      <c r="AA355" s="64" t="str">
        <f>IFERROR(__xludf.DUMMYFUNCTION("""COMPUTED_VALUE"""),"CAÍDA DE RAMA")</f>
        <v>CAÍDA DE RAMA</v>
      </c>
      <c r="AB355" s="64" t="str">
        <f>IFERROR(__xludf.DUMMYFUNCTION("""COMPUTED_VALUE"""),"OPERATIVO DGT")</f>
        <v>OPERATIVO DGT</v>
      </c>
      <c r="AC355" s="64" t="str">
        <f>IFERROR(__xludf.DUMMYFUNCTION("""COMPUTED_VALUE"""),"OPERATIVO PMT")</f>
        <v>OPERATIVO PMT</v>
      </c>
      <c r="AD355" s="64" t="str">
        <f>IFERROR(__xludf.DUMMYFUNCTION("""COMPUTED_VALUE"""),"APOYO A DIGEF")</f>
        <v>APOYO A DIGEF</v>
      </c>
      <c r="AE355" s="64" t="str">
        <f>IFERROR(__xludf.DUMMYFUNCTION("""COMPUTED_VALUE"""),"OPERATIVO PNC TRANSITO")</f>
        <v>OPERATIVO PNC TRANSITO</v>
      </c>
      <c r="AF355" s="64" t="str">
        <f>IFERROR(__xludf.DUMMYFUNCTION("""COMPUTED_VALUE"""),"SOBRECARGA ")</f>
        <v>SOBRECARGA </v>
      </c>
      <c r="AG355" s="64" t="str">
        <f>IFERROR(__xludf.DUMMYFUNCTION("""COMPUTED_VALUE"""),"OPERATIVO EN CONJUNTO")</f>
        <v>OPERATIVO EN CONJUNTO</v>
      </c>
      <c r="AH355" s="64" t="str">
        <f>IFERROR(__xludf.DUMMYFUNCTION("""COMPUTED_VALUE"""),"PUESTO DE ATENCION AL USUARIO")</f>
        <v>PUESTO DE ATENCION AL USUARIO</v>
      </c>
      <c r="AI355" s="64" t="str">
        <f>IFERROR(__xludf.DUMMYFUNCTION("""COMPUTED_VALUE"""),"INCENDIO EN RUTA")</f>
        <v>INCENDIO EN RUTA</v>
      </c>
      <c r="AJ355" s="64" t="str">
        <f>IFERROR(__xludf.DUMMYFUNCTION("""COMPUTED_VALUE"""),"APOYO ANTORCHA ")</f>
        <v>APOYO ANTORCHA </v>
      </c>
    </row>
    <row r="356">
      <c r="B356" s="64"/>
      <c r="C356" s="64" t="str">
        <f>IFERROR(__xludf.DUMMYFUNCTION(" TRANSPOSE( unique ( QUERY(DATOPRO,""select Col2 where Col1 = '""&amp;B356&amp;""'"")))"),"")</f>
        <v/>
      </c>
    </row>
    <row r="357">
      <c r="B357" s="64"/>
      <c r="C357" s="64" t="str">
        <f>IFERROR(__xludf.DUMMYFUNCTION(" TRANSPOSE( unique ( QUERY(DATOPRO,""select Col2 where Col1 = '""&amp;B357&amp;""'"")))"),"")</f>
        <v/>
      </c>
    </row>
    <row r="358">
      <c r="B358" s="64" t="s">
        <v>38</v>
      </c>
      <c r="C358" s="64" t="str">
        <f>IFERROR(__xludf.DUMMYFUNCTION(" TRANSPOSE( unique ( QUERY(DATOPRO,""select Col2 where Col1 = '""&amp;B358&amp;""'"")))"),"ATAQUE ARMADO")</f>
        <v>ATAQUE ARMADO</v>
      </c>
      <c r="D358" s="64" t="str">
        <f>IFERROR(__xludf.DUMMYFUNCTION("""COMPUTED_VALUE"""),"DESBALANCE DE CARGA")</f>
        <v>DESBALANCE DE CARGA</v>
      </c>
      <c r="E358" s="64" t="str">
        <f>IFERROR(__xludf.DUMMYFUNCTION("""COMPUTED_VALUE"""),"PERSONA FALLECIDA")</f>
        <v>PERSONA FALLECIDA</v>
      </c>
      <c r="F358" s="64" t="str">
        <f>IFERROR(__xludf.DUMMYFUNCTION("""COMPUTED_VALUE"""),"DESPRENDIMIENTO DE NEUMATICO")</f>
        <v>DESPRENDIMIENTO DE NEUMATICO</v>
      </c>
      <c r="G358" s="64" t="str">
        <f>IFERROR(__xludf.DUMMYFUNCTION("""COMPUTED_VALUE"""),"SALIDA DE PISTA")</f>
        <v>SALIDA DE PISTA</v>
      </c>
      <c r="H358" s="64" t="str">
        <f>IFERROR(__xludf.DUMMYFUNCTION("""COMPUTED_VALUE"""),"DESPRENDIMIENTO DE CONTENEDOR")</f>
        <v>DESPRENDIMIENTO DE CONTENEDOR</v>
      </c>
      <c r="I358" s="64" t="str">
        <f>IFERROR(__xludf.DUMMYFUNCTION("""COMPUTED_VALUE"""),"CAÍDA DE CARGA")</f>
        <v>CAÍDA DE CARGA</v>
      </c>
      <c r="J358" s="64" t="str">
        <f>IFERROR(__xludf.DUMMYFUNCTION("""COMPUTED_VALUE"""),"CHOQUE")</f>
        <v>CHOQUE</v>
      </c>
      <c r="K358" s="64" t="str">
        <f>IFERROR(__xludf.DUMMYFUNCTION("""COMPUTED_VALUE"""),"COLISIÓN")</f>
        <v>COLISIÓN</v>
      </c>
      <c r="L358" s="64" t="str">
        <f>IFERROR(__xludf.DUMMYFUNCTION("""COMPUTED_VALUE"""),"COLISIÓN MÚLTIPLE")</f>
        <v>COLISIÓN MÚLTIPLE</v>
      </c>
      <c r="M358" s="64" t="str">
        <f>IFERROR(__xludf.DUMMYFUNCTION("""COMPUTED_VALUE"""),"DERRAPE")</f>
        <v>DERRAPE</v>
      </c>
      <c r="N358" s="64" t="str">
        <f>IFERROR(__xludf.DUMMYFUNCTION("""COMPUTED_VALUE"""),"VEHÍCULO INCENDIADO")</f>
        <v>VEHÍCULO INCENDIADO</v>
      </c>
      <c r="O358" s="64" t="str">
        <f>IFERROR(__xludf.DUMMYFUNCTION("""COMPUTED_VALUE"""),"VUELCO")</f>
        <v>VUELCO</v>
      </c>
      <c r="P358" s="64" t="str">
        <f>IFERROR(__xludf.DUMMYFUNCTION("""COMPUTED_VALUE"""),"DESPRENDIMIENTO")</f>
        <v>DESPRENDIMIENTO</v>
      </c>
      <c r="Q358" s="64" t="str">
        <f>IFERROR(__xludf.DUMMYFUNCTION("""COMPUTED_VALUE"""),"CAÍDA DE ÁRBOL")</f>
        <v>CAÍDA DE ÁRBOL</v>
      </c>
      <c r="R358" s="64" t="str">
        <f>IFERROR(__xludf.DUMMYFUNCTION("""COMPUTED_VALUE"""),"DESPRENDIMIENTO DE EJE")</f>
        <v>DESPRENDIMIENTO DE EJE</v>
      </c>
      <c r="S358" s="64" t="str">
        <f>IFERROR(__xludf.DUMMYFUNCTION("""COMPUTED_VALUE"""),"PERSONA ATROPELLADA")</f>
        <v>PERSONA ATROPELLADA</v>
      </c>
    </row>
    <row r="359">
      <c r="B359" s="64" t="s">
        <v>54</v>
      </c>
      <c r="C359" s="64" t="str">
        <f>IFERROR(__xludf.DUMMYFUNCTION(" TRANSPOSE( unique ( QUERY(DATOPRO,""select Col2 where Col1 = '""&amp;B359&amp;""'"")))"),"PINCHAZO")</f>
        <v>PINCHAZO</v>
      </c>
      <c r="D359" s="64" t="str">
        <f>IFERROR(__xludf.DUMMYFUNCTION("""COMPUTED_VALUE"""),"TRABAJOS DE CARRETERA")</f>
        <v>TRABAJOS DE CARRETERA</v>
      </c>
      <c r="E359" s="64" t="str">
        <f>IFERROR(__xludf.DUMMYFUNCTION("""COMPUTED_VALUE"""),"CONSIGNACIÓN")</f>
        <v>CONSIGNACIÓN</v>
      </c>
      <c r="F359" s="64" t="str">
        <f>IFERROR(__xludf.DUMMYFUNCTION("""COMPUTED_VALUE"""),"DERRAME")</f>
        <v>DERRAME</v>
      </c>
      <c r="G359" s="64" t="str">
        <f>IFERROR(__xludf.DUMMYFUNCTION("""COMPUTED_VALUE"""),"CALENTAMIENTO")</f>
        <v>CALENTAMIENTO</v>
      </c>
      <c r="H359" s="64" t="str">
        <f>IFERROR(__xludf.DUMMYFUNCTION("""COMPUTED_VALUE"""),"ESCOLTANDO")</f>
        <v>ESCOLTANDO</v>
      </c>
      <c r="I359" s="64" t="str">
        <f>IFERROR(__xludf.DUMMYFUNCTION("""COMPUTED_VALUE"""),"FALTA DE COMBUSTIBLE")</f>
        <v>FALTA DE COMBUSTIBLE</v>
      </c>
      <c r="J359" s="64" t="str">
        <f>IFERROR(__xludf.DUMMYFUNCTION("""COMPUTED_VALUE"""),"DESPERFECTOS MECÁNICOS")</f>
        <v>DESPERFECTOS MECÁNICOS</v>
      </c>
      <c r="K359" s="64" t="str">
        <f>IFERROR(__xludf.DUMMYFUNCTION("""COMPUTED_VALUE"""),"LLAMADA DE ATENCIÓN")</f>
        <v>LLAMADA DE ATENCIÓN</v>
      </c>
      <c r="L359" s="64" t="str">
        <f>IFERROR(__xludf.DUMMYFUNCTION("""COMPUTED_VALUE"""),"OPERATIVOS")</f>
        <v>OPERATIVOS</v>
      </c>
      <c r="M359" s="64" t="str">
        <f>IFERROR(__xludf.DUMMYFUNCTION("""COMPUTED_VALUE"""),"SANCIÓN")</f>
        <v>SANCIÓN</v>
      </c>
      <c r="N359" s="64" t="str">
        <f>IFERROR(__xludf.DUMMYFUNCTION("""COMPUTED_VALUE"""),"SISTEMA ELECTRICO")</f>
        <v>SISTEMA ELECTRICO</v>
      </c>
      <c r="O359" s="64" t="str">
        <f>IFERROR(__xludf.DUMMYFUNCTION("""COMPUTED_VALUE"""),"ASISTENCIA AL USUARIO")</f>
        <v>ASISTENCIA AL USUARIO</v>
      </c>
      <c r="P359" s="64" t="str">
        <f>IFERROR(__xludf.DUMMYFUNCTION("""COMPUTED_VALUE"""),"DOBLE REMOLQUE")</f>
        <v>DOBLE REMOLQUE</v>
      </c>
      <c r="Q359" s="64" t="str">
        <f>IFERROR(__xludf.DUMMYFUNCTION("""COMPUTED_VALUE"""),"SINAPRESE")</f>
        <v>SINAPRESE</v>
      </c>
      <c r="R359" s="64" t="str">
        <f>IFERROR(__xludf.DUMMYFUNCTION("""COMPUTED_VALUE"""),"APOYO ATLETISMO")</f>
        <v>APOYO ATLETISMO</v>
      </c>
      <c r="S359" s="64" t="str">
        <f>IFERROR(__xludf.DUMMYFUNCTION("""COMPUTED_VALUE"""),"APOYO A CICLISMO")</f>
        <v>APOYO A CICLISMO</v>
      </c>
      <c r="T359" s="64" t="str">
        <f>IFERROR(__xludf.DUMMYFUNCTION("""COMPUTED_VALUE"""),"DESCARGA DE BATERÍA")</f>
        <v>DESCARGA DE BATERÍA</v>
      </c>
      <c r="U359" s="64" t="str">
        <f>IFERROR(__xludf.DUMMYFUNCTION("""COMPUTED_VALUE"""),"PROBLEMAS DE SALUD")</f>
        <v>PROBLEMAS DE SALUD</v>
      </c>
      <c r="V359" s="64" t="str">
        <f>IFERROR(__xludf.DUMMYFUNCTION("""COMPUTED_VALUE"""),"OLVIDO LA LLAVE")</f>
        <v>OLVIDO LA LLAVE</v>
      </c>
      <c r="W359" s="64" t="str">
        <f>IFERROR(__xludf.DUMMYFUNCTION("""COMPUTED_VALUE"""),"CARGA SOBREDIMENSIONADA")</f>
        <v>CARGA SOBREDIMENSIONADA</v>
      </c>
      <c r="X359" s="64" t="str">
        <f>IFERROR(__xludf.DUMMYFUNCTION("""COMPUTED_VALUE"""),"VEHÍCULO ABANDONADO")</f>
        <v>VEHÍCULO ABANDONADO</v>
      </c>
      <c r="Y359" s="64" t="str">
        <f>IFERROR(__xludf.DUMMYFUNCTION("""COMPUTED_VALUE"""),"DESPRENDIMIENTO")</f>
        <v>DESPRENDIMIENTO</v>
      </c>
      <c r="Z359" s="64" t="str">
        <f>IFERROR(__xludf.DUMMYFUNCTION("""COMPUTED_VALUE"""),"CAÍDA DE POSTE")</f>
        <v>CAÍDA DE POSTE</v>
      </c>
      <c r="AA359" s="64" t="str">
        <f>IFERROR(__xludf.DUMMYFUNCTION("""COMPUTED_VALUE"""),"CAÍDA DE RAMA")</f>
        <v>CAÍDA DE RAMA</v>
      </c>
      <c r="AB359" s="64" t="str">
        <f>IFERROR(__xludf.DUMMYFUNCTION("""COMPUTED_VALUE"""),"OPERATIVO DGT")</f>
        <v>OPERATIVO DGT</v>
      </c>
      <c r="AC359" s="64" t="str">
        <f>IFERROR(__xludf.DUMMYFUNCTION("""COMPUTED_VALUE"""),"OPERATIVO PMT")</f>
        <v>OPERATIVO PMT</v>
      </c>
      <c r="AD359" s="64" t="str">
        <f>IFERROR(__xludf.DUMMYFUNCTION("""COMPUTED_VALUE"""),"APOYO A DIGEF")</f>
        <v>APOYO A DIGEF</v>
      </c>
      <c r="AE359" s="64" t="str">
        <f>IFERROR(__xludf.DUMMYFUNCTION("""COMPUTED_VALUE"""),"OPERATIVO PNC TRANSITO")</f>
        <v>OPERATIVO PNC TRANSITO</v>
      </c>
      <c r="AF359" s="64" t="str">
        <f>IFERROR(__xludf.DUMMYFUNCTION("""COMPUTED_VALUE"""),"SOBRECARGA ")</f>
        <v>SOBRECARGA </v>
      </c>
      <c r="AG359" s="64" t="str">
        <f>IFERROR(__xludf.DUMMYFUNCTION("""COMPUTED_VALUE"""),"OPERATIVO EN CONJUNTO")</f>
        <v>OPERATIVO EN CONJUNTO</v>
      </c>
      <c r="AH359" s="64" t="str">
        <f>IFERROR(__xludf.DUMMYFUNCTION("""COMPUTED_VALUE"""),"PUESTO DE ATENCION AL USUARIO")</f>
        <v>PUESTO DE ATENCION AL USUARIO</v>
      </c>
      <c r="AI359" s="64" t="str">
        <f>IFERROR(__xludf.DUMMYFUNCTION("""COMPUTED_VALUE"""),"INCENDIO EN RUTA")</f>
        <v>INCENDIO EN RUTA</v>
      </c>
      <c r="AJ359" s="64" t="str">
        <f>IFERROR(__xludf.DUMMYFUNCTION("""COMPUTED_VALUE"""),"APOYO ANTORCHA ")</f>
        <v>APOYO ANTORCHA </v>
      </c>
    </row>
    <row r="360">
      <c r="B360" s="64" t="s">
        <v>38</v>
      </c>
      <c r="C360" s="64" t="str">
        <f>IFERROR(__xludf.DUMMYFUNCTION(" TRANSPOSE( unique ( QUERY(DATOPRO,""select Col2 where Col1 = '""&amp;B360&amp;""'"")))"),"ATAQUE ARMADO")</f>
        <v>ATAQUE ARMADO</v>
      </c>
      <c r="D360" s="64" t="str">
        <f>IFERROR(__xludf.DUMMYFUNCTION("""COMPUTED_VALUE"""),"DESBALANCE DE CARGA")</f>
        <v>DESBALANCE DE CARGA</v>
      </c>
      <c r="E360" s="64" t="str">
        <f>IFERROR(__xludf.DUMMYFUNCTION("""COMPUTED_VALUE"""),"PERSONA FALLECIDA")</f>
        <v>PERSONA FALLECIDA</v>
      </c>
      <c r="F360" s="64" t="str">
        <f>IFERROR(__xludf.DUMMYFUNCTION("""COMPUTED_VALUE"""),"DESPRENDIMIENTO DE NEUMATICO")</f>
        <v>DESPRENDIMIENTO DE NEUMATICO</v>
      </c>
      <c r="G360" s="64" t="str">
        <f>IFERROR(__xludf.DUMMYFUNCTION("""COMPUTED_VALUE"""),"SALIDA DE PISTA")</f>
        <v>SALIDA DE PISTA</v>
      </c>
      <c r="H360" s="64" t="str">
        <f>IFERROR(__xludf.DUMMYFUNCTION("""COMPUTED_VALUE"""),"DESPRENDIMIENTO DE CONTENEDOR")</f>
        <v>DESPRENDIMIENTO DE CONTENEDOR</v>
      </c>
      <c r="I360" s="64" t="str">
        <f>IFERROR(__xludf.DUMMYFUNCTION("""COMPUTED_VALUE"""),"CAÍDA DE CARGA")</f>
        <v>CAÍDA DE CARGA</v>
      </c>
      <c r="J360" s="64" t="str">
        <f>IFERROR(__xludf.DUMMYFUNCTION("""COMPUTED_VALUE"""),"CHOQUE")</f>
        <v>CHOQUE</v>
      </c>
      <c r="K360" s="64" t="str">
        <f>IFERROR(__xludf.DUMMYFUNCTION("""COMPUTED_VALUE"""),"COLISIÓN")</f>
        <v>COLISIÓN</v>
      </c>
      <c r="L360" s="64" t="str">
        <f>IFERROR(__xludf.DUMMYFUNCTION("""COMPUTED_VALUE"""),"COLISIÓN MÚLTIPLE")</f>
        <v>COLISIÓN MÚLTIPLE</v>
      </c>
      <c r="M360" s="64" t="str">
        <f>IFERROR(__xludf.DUMMYFUNCTION("""COMPUTED_VALUE"""),"DERRAPE")</f>
        <v>DERRAPE</v>
      </c>
      <c r="N360" s="64" t="str">
        <f>IFERROR(__xludf.DUMMYFUNCTION("""COMPUTED_VALUE"""),"VEHÍCULO INCENDIADO")</f>
        <v>VEHÍCULO INCENDIADO</v>
      </c>
      <c r="O360" s="64" t="str">
        <f>IFERROR(__xludf.DUMMYFUNCTION("""COMPUTED_VALUE"""),"VUELCO")</f>
        <v>VUELCO</v>
      </c>
      <c r="P360" s="64" t="str">
        <f>IFERROR(__xludf.DUMMYFUNCTION("""COMPUTED_VALUE"""),"DESPRENDIMIENTO")</f>
        <v>DESPRENDIMIENTO</v>
      </c>
      <c r="Q360" s="64" t="str">
        <f>IFERROR(__xludf.DUMMYFUNCTION("""COMPUTED_VALUE"""),"CAÍDA DE ÁRBOL")</f>
        <v>CAÍDA DE ÁRBOL</v>
      </c>
      <c r="R360" s="64" t="str">
        <f>IFERROR(__xludf.DUMMYFUNCTION("""COMPUTED_VALUE"""),"DESPRENDIMIENTO DE EJE")</f>
        <v>DESPRENDIMIENTO DE EJE</v>
      </c>
      <c r="S360" s="64" t="str">
        <f>IFERROR(__xludf.DUMMYFUNCTION("""COMPUTED_VALUE"""),"PERSONA ATROPELLADA")</f>
        <v>PERSONA ATROPELLADA</v>
      </c>
    </row>
    <row r="361">
      <c r="B361" s="64" t="s">
        <v>54</v>
      </c>
      <c r="C361" s="64" t="str">
        <f>IFERROR(__xludf.DUMMYFUNCTION(" TRANSPOSE( unique ( QUERY(DATOPRO,""select Col2 where Col1 = '""&amp;B361&amp;""'"")))"),"PINCHAZO")</f>
        <v>PINCHAZO</v>
      </c>
      <c r="D361" s="64" t="str">
        <f>IFERROR(__xludf.DUMMYFUNCTION("""COMPUTED_VALUE"""),"TRABAJOS DE CARRETERA")</f>
        <v>TRABAJOS DE CARRETERA</v>
      </c>
      <c r="E361" s="64" t="str">
        <f>IFERROR(__xludf.DUMMYFUNCTION("""COMPUTED_VALUE"""),"CONSIGNACIÓN")</f>
        <v>CONSIGNACIÓN</v>
      </c>
      <c r="F361" s="64" t="str">
        <f>IFERROR(__xludf.DUMMYFUNCTION("""COMPUTED_VALUE"""),"DERRAME")</f>
        <v>DERRAME</v>
      </c>
      <c r="G361" s="64" t="str">
        <f>IFERROR(__xludf.DUMMYFUNCTION("""COMPUTED_VALUE"""),"CALENTAMIENTO")</f>
        <v>CALENTAMIENTO</v>
      </c>
      <c r="H361" s="64" t="str">
        <f>IFERROR(__xludf.DUMMYFUNCTION("""COMPUTED_VALUE"""),"ESCOLTANDO")</f>
        <v>ESCOLTANDO</v>
      </c>
      <c r="I361" s="64" t="str">
        <f>IFERROR(__xludf.DUMMYFUNCTION("""COMPUTED_VALUE"""),"FALTA DE COMBUSTIBLE")</f>
        <v>FALTA DE COMBUSTIBLE</v>
      </c>
      <c r="J361" s="64" t="str">
        <f>IFERROR(__xludf.DUMMYFUNCTION("""COMPUTED_VALUE"""),"DESPERFECTOS MECÁNICOS")</f>
        <v>DESPERFECTOS MECÁNICOS</v>
      </c>
      <c r="K361" s="64" t="str">
        <f>IFERROR(__xludf.DUMMYFUNCTION("""COMPUTED_VALUE"""),"LLAMADA DE ATENCIÓN")</f>
        <v>LLAMADA DE ATENCIÓN</v>
      </c>
      <c r="L361" s="64" t="str">
        <f>IFERROR(__xludf.DUMMYFUNCTION("""COMPUTED_VALUE"""),"OPERATIVOS")</f>
        <v>OPERATIVOS</v>
      </c>
      <c r="M361" s="64" t="str">
        <f>IFERROR(__xludf.DUMMYFUNCTION("""COMPUTED_VALUE"""),"SANCIÓN")</f>
        <v>SANCIÓN</v>
      </c>
      <c r="N361" s="64" t="str">
        <f>IFERROR(__xludf.DUMMYFUNCTION("""COMPUTED_VALUE"""),"SISTEMA ELECTRICO")</f>
        <v>SISTEMA ELECTRICO</v>
      </c>
      <c r="O361" s="64" t="str">
        <f>IFERROR(__xludf.DUMMYFUNCTION("""COMPUTED_VALUE"""),"ASISTENCIA AL USUARIO")</f>
        <v>ASISTENCIA AL USUARIO</v>
      </c>
      <c r="P361" s="64" t="str">
        <f>IFERROR(__xludf.DUMMYFUNCTION("""COMPUTED_VALUE"""),"DOBLE REMOLQUE")</f>
        <v>DOBLE REMOLQUE</v>
      </c>
      <c r="Q361" s="64" t="str">
        <f>IFERROR(__xludf.DUMMYFUNCTION("""COMPUTED_VALUE"""),"SINAPRESE")</f>
        <v>SINAPRESE</v>
      </c>
      <c r="R361" s="64" t="str">
        <f>IFERROR(__xludf.DUMMYFUNCTION("""COMPUTED_VALUE"""),"APOYO ATLETISMO")</f>
        <v>APOYO ATLETISMO</v>
      </c>
      <c r="S361" s="64" t="str">
        <f>IFERROR(__xludf.DUMMYFUNCTION("""COMPUTED_VALUE"""),"APOYO A CICLISMO")</f>
        <v>APOYO A CICLISMO</v>
      </c>
      <c r="T361" s="64" t="str">
        <f>IFERROR(__xludf.DUMMYFUNCTION("""COMPUTED_VALUE"""),"DESCARGA DE BATERÍA")</f>
        <v>DESCARGA DE BATERÍA</v>
      </c>
      <c r="U361" s="64" t="str">
        <f>IFERROR(__xludf.DUMMYFUNCTION("""COMPUTED_VALUE"""),"PROBLEMAS DE SALUD")</f>
        <v>PROBLEMAS DE SALUD</v>
      </c>
      <c r="V361" s="64" t="str">
        <f>IFERROR(__xludf.DUMMYFUNCTION("""COMPUTED_VALUE"""),"OLVIDO LA LLAVE")</f>
        <v>OLVIDO LA LLAVE</v>
      </c>
      <c r="W361" s="64" t="str">
        <f>IFERROR(__xludf.DUMMYFUNCTION("""COMPUTED_VALUE"""),"CARGA SOBREDIMENSIONADA")</f>
        <v>CARGA SOBREDIMENSIONADA</v>
      </c>
      <c r="X361" s="64" t="str">
        <f>IFERROR(__xludf.DUMMYFUNCTION("""COMPUTED_VALUE"""),"VEHÍCULO ABANDONADO")</f>
        <v>VEHÍCULO ABANDONADO</v>
      </c>
      <c r="Y361" s="64" t="str">
        <f>IFERROR(__xludf.DUMMYFUNCTION("""COMPUTED_VALUE"""),"DESPRENDIMIENTO")</f>
        <v>DESPRENDIMIENTO</v>
      </c>
      <c r="Z361" s="64" t="str">
        <f>IFERROR(__xludf.DUMMYFUNCTION("""COMPUTED_VALUE"""),"CAÍDA DE POSTE")</f>
        <v>CAÍDA DE POSTE</v>
      </c>
      <c r="AA361" s="64" t="str">
        <f>IFERROR(__xludf.DUMMYFUNCTION("""COMPUTED_VALUE"""),"CAÍDA DE RAMA")</f>
        <v>CAÍDA DE RAMA</v>
      </c>
      <c r="AB361" s="64" t="str">
        <f>IFERROR(__xludf.DUMMYFUNCTION("""COMPUTED_VALUE"""),"OPERATIVO DGT")</f>
        <v>OPERATIVO DGT</v>
      </c>
      <c r="AC361" s="64" t="str">
        <f>IFERROR(__xludf.DUMMYFUNCTION("""COMPUTED_VALUE"""),"OPERATIVO PMT")</f>
        <v>OPERATIVO PMT</v>
      </c>
      <c r="AD361" s="64" t="str">
        <f>IFERROR(__xludf.DUMMYFUNCTION("""COMPUTED_VALUE"""),"APOYO A DIGEF")</f>
        <v>APOYO A DIGEF</v>
      </c>
      <c r="AE361" s="64" t="str">
        <f>IFERROR(__xludf.DUMMYFUNCTION("""COMPUTED_VALUE"""),"OPERATIVO PNC TRANSITO")</f>
        <v>OPERATIVO PNC TRANSITO</v>
      </c>
      <c r="AF361" s="64" t="str">
        <f>IFERROR(__xludf.DUMMYFUNCTION("""COMPUTED_VALUE"""),"SOBRECARGA ")</f>
        <v>SOBRECARGA </v>
      </c>
      <c r="AG361" s="64" t="str">
        <f>IFERROR(__xludf.DUMMYFUNCTION("""COMPUTED_VALUE"""),"OPERATIVO EN CONJUNTO")</f>
        <v>OPERATIVO EN CONJUNTO</v>
      </c>
      <c r="AH361" s="64" t="str">
        <f>IFERROR(__xludf.DUMMYFUNCTION("""COMPUTED_VALUE"""),"PUESTO DE ATENCION AL USUARIO")</f>
        <v>PUESTO DE ATENCION AL USUARIO</v>
      </c>
      <c r="AI361" s="64" t="str">
        <f>IFERROR(__xludf.DUMMYFUNCTION("""COMPUTED_VALUE"""),"INCENDIO EN RUTA")</f>
        <v>INCENDIO EN RUTA</v>
      </c>
      <c r="AJ361" s="64" t="str">
        <f>IFERROR(__xludf.DUMMYFUNCTION("""COMPUTED_VALUE"""),"APOYO ANTORCHA ")</f>
        <v>APOYO ANTORCHA </v>
      </c>
    </row>
    <row r="362">
      <c r="B362" s="64" t="s">
        <v>54</v>
      </c>
      <c r="C362" s="64" t="str">
        <f>IFERROR(__xludf.DUMMYFUNCTION(" TRANSPOSE( unique ( QUERY(DATOPRO,""select Col2 where Col1 = '""&amp;B362&amp;""'"")))"),"PINCHAZO")</f>
        <v>PINCHAZO</v>
      </c>
      <c r="D362" s="64" t="str">
        <f>IFERROR(__xludf.DUMMYFUNCTION("""COMPUTED_VALUE"""),"TRABAJOS DE CARRETERA")</f>
        <v>TRABAJOS DE CARRETERA</v>
      </c>
      <c r="E362" s="64" t="str">
        <f>IFERROR(__xludf.DUMMYFUNCTION("""COMPUTED_VALUE"""),"CONSIGNACIÓN")</f>
        <v>CONSIGNACIÓN</v>
      </c>
      <c r="F362" s="64" t="str">
        <f>IFERROR(__xludf.DUMMYFUNCTION("""COMPUTED_VALUE"""),"DERRAME")</f>
        <v>DERRAME</v>
      </c>
      <c r="G362" s="64" t="str">
        <f>IFERROR(__xludf.DUMMYFUNCTION("""COMPUTED_VALUE"""),"CALENTAMIENTO")</f>
        <v>CALENTAMIENTO</v>
      </c>
      <c r="H362" s="64" t="str">
        <f>IFERROR(__xludf.DUMMYFUNCTION("""COMPUTED_VALUE"""),"ESCOLTANDO")</f>
        <v>ESCOLTANDO</v>
      </c>
      <c r="I362" s="64" t="str">
        <f>IFERROR(__xludf.DUMMYFUNCTION("""COMPUTED_VALUE"""),"FALTA DE COMBUSTIBLE")</f>
        <v>FALTA DE COMBUSTIBLE</v>
      </c>
      <c r="J362" s="64" t="str">
        <f>IFERROR(__xludf.DUMMYFUNCTION("""COMPUTED_VALUE"""),"DESPERFECTOS MECÁNICOS")</f>
        <v>DESPERFECTOS MECÁNICOS</v>
      </c>
      <c r="K362" s="64" t="str">
        <f>IFERROR(__xludf.DUMMYFUNCTION("""COMPUTED_VALUE"""),"LLAMADA DE ATENCIÓN")</f>
        <v>LLAMADA DE ATENCIÓN</v>
      </c>
      <c r="L362" s="64" t="str">
        <f>IFERROR(__xludf.DUMMYFUNCTION("""COMPUTED_VALUE"""),"OPERATIVOS")</f>
        <v>OPERATIVOS</v>
      </c>
      <c r="M362" s="64" t="str">
        <f>IFERROR(__xludf.DUMMYFUNCTION("""COMPUTED_VALUE"""),"SANCIÓN")</f>
        <v>SANCIÓN</v>
      </c>
      <c r="N362" s="64" t="str">
        <f>IFERROR(__xludf.DUMMYFUNCTION("""COMPUTED_VALUE"""),"SISTEMA ELECTRICO")</f>
        <v>SISTEMA ELECTRICO</v>
      </c>
      <c r="O362" s="64" t="str">
        <f>IFERROR(__xludf.DUMMYFUNCTION("""COMPUTED_VALUE"""),"ASISTENCIA AL USUARIO")</f>
        <v>ASISTENCIA AL USUARIO</v>
      </c>
      <c r="P362" s="64" t="str">
        <f>IFERROR(__xludf.DUMMYFUNCTION("""COMPUTED_VALUE"""),"DOBLE REMOLQUE")</f>
        <v>DOBLE REMOLQUE</v>
      </c>
      <c r="Q362" s="64" t="str">
        <f>IFERROR(__xludf.DUMMYFUNCTION("""COMPUTED_VALUE"""),"SINAPRESE")</f>
        <v>SINAPRESE</v>
      </c>
      <c r="R362" s="64" t="str">
        <f>IFERROR(__xludf.DUMMYFUNCTION("""COMPUTED_VALUE"""),"APOYO ATLETISMO")</f>
        <v>APOYO ATLETISMO</v>
      </c>
      <c r="S362" s="64" t="str">
        <f>IFERROR(__xludf.DUMMYFUNCTION("""COMPUTED_VALUE"""),"APOYO A CICLISMO")</f>
        <v>APOYO A CICLISMO</v>
      </c>
      <c r="T362" s="64" t="str">
        <f>IFERROR(__xludf.DUMMYFUNCTION("""COMPUTED_VALUE"""),"DESCARGA DE BATERÍA")</f>
        <v>DESCARGA DE BATERÍA</v>
      </c>
      <c r="U362" s="64" t="str">
        <f>IFERROR(__xludf.DUMMYFUNCTION("""COMPUTED_VALUE"""),"PROBLEMAS DE SALUD")</f>
        <v>PROBLEMAS DE SALUD</v>
      </c>
      <c r="V362" s="64" t="str">
        <f>IFERROR(__xludf.DUMMYFUNCTION("""COMPUTED_VALUE"""),"OLVIDO LA LLAVE")</f>
        <v>OLVIDO LA LLAVE</v>
      </c>
      <c r="W362" s="64" t="str">
        <f>IFERROR(__xludf.DUMMYFUNCTION("""COMPUTED_VALUE"""),"CARGA SOBREDIMENSIONADA")</f>
        <v>CARGA SOBREDIMENSIONADA</v>
      </c>
      <c r="X362" s="64" t="str">
        <f>IFERROR(__xludf.DUMMYFUNCTION("""COMPUTED_VALUE"""),"VEHÍCULO ABANDONADO")</f>
        <v>VEHÍCULO ABANDONADO</v>
      </c>
      <c r="Y362" s="64" t="str">
        <f>IFERROR(__xludf.DUMMYFUNCTION("""COMPUTED_VALUE"""),"DESPRENDIMIENTO")</f>
        <v>DESPRENDIMIENTO</v>
      </c>
      <c r="Z362" s="64" t="str">
        <f>IFERROR(__xludf.DUMMYFUNCTION("""COMPUTED_VALUE"""),"CAÍDA DE POSTE")</f>
        <v>CAÍDA DE POSTE</v>
      </c>
      <c r="AA362" s="64" t="str">
        <f>IFERROR(__xludf.DUMMYFUNCTION("""COMPUTED_VALUE"""),"CAÍDA DE RAMA")</f>
        <v>CAÍDA DE RAMA</v>
      </c>
      <c r="AB362" s="64" t="str">
        <f>IFERROR(__xludf.DUMMYFUNCTION("""COMPUTED_VALUE"""),"OPERATIVO DGT")</f>
        <v>OPERATIVO DGT</v>
      </c>
      <c r="AC362" s="64" t="str">
        <f>IFERROR(__xludf.DUMMYFUNCTION("""COMPUTED_VALUE"""),"OPERATIVO PMT")</f>
        <v>OPERATIVO PMT</v>
      </c>
      <c r="AD362" s="64" t="str">
        <f>IFERROR(__xludf.DUMMYFUNCTION("""COMPUTED_VALUE"""),"APOYO A DIGEF")</f>
        <v>APOYO A DIGEF</v>
      </c>
      <c r="AE362" s="64" t="str">
        <f>IFERROR(__xludf.DUMMYFUNCTION("""COMPUTED_VALUE"""),"OPERATIVO PNC TRANSITO")</f>
        <v>OPERATIVO PNC TRANSITO</v>
      </c>
      <c r="AF362" s="64" t="str">
        <f>IFERROR(__xludf.DUMMYFUNCTION("""COMPUTED_VALUE"""),"SOBRECARGA ")</f>
        <v>SOBRECARGA </v>
      </c>
      <c r="AG362" s="64" t="str">
        <f>IFERROR(__xludf.DUMMYFUNCTION("""COMPUTED_VALUE"""),"OPERATIVO EN CONJUNTO")</f>
        <v>OPERATIVO EN CONJUNTO</v>
      </c>
      <c r="AH362" s="64" t="str">
        <f>IFERROR(__xludf.DUMMYFUNCTION("""COMPUTED_VALUE"""),"PUESTO DE ATENCION AL USUARIO")</f>
        <v>PUESTO DE ATENCION AL USUARIO</v>
      </c>
      <c r="AI362" s="64" t="str">
        <f>IFERROR(__xludf.DUMMYFUNCTION("""COMPUTED_VALUE"""),"INCENDIO EN RUTA")</f>
        <v>INCENDIO EN RUTA</v>
      </c>
      <c r="AJ362" s="64" t="str">
        <f>IFERROR(__xludf.DUMMYFUNCTION("""COMPUTED_VALUE"""),"APOYO ANTORCHA ")</f>
        <v>APOYO ANTORCHA </v>
      </c>
    </row>
    <row r="363">
      <c r="B363" s="64" t="s">
        <v>54</v>
      </c>
      <c r="C363" s="64" t="str">
        <f>IFERROR(__xludf.DUMMYFUNCTION(" TRANSPOSE( unique ( QUERY(DATOPRO,""select Col2 where Col1 = '""&amp;B363&amp;""'"")))"),"PINCHAZO")</f>
        <v>PINCHAZO</v>
      </c>
      <c r="D363" s="64" t="str">
        <f>IFERROR(__xludf.DUMMYFUNCTION("""COMPUTED_VALUE"""),"TRABAJOS DE CARRETERA")</f>
        <v>TRABAJOS DE CARRETERA</v>
      </c>
      <c r="E363" s="64" t="str">
        <f>IFERROR(__xludf.DUMMYFUNCTION("""COMPUTED_VALUE"""),"CONSIGNACIÓN")</f>
        <v>CONSIGNACIÓN</v>
      </c>
      <c r="F363" s="64" t="str">
        <f>IFERROR(__xludf.DUMMYFUNCTION("""COMPUTED_VALUE"""),"DERRAME")</f>
        <v>DERRAME</v>
      </c>
      <c r="G363" s="64" t="str">
        <f>IFERROR(__xludf.DUMMYFUNCTION("""COMPUTED_VALUE"""),"CALENTAMIENTO")</f>
        <v>CALENTAMIENTO</v>
      </c>
      <c r="H363" s="64" t="str">
        <f>IFERROR(__xludf.DUMMYFUNCTION("""COMPUTED_VALUE"""),"ESCOLTANDO")</f>
        <v>ESCOLTANDO</v>
      </c>
      <c r="I363" s="64" t="str">
        <f>IFERROR(__xludf.DUMMYFUNCTION("""COMPUTED_VALUE"""),"FALTA DE COMBUSTIBLE")</f>
        <v>FALTA DE COMBUSTIBLE</v>
      </c>
      <c r="J363" s="64" t="str">
        <f>IFERROR(__xludf.DUMMYFUNCTION("""COMPUTED_VALUE"""),"DESPERFECTOS MECÁNICOS")</f>
        <v>DESPERFECTOS MECÁNICOS</v>
      </c>
      <c r="K363" s="64" t="str">
        <f>IFERROR(__xludf.DUMMYFUNCTION("""COMPUTED_VALUE"""),"LLAMADA DE ATENCIÓN")</f>
        <v>LLAMADA DE ATENCIÓN</v>
      </c>
      <c r="L363" s="64" t="str">
        <f>IFERROR(__xludf.DUMMYFUNCTION("""COMPUTED_VALUE"""),"OPERATIVOS")</f>
        <v>OPERATIVOS</v>
      </c>
      <c r="M363" s="64" t="str">
        <f>IFERROR(__xludf.DUMMYFUNCTION("""COMPUTED_VALUE"""),"SANCIÓN")</f>
        <v>SANCIÓN</v>
      </c>
      <c r="N363" s="64" t="str">
        <f>IFERROR(__xludf.DUMMYFUNCTION("""COMPUTED_VALUE"""),"SISTEMA ELECTRICO")</f>
        <v>SISTEMA ELECTRICO</v>
      </c>
      <c r="O363" s="64" t="str">
        <f>IFERROR(__xludf.DUMMYFUNCTION("""COMPUTED_VALUE"""),"ASISTENCIA AL USUARIO")</f>
        <v>ASISTENCIA AL USUARIO</v>
      </c>
      <c r="P363" s="64" t="str">
        <f>IFERROR(__xludf.DUMMYFUNCTION("""COMPUTED_VALUE"""),"DOBLE REMOLQUE")</f>
        <v>DOBLE REMOLQUE</v>
      </c>
      <c r="Q363" s="64" t="str">
        <f>IFERROR(__xludf.DUMMYFUNCTION("""COMPUTED_VALUE"""),"SINAPRESE")</f>
        <v>SINAPRESE</v>
      </c>
      <c r="R363" s="64" t="str">
        <f>IFERROR(__xludf.DUMMYFUNCTION("""COMPUTED_VALUE"""),"APOYO ATLETISMO")</f>
        <v>APOYO ATLETISMO</v>
      </c>
      <c r="S363" s="64" t="str">
        <f>IFERROR(__xludf.DUMMYFUNCTION("""COMPUTED_VALUE"""),"APOYO A CICLISMO")</f>
        <v>APOYO A CICLISMO</v>
      </c>
      <c r="T363" s="64" t="str">
        <f>IFERROR(__xludf.DUMMYFUNCTION("""COMPUTED_VALUE"""),"DESCARGA DE BATERÍA")</f>
        <v>DESCARGA DE BATERÍA</v>
      </c>
      <c r="U363" s="64" t="str">
        <f>IFERROR(__xludf.DUMMYFUNCTION("""COMPUTED_VALUE"""),"PROBLEMAS DE SALUD")</f>
        <v>PROBLEMAS DE SALUD</v>
      </c>
      <c r="V363" s="64" t="str">
        <f>IFERROR(__xludf.DUMMYFUNCTION("""COMPUTED_VALUE"""),"OLVIDO LA LLAVE")</f>
        <v>OLVIDO LA LLAVE</v>
      </c>
      <c r="W363" s="64" t="str">
        <f>IFERROR(__xludf.DUMMYFUNCTION("""COMPUTED_VALUE"""),"CARGA SOBREDIMENSIONADA")</f>
        <v>CARGA SOBREDIMENSIONADA</v>
      </c>
      <c r="X363" s="64" t="str">
        <f>IFERROR(__xludf.DUMMYFUNCTION("""COMPUTED_VALUE"""),"VEHÍCULO ABANDONADO")</f>
        <v>VEHÍCULO ABANDONADO</v>
      </c>
      <c r="Y363" s="64" t="str">
        <f>IFERROR(__xludf.DUMMYFUNCTION("""COMPUTED_VALUE"""),"DESPRENDIMIENTO")</f>
        <v>DESPRENDIMIENTO</v>
      </c>
      <c r="Z363" s="64" t="str">
        <f>IFERROR(__xludf.DUMMYFUNCTION("""COMPUTED_VALUE"""),"CAÍDA DE POSTE")</f>
        <v>CAÍDA DE POSTE</v>
      </c>
      <c r="AA363" s="64" t="str">
        <f>IFERROR(__xludf.DUMMYFUNCTION("""COMPUTED_VALUE"""),"CAÍDA DE RAMA")</f>
        <v>CAÍDA DE RAMA</v>
      </c>
      <c r="AB363" s="64" t="str">
        <f>IFERROR(__xludf.DUMMYFUNCTION("""COMPUTED_VALUE"""),"OPERATIVO DGT")</f>
        <v>OPERATIVO DGT</v>
      </c>
      <c r="AC363" s="64" t="str">
        <f>IFERROR(__xludf.DUMMYFUNCTION("""COMPUTED_VALUE"""),"OPERATIVO PMT")</f>
        <v>OPERATIVO PMT</v>
      </c>
      <c r="AD363" s="64" t="str">
        <f>IFERROR(__xludf.DUMMYFUNCTION("""COMPUTED_VALUE"""),"APOYO A DIGEF")</f>
        <v>APOYO A DIGEF</v>
      </c>
      <c r="AE363" s="64" t="str">
        <f>IFERROR(__xludf.DUMMYFUNCTION("""COMPUTED_VALUE"""),"OPERATIVO PNC TRANSITO")</f>
        <v>OPERATIVO PNC TRANSITO</v>
      </c>
      <c r="AF363" s="64" t="str">
        <f>IFERROR(__xludf.DUMMYFUNCTION("""COMPUTED_VALUE"""),"SOBRECARGA ")</f>
        <v>SOBRECARGA </v>
      </c>
      <c r="AG363" s="64" t="str">
        <f>IFERROR(__xludf.DUMMYFUNCTION("""COMPUTED_VALUE"""),"OPERATIVO EN CONJUNTO")</f>
        <v>OPERATIVO EN CONJUNTO</v>
      </c>
      <c r="AH363" s="64" t="str">
        <f>IFERROR(__xludf.DUMMYFUNCTION("""COMPUTED_VALUE"""),"PUESTO DE ATENCION AL USUARIO")</f>
        <v>PUESTO DE ATENCION AL USUARIO</v>
      </c>
      <c r="AI363" s="64" t="str">
        <f>IFERROR(__xludf.DUMMYFUNCTION("""COMPUTED_VALUE"""),"INCENDIO EN RUTA")</f>
        <v>INCENDIO EN RUTA</v>
      </c>
      <c r="AJ363" s="64" t="str">
        <f>IFERROR(__xludf.DUMMYFUNCTION("""COMPUTED_VALUE"""),"APOYO ANTORCHA ")</f>
        <v>APOYO ANTORCHA </v>
      </c>
    </row>
    <row r="364">
      <c r="B364" s="64" t="s">
        <v>38</v>
      </c>
      <c r="C364" s="64" t="str">
        <f>IFERROR(__xludf.DUMMYFUNCTION(" TRANSPOSE( unique ( QUERY(DATOPRO,""select Col2 where Col1 = '""&amp;B364&amp;""'"")))"),"ATAQUE ARMADO")</f>
        <v>ATAQUE ARMADO</v>
      </c>
      <c r="D364" s="64" t="str">
        <f>IFERROR(__xludf.DUMMYFUNCTION("""COMPUTED_VALUE"""),"DESBALANCE DE CARGA")</f>
        <v>DESBALANCE DE CARGA</v>
      </c>
      <c r="E364" s="64" t="str">
        <f>IFERROR(__xludf.DUMMYFUNCTION("""COMPUTED_VALUE"""),"PERSONA FALLECIDA")</f>
        <v>PERSONA FALLECIDA</v>
      </c>
      <c r="F364" s="64" t="str">
        <f>IFERROR(__xludf.DUMMYFUNCTION("""COMPUTED_VALUE"""),"DESPRENDIMIENTO DE NEUMATICO")</f>
        <v>DESPRENDIMIENTO DE NEUMATICO</v>
      </c>
      <c r="G364" s="64" t="str">
        <f>IFERROR(__xludf.DUMMYFUNCTION("""COMPUTED_VALUE"""),"SALIDA DE PISTA")</f>
        <v>SALIDA DE PISTA</v>
      </c>
      <c r="H364" s="64" t="str">
        <f>IFERROR(__xludf.DUMMYFUNCTION("""COMPUTED_VALUE"""),"DESPRENDIMIENTO DE CONTENEDOR")</f>
        <v>DESPRENDIMIENTO DE CONTENEDOR</v>
      </c>
      <c r="I364" s="64" t="str">
        <f>IFERROR(__xludf.DUMMYFUNCTION("""COMPUTED_VALUE"""),"CAÍDA DE CARGA")</f>
        <v>CAÍDA DE CARGA</v>
      </c>
      <c r="J364" s="64" t="str">
        <f>IFERROR(__xludf.DUMMYFUNCTION("""COMPUTED_VALUE"""),"CHOQUE")</f>
        <v>CHOQUE</v>
      </c>
      <c r="K364" s="64" t="str">
        <f>IFERROR(__xludf.DUMMYFUNCTION("""COMPUTED_VALUE"""),"COLISIÓN")</f>
        <v>COLISIÓN</v>
      </c>
      <c r="L364" s="64" t="str">
        <f>IFERROR(__xludf.DUMMYFUNCTION("""COMPUTED_VALUE"""),"COLISIÓN MÚLTIPLE")</f>
        <v>COLISIÓN MÚLTIPLE</v>
      </c>
      <c r="M364" s="64" t="str">
        <f>IFERROR(__xludf.DUMMYFUNCTION("""COMPUTED_VALUE"""),"DERRAPE")</f>
        <v>DERRAPE</v>
      </c>
      <c r="N364" s="64" t="str">
        <f>IFERROR(__xludf.DUMMYFUNCTION("""COMPUTED_VALUE"""),"VEHÍCULO INCENDIADO")</f>
        <v>VEHÍCULO INCENDIADO</v>
      </c>
      <c r="O364" s="64" t="str">
        <f>IFERROR(__xludf.DUMMYFUNCTION("""COMPUTED_VALUE"""),"VUELCO")</f>
        <v>VUELCO</v>
      </c>
      <c r="P364" s="64" t="str">
        <f>IFERROR(__xludf.DUMMYFUNCTION("""COMPUTED_VALUE"""),"DESPRENDIMIENTO")</f>
        <v>DESPRENDIMIENTO</v>
      </c>
      <c r="Q364" s="64" t="str">
        <f>IFERROR(__xludf.DUMMYFUNCTION("""COMPUTED_VALUE"""),"CAÍDA DE ÁRBOL")</f>
        <v>CAÍDA DE ÁRBOL</v>
      </c>
      <c r="R364" s="64" t="str">
        <f>IFERROR(__xludf.DUMMYFUNCTION("""COMPUTED_VALUE"""),"DESPRENDIMIENTO DE EJE")</f>
        <v>DESPRENDIMIENTO DE EJE</v>
      </c>
      <c r="S364" s="64" t="str">
        <f>IFERROR(__xludf.DUMMYFUNCTION("""COMPUTED_VALUE"""),"PERSONA ATROPELLADA")</f>
        <v>PERSONA ATROPELLADA</v>
      </c>
    </row>
    <row r="365">
      <c r="B365" s="64" t="s">
        <v>38</v>
      </c>
      <c r="C365" s="64" t="str">
        <f>IFERROR(__xludf.DUMMYFUNCTION(" TRANSPOSE( unique ( QUERY(DATOPRO,""select Col2 where Col1 = '""&amp;B365&amp;""'"")))"),"ATAQUE ARMADO")</f>
        <v>ATAQUE ARMADO</v>
      </c>
      <c r="D365" s="64" t="str">
        <f>IFERROR(__xludf.DUMMYFUNCTION("""COMPUTED_VALUE"""),"DESBALANCE DE CARGA")</f>
        <v>DESBALANCE DE CARGA</v>
      </c>
      <c r="E365" s="64" t="str">
        <f>IFERROR(__xludf.DUMMYFUNCTION("""COMPUTED_VALUE"""),"PERSONA FALLECIDA")</f>
        <v>PERSONA FALLECIDA</v>
      </c>
      <c r="F365" s="64" t="str">
        <f>IFERROR(__xludf.DUMMYFUNCTION("""COMPUTED_VALUE"""),"DESPRENDIMIENTO DE NEUMATICO")</f>
        <v>DESPRENDIMIENTO DE NEUMATICO</v>
      </c>
      <c r="G365" s="64" t="str">
        <f>IFERROR(__xludf.DUMMYFUNCTION("""COMPUTED_VALUE"""),"SALIDA DE PISTA")</f>
        <v>SALIDA DE PISTA</v>
      </c>
      <c r="H365" s="64" t="str">
        <f>IFERROR(__xludf.DUMMYFUNCTION("""COMPUTED_VALUE"""),"DESPRENDIMIENTO DE CONTENEDOR")</f>
        <v>DESPRENDIMIENTO DE CONTENEDOR</v>
      </c>
      <c r="I365" s="64" t="str">
        <f>IFERROR(__xludf.DUMMYFUNCTION("""COMPUTED_VALUE"""),"CAÍDA DE CARGA")</f>
        <v>CAÍDA DE CARGA</v>
      </c>
      <c r="J365" s="64" t="str">
        <f>IFERROR(__xludf.DUMMYFUNCTION("""COMPUTED_VALUE"""),"CHOQUE")</f>
        <v>CHOQUE</v>
      </c>
      <c r="K365" s="64" t="str">
        <f>IFERROR(__xludf.DUMMYFUNCTION("""COMPUTED_VALUE"""),"COLISIÓN")</f>
        <v>COLISIÓN</v>
      </c>
      <c r="L365" s="64" t="str">
        <f>IFERROR(__xludf.DUMMYFUNCTION("""COMPUTED_VALUE"""),"COLISIÓN MÚLTIPLE")</f>
        <v>COLISIÓN MÚLTIPLE</v>
      </c>
      <c r="M365" s="64" t="str">
        <f>IFERROR(__xludf.DUMMYFUNCTION("""COMPUTED_VALUE"""),"DERRAPE")</f>
        <v>DERRAPE</v>
      </c>
      <c r="N365" s="64" t="str">
        <f>IFERROR(__xludf.DUMMYFUNCTION("""COMPUTED_VALUE"""),"VEHÍCULO INCENDIADO")</f>
        <v>VEHÍCULO INCENDIADO</v>
      </c>
      <c r="O365" s="64" t="str">
        <f>IFERROR(__xludf.DUMMYFUNCTION("""COMPUTED_VALUE"""),"VUELCO")</f>
        <v>VUELCO</v>
      </c>
      <c r="P365" s="64" t="str">
        <f>IFERROR(__xludf.DUMMYFUNCTION("""COMPUTED_VALUE"""),"DESPRENDIMIENTO")</f>
        <v>DESPRENDIMIENTO</v>
      </c>
      <c r="Q365" s="64" t="str">
        <f>IFERROR(__xludf.DUMMYFUNCTION("""COMPUTED_VALUE"""),"CAÍDA DE ÁRBOL")</f>
        <v>CAÍDA DE ÁRBOL</v>
      </c>
      <c r="R365" s="64" t="str">
        <f>IFERROR(__xludf.DUMMYFUNCTION("""COMPUTED_VALUE"""),"DESPRENDIMIENTO DE EJE")</f>
        <v>DESPRENDIMIENTO DE EJE</v>
      </c>
      <c r="S365" s="64" t="str">
        <f>IFERROR(__xludf.DUMMYFUNCTION("""COMPUTED_VALUE"""),"PERSONA ATROPELLADA")</f>
        <v>PERSONA ATROPELLADA</v>
      </c>
    </row>
    <row r="366">
      <c r="B366" s="64" t="s">
        <v>54</v>
      </c>
      <c r="C366" s="64" t="str">
        <f>IFERROR(__xludf.DUMMYFUNCTION(" TRANSPOSE( unique ( QUERY(DATOPRO,""select Col2 where Col1 = '""&amp;B366&amp;""'"")))"),"PINCHAZO")</f>
        <v>PINCHAZO</v>
      </c>
      <c r="D366" s="64" t="str">
        <f>IFERROR(__xludf.DUMMYFUNCTION("""COMPUTED_VALUE"""),"TRABAJOS DE CARRETERA")</f>
        <v>TRABAJOS DE CARRETERA</v>
      </c>
      <c r="E366" s="64" t="str">
        <f>IFERROR(__xludf.DUMMYFUNCTION("""COMPUTED_VALUE"""),"CONSIGNACIÓN")</f>
        <v>CONSIGNACIÓN</v>
      </c>
      <c r="F366" s="64" t="str">
        <f>IFERROR(__xludf.DUMMYFUNCTION("""COMPUTED_VALUE"""),"DERRAME")</f>
        <v>DERRAME</v>
      </c>
      <c r="G366" s="64" t="str">
        <f>IFERROR(__xludf.DUMMYFUNCTION("""COMPUTED_VALUE"""),"CALENTAMIENTO")</f>
        <v>CALENTAMIENTO</v>
      </c>
      <c r="H366" s="64" t="str">
        <f>IFERROR(__xludf.DUMMYFUNCTION("""COMPUTED_VALUE"""),"ESCOLTANDO")</f>
        <v>ESCOLTANDO</v>
      </c>
      <c r="I366" s="64" t="str">
        <f>IFERROR(__xludf.DUMMYFUNCTION("""COMPUTED_VALUE"""),"FALTA DE COMBUSTIBLE")</f>
        <v>FALTA DE COMBUSTIBLE</v>
      </c>
      <c r="J366" s="64" t="str">
        <f>IFERROR(__xludf.DUMMYFUNCTION("""COMPUTED_VALUE"""),"DESPERFECTOS MECÁNICOS")</f>
        <v>DESPERFECTOS MECÁNICOS</v>
      </c>
      <c r="K366" s="64" t="str">
        <f>IFERROR(__xludf.DUMMYFUNCTION("""COMPUTED_VALUE"""),"LLAMADA DE ATENCIÓN")</f>
        <v>LLAMADA DE ATENCIÓN</v>
      </c>
      <c r="L366" s="64" t="str">
        <f>IFERROR(__xludf.DUMMYFUNCTION("""COMPUTED_VALUE"""),"OPERATIVOS")</f>
        <v>OPERATIVOS</v>
      </c>
      <c r="M366" s="64" t="str">
        <f>IFERROR(__xludf.DUMMYFUNCTION("""COMPUTED_VALUE"""),"SANCIÓN")</f>
        <v>SANCIÓN</v>
      </c>
      <c r="N366" s="64" t="str">
        <f>IFERROR(__xludf.DUMMYFUNCTION("""COMPUTED_VALUE"""),"SISTEMA ELECTRICO")</f>
        <v>SISTEMA ELECTRICO</v>
      </c>
      <c r="O366" s="64" t="str">
        <f>IFERROR(__xludf.DUMMYFUNCTION("""COMPUTED_VALUE"""),"ASISTENCIA AL USUARIO")</f>
        <v>ASISTENCIA AL USUARIO</v>
      </c>
      <c r="P366" s="64" t="str">
        <f>IFERROR(__xludf.DUMMYFUNCTION("""COMPUTED_VALUE"""),"DOBLE REMOLQUE")</f>
        <v>DOBLE REMOLQUE</v>
      </c>
      <c r="Q366" s="64" t="str">
        <f>IFERROR(__xludf.DUMMYFUNCTION("""COMPUTED_VALUE"""),"SINAPRESE")</f>
        <v>SINAPRESE</v>
      </c>
      <c r="R366" s="64" t="str">
        <f>IFERROR(__xludf.DUMMYFUNCTION("""COMPUTED_VALUE"""),"APOYO ATLETISMO")</f>
        <v>APOYO ATLETISMO</v>
      </c>
      <c r="S366" s="64" t="str">
        <f>IFERROR(__xludf.DUMMYFUNCTION("""COMPUTED_VALUE"""),"APOYO A CICLISMO")</f>
        <v>APOYO A CICLISMO</v>
      </c>
      <c r="T366" s="64" t="str">
        <f>IFERROR(__xludf.DUMMYFUNCTION("""COMPUTED_VALUE"""),"DESCARGA DE BATERÍA")</f>
        <v>DESCARGA DE BATERÍA</v>
      </c>
      <c r="U366" s="64" t="str">
        <f>IFERROR(__xludf.DUMMYFUNCTION("""COMPUTED_VALUE"""),"PROBLEMAS DE SALUD")</f>
        <v>PROBLEMAS DE SALUD</v>
      </c>
      <c r="V366" s="64" t="str">
        <f>IFERROR(__xludf.DUMMYFUNCTION("""COMPUTED_VALUE"""),"OLVIDO LA LLAVE")</f>
        <v>OLVIDO LA LLAVE</v>
      </c>
      <c r="W366" s="64" t="str">
        <f>IFERROR(__xludf.DUMMYFUNCTION("""COMPUTED_VALUE"""),"CARGA SOBREDIMENSIONADA")</f>
        <v>CARGA SOBREDIMENSIONADA</v>
      </c>
      <c r="X366" s="64" t="str">
        <f>IFERROR(__xludf.DUMMYFUNCTION("""COMPUTED_VALUE"""),"VEHÍCULO ABANDONADO")</f>
        <v>VEHÍCULO ABANDONADO</v>
      </c>
      <c r="Y366" s="64" t="str">
        <f>IFERROR(__xludf.DUMMYFUNCTION("""COMPUTED_VALUE"""),"DESPRENDIMIENTO")</f>
        <v>DESPRENDIMIENTO</v>
      </c>
      <c r="Z366" s="64" t="str">
        <f>IFERROR(__xludf.DUMMYFUNCTION("""COMPUTED_VALUE"""),"CAÍDA DE POSTE")</f>
        <v>CAÍDA DE POSTE</v>
      </c>
      <c r="AA366" s="64" t="str">
        <f>IFERROR(__xludf.DUMMYFUNCTION("""COMPUTED_VALUE"""),"CAÍDA DE RAMA")</f>
        <v>CAÍDA DE RAMA</v>
      </c>
      <c r="AB366" s="64" t="str">
        <f>IFERROR(__xludf.DUMMYFUNCTION("""COMPUTED_VALUE"""),"OPERATIVO DGT")</f>
        <v>OPERATIVO DGT</v>
      </c>
      <c r="AC366" s="64" t="str">
        <f>IFERROR(__xludf.DUMMYFUNCTION("""COMPUTED_VALUE"""),"OPERATIVO PMT")</f>
        <v>OPERATIVO PMT</v>
      </c>
      <c r="AD366" s="64" t="str">
        <f>IFERROR(__xludf.DUMMYFUNCTION("""COMPUTED_VALUE"""),"APOYO A DIGEF")</f>
        <v>APOYO A DIGEF</v>
      </c>
      <c r="AE366" s="64" t="str">
        <f>IFERROR(__xludf.DUMMYFUNCTION("""COMPUTED_VALUE"""),"OPERATIVO PNC TRANSITO")</f>
        <v>OPERATIVO PNC TRANSITO</v>
      </c>
      <c r="AF366" s="64" t="str">
        <f>IFERROR(__xludf.DUMMYFUNCTION("""COMPUTED_VALUE"""),"SOBRECARGA ")</f>
        <v>SOBRECARGA </v>
      </c>
      <c r="AG366" s="64" t="str">
        <f>IFERROR(__xludf.DUMMYFUNCTION("""COMPUTED_VALUE"""),"OPERATIVO EN CONJUNTO")</f>
        <v>OPERATIVO EN CONJUNTO</v>
      </c>
      <c r="AH366" s="64" t="str">
        <f>IFERROR(__xludf.DUMMYFUNCTION("""COMPUTED_VALUE"""),"PUESTO DE ATENCION AL USUARIO")</f>
        <v>PUESTO DE ATENCION AL USUARIO</v>
      </c>
      <c r="AI366" s="64" t="str">
        <f>IFERROR(__xludf.DUMMYFUNCTION("""COMPUTED_VALUE"""),"INCENDIO EN RUTA")</f>
        <v>INCENDIO EN RUTA</v>
      </c>
      <c r="AJ366" s="64" t="str">
        <f>IFERROR(__xludf.DUMMYFUNCTION("""COMPUTED_VALUE"""),"APOYO ANTORCHA ")</f>
        <v>APOYO ANTORCHA </v>
      </c>
    </row>
    <row r="367">
      <c r="B367" s="64" t="s">
        <v>54</v>
      </c>
      <c r="C367" s="64" t="str">
        <f>IFERROR(__xludf.DUMMYFUNCTION(" TRANSPOSE( unique ( QUERY(DATOPRO,""select Col2 where Col1 = '""&amp;B367&amp;""'"")))"),"PINCHAZO")</f>
        <v>PINCHAZO</v>
      </c>
      <c r="D367" s="64" t="str">
        <f>IFERROR(__xludf.DUMMYFUNCTION("""COMPUTED_VALUE"""),"TRABAJOS DE CARRETERA")</f>
        <v>TRABAJOS DE CARRETERA</v>
      </c>
      <c r="E367" s="64" t="str">
        <f>IFERROR(__xludf.DUMMYFUNCTION("""COMPUTED_VALUE"""),"CONSIGNACIÓN")</f>
        <v>CONSIGNACIÓN</v>
      </c>
      <c r="F367" s="64" t="str">
        <f>IFERROR(__xludf.DUMMYFUNCTION("""COMPUTED_VALUE"""),"DERRAME")</f>
        <v>DERRAME</v>
      </c>
      <c r="G367" s="64" t="str">
        <f>IFERROR(__xludf.DUMMYFUNCTION("""COMPUTED_VALUE"""),"CALENTAMIENTO")</f>
        <v>CALENTAMIENTO</v>
      </c>
      <c r="H367" s="64" t="str">
        <f>IFERROR(__xludf.DUMMYFUNCTION("""COMPUTED_VALUE"""),"ESCOLTANDO")</f>
        <v>ESCOLTANDO</v>
      </c>
      <c r="I367" s="64" t="str">
        <f>IFERROR(__xludf.DUMMYFUNCTION("""COMPUTED_VALUE"""),"FALTA DE COMBUSTIBLE")</f>
        <v>FALTA DE COMBUSTIBLE</v>
      </c>
      <c r="J367" s="64" t="str">
        <f>IFERROR(__xludf.DUMMYFUNCTION("""COMPUTED_VALUE"""),"DESPERFECTOS MECÁNICOS")</f>
        <v>DESPERFECTOS MECÁNICOS</v>
      </c>
      <c r="K367" s="64" t="str">
        <f>IFERROR(__xludf.DUMMYFUNCTION("""COMPUTED_VALUE"""),"LLAMADA DE ATENCIÓN")</f>
        <v>LLAMADA DE ATENCIÓN</v>
      </c>
      <c r="L367" s="64" t="str">
        <f>IFERROR(__xludf.DUMMYFUNCTION("""COMPUTED_VALUE"""),"OPERATIVOS")</f>
        <v>OPERATIVOS</v>
      </c>
      <c r="M367" s="64" t="str">
        <f>IFERROR(__xludf.DUMMYFUNCTION("""COMPUTED_VALUE"""),"SANCIÓN")</f>
        <v>SANCIÓN</v>
      </c>
      <c r="N367" s="64" t="str">
        <f>IFERROR(__xludf.DUMMYFUNCTION("""COMPUTED_VALUE"""),"SISTEMA ELECTRICO")</f>
        <v>SISTEMA ELECTRICO</v>
      </c>
      <c r="O367" s="64" t="str">
        <f>IFERROR(__xludf.DUMMYFUNCTION("""COMPUTED_VALUE"""),"ASISTENCIA AL USUARIO")</f>
        <v>ASISTENCIA AL USUARIO</v>
      </c>
      <c r="P367" s="64" t="str">
        <f>IFERROR(__xludf.DUMMYFUNCTION("""COMPUTED_VALUE"""),"DOBLE REMOLQUE")</f>
        <v>DOBLE REMOLQUE</v>
      </c>
      <c r="Q367" s="64" t="str">
        <f>IFERROR(__xludf.DUMMYFUNCTION("""COMPUTED_VALUE"""),"SINAPRESE")</f>
        <v>SINAPRESE</v>
      </c>
      <c r="R367" s="64" t="str">
        <f>IFERROR(__xludf.DUMMYFUNCTION("""COMPUTED_VALUE"""),"APOYO ATLETISMO")</f>
        <v>APOYO ATLETISMO</v>
      </c>
      <c r="S367" s="64" t="str">
        <f>IFERROR(__xludf.DUMMYFUNCTION("""COMPUTED_VALUE"""),"APOYO A CICLISMO")</f>
        <v>APOYO A CICLISMO</v>
      </c>
      <c r="T367" s="64" t="str">
        <f>IFERROR(__xludf.DUMMYFUNCTION("""COMPUTED_VALUE"""),"DESCARGA DE BATERÍA")</f>
        <v>DESCARGA DE BATERÍA</v>
      </c>
      <c r="U367" s="64" t="str">
        <f>IFERROR(__xludf.DUMMYFUNCTION("""COMPUTED_VALUE"""),"PROBLEMAS DE SALUD")</f>
        <v>PROBLEMAS DE SALUD</v>
      </c>
      <c r="V367" s="64" t="str">
        <f>IFERROR(__xludf.DUMMYFUNCTION("""COMPUTED_VALUE"""),"OLVIDO LA LLAVE")</f>
        <v>OLVIDO LA LLAVE</v>
      </c>
      <c r="W367" s="64" t="str">
        <f>IFERROR(__xludf.DUMMYFUNCTION("""COMPUTED_VALUE"""),"CARGA SOBREDIMENSIONADA")</f>
        <v>CARGA SOBREDIMENSIONADA</v>
      </c>
      <c r="X367" s="64" t="str">
        <f>IFERROR(__xludf.DUMMYFUNCTION("""COMPUTED_VALUE"""),"VEHÍCULO ABANDONADO")</f>
        <v>VEHÍCULO ABANDONADO</v>
      </c>
      <c r="Y367" s="64" t="str">
        <f>IFERROR(__xludf.DUMMYFUNCTION("""COMPUTED_VALUE"""),"DESPRENDIMIENTO")</f>
        <v>DESPRENDIMIENTO</v>
      </c>
      <c r="Z367" s="64" t="str">
        <f>IFERROR(__xludf.DUMMYFUNCTION("""COMPUTED_VALUE"""),"CAÍDA DE POSTE")</f>
        <v>CAÍDA DE POSTE</v>
      </c>
      <c r="AA367" s="64" t="str">
        <f>IFERROR(__xludf.DUMMYFUNCTION("""COMPUTED_VALUE"""),"CAÍDA DE RAMA")</f>
        <v>CAÍDA DE RAMA</v>
      </c>
      <c r="AB367" s="64" t="str">
        <f>IFERROR(__xludf.DUMMYFUNCTION("""COMPUTED_VALUE"""),"OPERATIVO DGT")</f>
        <v>OPERATIVO DGT</v>
      </c>
      <c r="AC367" s="64" t="str">
        <f>IFERROR(__xludf.DUMMYFUNCTION("""COMPUTED_VALUE"""),"OPERATIVO PMT")</f>
        <v>OPERATIVO PMT</v>
      </c>
      <c r="AD367" s="64" t="str">
        <f>IFERROR(__xludf.DUMMYFUNCTION("""COMPUTED_VALUE"""),"APOYO A DIGEF")</f>
        <v>APOYO A DIGEF</v>
      </c>
      <c r="AE367" s="64" t="str">
        <f>IFERROR(__xludf.DUMMYFUNCTION("""COMPUTED_VALUE"""),"OPERATIVO PNC TRANSITO")</f>
        <v>OPERATIVO PNC TRANSITO</v>
      </c>
      <c r="AF367" s="64" t="str">
        <f>IFERROR(__xludf.DUMMYFUNCTION("""COMPUTED_VALUE"""),"SOBRECARGA ")</f>
        <v>SOBRECARGA </v>
      </c>
      <c r="AG367" s="64" t="str">
        <f>IFERROR(__xludf.DUMMYFUNCTION("""COMPUTED_VALUE"""),"OPERATIVO EN CONJUNTO")</f>
        <v>OPERATIVO EN CONJUNTO</v>
      </c>
      <c r="AH367" s="64" t="str">
        <f>IFERROR(__xludf.DUMMYFUNCTION("""COMPUTED_VALUE"""),"PUESTO DE ATENCION AL USUARIO")</f>
        <v>PUESTO DE ATENCION AL USUARIO</v>
      </c>
      <c r="AI367" s="64" t="str">
        <f>IFERROR(__xludf.DUMMYFUNCTION("""COMPUTED_VALUE"""),"INCENDIO EN RUTA")</f>
        <v>INCENDIO EN RUTA</v>
      </c>
      <c r="AJ367" s="64" t="str">
        <f>IFERROR(__xludf.DUMMYFUNCTION("""COMPUTED_VALUE"""),"APOYO ANTORCHA ")</f>
        <v>APOYO ANTORCHA </v>
      </c>
    </row>
    <row r="368">
      <c r="B368" s="64" t="s">
        <v>54</v>
      </c>
      <c r="C368" s="64" t="str">
        <f>IFERROR(__xludf.DUMMYFUNCTION(" TRANSPOSE( unique ( QUERY(DATOPRO,""select Col2 where Col1 = '""&amp;B368&amp;""'"")))"),"PINCHAZO")</f>
        <v>PINCHAZO</v>
      </c>
      <c r="D368" s="64" t="str">
        <f>IFERROR(__xludf.DUMMYFUNCTION("""COMPUTED_VALUE"""),"TRABAJOS DE CARRETERA")</f>
        <v>TRABAJOS DE CARRETERA</v>
      </c>
      <c r="E368" s="64" t="str">
        <f>IFERROR(__xludf.DUMMYFUNCTION("""COMPUTED_VALUE"""),"CONSIGNACIÓN")</f>
        <v>CONSIGNACIÓN</v>
      </c>
      <c r="F368" s="64" t="str">
        <f>IFERROR(__xludf.DUMMYFUNCTION("""COMPUTED_VALUE"""),"DERRAME")</f>
        <v>DERRAME</v>
      </c>
      <c r="G368" s="64" t="str">
        <f>IFERROR(__xludf.DUMMYFUNCTION("""COMPUTED_VALUE"""),"CALENTAMIENTO")</f>
        <v>CALENTAMIENTO</v>
      </c>
      <c r="H368" s="64" t="str">
        <f>IFERROR(__xludf.DUMMYFUNCTION("""COMPUTED_VALUE"""),"ESCOLTANDO")</f>
        <v>ESCOLTANDO</v>
      </c>
      <c r="I368" s="64" t="str">
        <f>IFERROR(__xludf.DUMMYFUNCTION("""COMPUTED_VALUE"""),"FALTA DE COMBUSTIBLE")</f>
        <v>FALTA DE COMBUSTIBLE</v>
      </c>
      <c r="J368" s="64" t="str">
        <f>IFERROR(__xludf.DUMMYFUNCTION("""COMPUTED_VALUE"""),"DESPERFECTOS MECÁNICOS")</f>
        <v>DESPERFECTOS MECÁNICOS</v>
      </c>
      <c r="K368" s="64" t="str">
        <f>IFERROR(__xludf.DUMMYFUNCTION("""COMPUTED_VALUE"""),"LLAMADA DE ATENCIÓN")</f>
        <v>LLAMADA DE ATENCIÓN</v>
      </c>
      <c r="L368" s="64" t="str">
        <f>IFERROR(__xludf.DUMMYFUNCTION("""COMPUTED_VALUE"""),"OPERATIVOS")</f>
        <v>OPERATIVOS</v>
      </c>
      <c r="M368" s="64" t="str">
        <f>IFERROR(__xludf.DUMMYFUNCTION("""COMPUTED_VALUE"""),"SANCIÓN")</f>
        <v>SANCIÓN</v>
      </c>
      <c r="N368" s="64" t="str">
        <f>IFERROR(__xludf.DUMMYFUNCTION("""COMPUTED_VALUE"""),"SISTEMA ELECTRICO")</f>
        <v>SISTEMA ELECTRICO</v>
      </c>
      <c r="O368" s="64" t="str">
        <f>IFERROR(__xludf.DUMMYFUNCTION("""COMPUTED_VALUE"""),"ASISTENCIA AL USUARIO")</f>
        <v>ASISTENCIA AL USUARIO</v>
      </c>
      <c r="P368" s="64" t="str">
        <f>IFERROR(__xludf.DUMMYFUNCTION("""COMPUTED_VALUE"""),"DOBLE REMOLQUE")</f>
        <v>DOBLE REMOLQUE</v>
      </c>
      <c r="Q368" s="64" t="str">
        <f>IFERROR(__xludf.DUMMYFUNCTION("""COMPUTED_VALUE"""),"SINAPRESE")</f>
        <v>SINAPRESE</v>
      </c>
      <c r="R368" s="64" t="str">
        <f>IFERROR(__xludf.DUMMYFUNCTION("""COMPUTED_VALUE"""),"APOYO ATLETISMO")</f>
        <v>APOYO ATLETISMO</v>
      </c>
      <c r="S368" s="64" t="str">
        <f>IFERROR(__xludf.DUMMYFUNCTION("""COMPUTED_VALUE"""),"APOYO A CICLISMO")</f>
        <v>APOYO A CICLISMO</v>
      </c>
      <c r="T368" s="64" t="str">
        <f>IFERROR(__xludf.DUMMYFUNCTION("""COMPUTED_VALUE"""),"DESCARGA DE BATERÍA")</f>
        <v>DESCARGA DE BATERÍA</v>
      </c>
      <c r="U368" s="64" t="str">
        <f>IFERROR(__xludf.DUMMYFUNCTION("""COMPUTED_VALUE"""),"PROBLEMAS DE SALUD")</f>
        <v>PROBLEMAS DE SALUD</v>
      </c>
      <c r="V368" s="64" t="str">
        <f>IFERROR(__xludf.DUMMYFUNCTION("""COMPUTED_VALUE"""),"OLVIDO LA LLAVE")</f>
        <v>OLVIDO LA LLAVE</v>
      </c>
      <c r="W368" s="64" t="str">
        <f>IFERROR(__xludf.DUMMYFUNCTION("""COMPUTED_VALUE"""),"CARGA SOBREDIMENSIONADA")</f>
        <v>CARGA SOBREDIMENSIONADA</v>
      </c>
      <c r="X368" s="64" t="str">
        <f>IFERROR(__xludf.DUMMYFUNCTION("""COMPUTED_VALUE"""),"VEHÍCULO ABANDONADO")</f>
        <v>VEHÍCULO ABANDONADO</v>
      </c>
      <c r="Y368" s="64" t="str">
        <f>IFERROR(__xludf.DUMMYFUNCTION("""COMPUTED_VALUE"""),"DESPRENDIMIENTO")</f>
        <v>DESPRENDIMIENTO</v>
      </c>
      <c r="Z368" s="64" t="str">
        <f>IFERROR(__xludf.DUMMYFUNCTION("""COMPUTED_VALUE"""),"CAÍDA DE POSTE")</f>
        <v>CAÍDA DE POSTE</v>
      </c>
      <c r="AA368" s="64" t="str">
        <f>IFERROR(__xludf.DUMMYFUNCTION("""COMPUTED_VALUE"""),"CAÍDA DE RAMA")</f>
        <v>CAÍDA DE RAMA</v>
      </c>
      <c r="AB368" s="64" t="str">
        <f>IFERROR(__xludf.DUMMYFUNCTION("""COMPUTED_VALUE"""),"OPERATIVO DGT")</f>
        <v>OPERATIVO DGT</v>
      </c>
      <c r="AC368" s="64" t="str">
        <f>IFERROR(__xludf.DUMMYFUNCTION("""COMPUTED_VALUE"""),"OPERATIVO PMT")</f>
        <v>OPERATIVO PMT</v>
      </c>
      <c r="AD368" s="64" t="str">
        <f>IFERROR(__xludf.DUMMYFUNCTION("""COMPUTED_VALUE"""),"APOYO A DIGEF")</f>
        <v>APOYO A DIGEF</v>
      </c>
      <c r="AE368" s="64" t="str">
        <f>IFERROR(__xludf.DUMMYFUNCTION("""COMPUTED_VALUE"""),"OPERATIVO PNC TRANSITO")</f>
        <v>OPERATIVO PNC TRANSITO</v>
      </c>
      <c r="AF368" s="64" t="str">
        <f>IFERROR(__xludf.DUMMYFUNCTION("""COMPUTED_VALUE"""),"SOBRECARGA ")</f>
        <v>SOBRECARGA </v>
      </c>
      <c r="AG368" s="64" t="str">
        <f>IFERROR(__xludf.DUMMYFUNCTION("""COMPUTED_VALUE"""),"OPERATIVO EN CONJUNTO")</f>
        <v>OPERATIVO EN CONJUNTO</v>
      </c>
      <c r="AH368" s="64" t="str">
        <f>IFERROR(__xludf.DUMMYFUNCTION("""COMPUTED_VALUE"""),"PUESTO DE ATENCION AL USUARIO")</f>
        <v>PUESTO DE ATENCION AL USUARIO</v>
      </c>
      <c r="AI368" s="64" t="str">
        <f>IFERROR(__xludf.DUMMYFUNCTION("""COMPUTED_VALUE"""),"INCENDIO EN RUTA")</f>
        <v>INCENDIO EN RUTA</v>
      </c>
      <c r="AJ368" s="64" t="str">
        <f>IFERROR(__xludf.DUMMYFUNCTION("""COMPUTED_VALUE"""),"APOYO ANTORCHA ")</f>
        <v>APOYO ANTORCHA </v>
      </c>
    </row>
    <row r="369">
      <c r="B369" s="64" t="s">
        <v>54</v>
      </c>
      <c r="C369" s="64" t="str">
        <f>IFERROR(__xludf.DUMMYFUNCTION(" TRANSPOSE( unique ( QUERY(DATOPRO,""select Col2 where Col1 = '""&amp;B369&amp;""'"")))"),"PINCHAZO")</f>
        <v>PINCHAZO</v>
      </c>
      <c r="D369" s="64" t="str">
        <f>IFERROR(__xludf.DUMMYFUNCTION("""COMPUTED_VALUE"""),"TRABAJOS DE CARRETERA")</f>
        <v>TRABAJOS DE CARRETERA</v>
      </c>
      <c r="E369" s="64" t="str">
        <f>IFERROR(__xludf.DUMMYFUNCTION("""COMPUTED_VALUE"""),"CONSIGNACIÓN")</f>
        <v>CONSIGNACIÓN</v>
      </c>
      <c r="F369" s="64" t="str">
        <f>IFERROR(__xludf.DUMMYFUNCTION("""COMPUTED_VALUE"""),"DERRAME")</f>
        <v>DERRAME</v>
      </c>
      <c r="G369" s="64" t="str">
        <f>IFERROR(__xludf.DUMMYFUNCTION("""COMPUTED_VALUE"""),"CALENTAMIENTO")</f>
        <v>CALENTAMIENTO</v>
      </c>
      <c r="H369" s="64" t="str">
        <f>IFERROR(__xludf.DUMMYFUNCTION("""COMPUTED_VALUE"""),"ESCOLTANDO")</f>
        <v>ESCOLTANDO</v>
      </c>
      <c r="I369" s="64" t="str">
        <f>IFERROR(__xludf.DUMMYFUNCTION("""COMPUTED_VALUE"""),"FALTA DE COMBUSTIBLE")</f>
        <v>FALTA DE COMBUSTIBLE</v>
      </c>
      <c r="J369" s="64" t="str">
        <f>IFERROR(__xludf.DUMMYFUNCTION("""COMPUTED_VALUE"""),"DESPERFECTOS MECÁNICOS")</f>
        <v>DESPERFECTOS MECÁNICOS</v>
      </c>
      <c r="K369" s="64" t="str">
        <f>IFERROR(__xludf.DUMMYFUNCTION("""COMPUTED_VALUE"""),"LLAMADA DE ATENCIÓN")</f>
        <v>LLAMADA DE ATENCIÓN</v>
      </c>
      <c r="L369" s="64" t="str">
        <f>IFERROR(__xludf.DUMMYFUNCTION("""COMPUTED_VALUE"""),"OPERATIVOS")</f>
        <v>OPERATIVOS</v>
      </c>
      <c r="M369" s="64" t="str">
        <f>IFERROR(__xludf.DUMMYFUNCTION("""COMPUTED_VALUE"""),"SANCIÓN")</f>
        <v>SANCIÓN</v>
      </c>
      <c r="N369" s="64" t="str">
        <f>IFERROR(__xludf.DUMMYFUNCTION("""COMPUTED_VALUE"""),"SISTEMA ELECTRICO")</f>
        <v>SISTEMA ELECTRICO</v>
      </c>
      <c r="O369" s="64" t="str">
        <f>IFERROR(__xludf.DUMMYFUNCTION("""COMPUTED_VALUE"""),"ASISTENCIA AL USUARIO")</f>
        <v>ASISTENCIA AL USUARIO</v>
      </c>
      <c r="P369" s="64" t="str">
        <f>IFERROR(__xludf.DUMMYFUNCTION("""COMPUTED_VALUE"""),"DOBLE REMOLQUE")</f>
        <v>DOBLE REMOLQUE</v>
      </c>
      <c r="Q369" s="64" t="str">
        <f>IFERROR(__xludf.DUMMYFUNCTION("""COMPUTED_VALUE"""),"SINAPRESE")</f>
        <v>SINAPRESE</v>
      </c>
      <c r="R369" s="64" t="str">
        <f>IFERROR(__xludf.DUMMYFUNCTION("""COMPUTED_VALUE"""),"APOYO ATLETISMO")</f>
        <v>APOYO ATLETISMO</v>
      </c>
      <c r="S369" s="64" t="str">
        <f>IFERROR(__xludf.DUMMYFUNCTION("""COMPUTED_VALUE"""),"APOYO A CICLISMO")</f>
        <v>APOYO A CICLISMO</v>
      </c>
      <c r="T369" s="64" t="str">
        <f>IFERROR(__xludf.DUMMYFUNCTION("""COMPUTED_VALUE"""),"DESCARGA DE BATERÍA")</f>
        <v>DESCARGA DE BATERÍA</v>
      </c>
      <c r="U369" s="64" t="str">
        <f>IFERROR(__xludf.DUMMYFUNCTION("""COMPUTED_VALUE"""),"PROBLEMAS DE SALUD")</f>
        <v>PROBLEMAS DE SALUD</v>
      </c>
      <c r="V369" s="64" t="str">
        <f>IFERROR(__xludf.DUMMYFUNCTION("""COMPUTED_VALUE"""),"OLVIDO LA LLAVE")</f>
        <v>OLVIDO LA LLAVE</v>
      </c>
      <c r="W369" s="64" t="str">
        <f>IFERROR(__xludf.DUMMYFUNCTION("""COMPUTED_VALUE"""),"CARGA SOBREDIMENSIONADA")</f>
        <v>CARGA SOBREDIMENSIONADA</v>
      </c>
      <c r="X369" s="64" t="str">
        <f>IFERROR(__xludf.DUMMYFUNCTION("""COMPUTED_VALUE"""),"VEHÍCULO ABANDONADO")</f>
        <v>VEHÍCULO ABANDONADO</v>
      </c>
      <c r="Y369" s="64" t="str">
        <f>IFERROR(__xludf.DUMMYFUNCTION("""COMPUTED_VALUE"""),"DESPRENDIMIENTO")</f>
        <v>DESPRENDIMIENTO</v>
      </c>
      <c r="Z369" s="64" t="str">
        <f>IFERROR(__xludf.DUMMYFUNCTION("""COMPUTED_VALUE"""),"CAÍDA DE POSTE")</f>
        <v>CAÍDA DE POSTE</v>
      </c>
      <c r="AA369" s="64" t="str">
        <f>IFERROR(__xludf.DUMMYFUNCTION("""COMPUTED_VALUE"""),"CAÍDA DE RAMA")</f>
        <v>CAÍDA DE RAMA</v>
      </c>
      <c r="AB369" s="64" t="str">
        <f>IFERROR(__xludf.DUMMYFUNCTION("""COMPUTED_VALUE"""),"OPERATIVO DGT")</f>
        <v>OPERATIVO DGT</v>
      </c>
      <c r="AC369" s="64" t="str">
        <f>IFERROR(__xludf.DUMMYFUNCTION("""COMPUTED_VALUE"""),"OPERATIVO PMT")</f>
        <v>OPERATIVO PMT</v>
      </c>
      <c r="AD369" s="64" t="str">
        <f>IFERROR(__xludf.DUMMYFUNCTION("""COMPUTED_VALUE"""),"APOYO A DIGEF")</f>
        <v>APOYO A DIGEF</v>
      </c>
      <c r="AE369" s="64" t="str">
        <f>IFERROR(__xludf.DUMMYFUNCTION("""COMPUTED_VALUE"""),"OPERATIVO PNC TRANSITO")</f>
        <v>OPERATIVO PNC TRANSITO</v>
      </c>
      <c r="AF369" s="64" t="str">
        <f>IFERROR(__xludf.DUMMYFUNCTION("""COMPUTED_VALUE"""),"SOBRECARGA ")</f>
        <v>SOBRECARGA </v>
      </c>
      <c r="AG369" s="64" t="str">
        <f>IFERROR(__xludf.DUMMYFUNCTION("""COMPUTED_VALUE"""),"OPERATIVO EN CONJUNTO")</f>
        <v>OPERATIVO EN CONJUNTO</v>
      </c>
      <c r="AH369" s="64" t="str">
        <f>IFERROR(__xludf.DUMMYFUNCTION("""COMPUTED_VALUE"""),"PUESTO DE ATENCION AL USUARIO")</f>
        <v>PUESTO DE ATENCION AL USUARIO</v>
      </c>
      <c r="AI369" s="64" t="str">
        <f>IFERROR(__xludf.DUMMYFUNCTION("""COMPUTED_VALUE"""),"INCENDIO EN RUTA")</f>
        <v>INCENDIO EN RUTA</v>
      </c>
      <c r="AJ369" s="64" t="str">
        <f>IFERROR(__xludf.DUMMYFUNCTION("""COMPUTED_VALUE"""),"APOYO ANTORCHA ")</f>
        <v>APOYO ANTORCHA </v>
      </c>
    </row>
    <row r="370">
      <c r="B370" s="64" t="s">
        <v>54</v>
      </c>
      <c r="C370" s="64" t="str">
        <f>IFERROR(__xludf.DUMMYFUNCTION(" TRANSPOSE( unique ( QUERY(DATOPRO,""select Col2 where Col1 = '""&amp;B370&amp;""'"")))"),"PINCHAZO")</f>
        <v>PINCHAZO</v>
      </c>
      <c r="D370" s="64" t="str">
        <f>IFERROR(__xludf.DUMMYFUNCTION("""COMPUTED_VALUE"""),"TRABAJOS DE CARRETERA")</f>
        <v>TRABAJOS DE CARRETERA</v>
      </c>
      <c r="E370" s="64" t="str">
        <f>IFERROR(__xludf.DUMMYFUNCTION("""COMPUTED_VALUE"""),"CONSIGNACIÓN")</f>
        <v>CONSIGNACIÓN</v>
      </c>
      <c r="F370" s="64" t="str">
        <f>IFERROR(__xludf.DUMMYFUNCTION("""COMPUTED_VALUE"""),"DERRAME")</f>
        <v>DERRAME</v>
      </c>
      <c r="G370" s="64" t="str">
        <f>IFERROR(__xludf.DUMMYFUNCTION("""COMPUTED_VALUE"""),"CALENTAMIENTO")</f>
        <v>CALENTAMIENTO</v>
      </c>
      <c r="H370" s="64" t="str">
        <f>IFERROR(__xludf.DUMMYFUNCTION("""COMPUTED_VALUE"""),"ESCOLTANDO")</f>
        <v>ESCOLTANDO</v>
      </c>
      <c r="I370" s="64" t="str">
        <f>IFERROR(__xludf.DUMMYFUNCTION("""COMPUTED_VALUE"""),"FALTA DE COMBUSTIBLE")</f>
        <v>FALTA DE COMBUSTIBLE</v>
      </c>
      <c r="J370" s="64" t="str">
        <f>IFERROR(__xludf.DUMMYFUNCTION("""COMPUTED_VALUE"""),"DESPERFECTOS MECÁNICOS")</f>
        <v>DESPERFECTOS MECÁNICOS</v>
      </c>
      <c r="K370" s="64" t="str">
        <f>IFERROR(__xludf.DUMMYFUNCTION("""COMPUTED_VALUE"""),"LLAMADA DE ATENCIÓN")</f>
        <v>LLAMADA DE ATENCIÓN</v>
      </c>
      <c r="L370" s="64" t="str">
        <f>IFERROR(__xludf.DUMMYFUNCTION("""COMPUTED_VALUE"""),"OPERATIVOS")</f>
        <v>OPERATIVOS</v>
      </c>
      <c r="M370" s="64" t="str">
        <f>IFERROR(__xludf.DUMMYFUNCTION("""COMPUTED_VALUE"""),"SANCIÓN")</f>
        <v>SANCIÓN</v>
      </c>
      <c r="N370" s="64" t="str">
        <f>IFERROR(__xludf.DUMMYFUNCTION("""COMPUTED_VALUE"""),"SISTEMA ELECTRICO")</f>
        <v>SISTEMA ELECTRICO</v>
      </c>
      <c r="O370" s="64" t="str">
        <f>IFERROR(__xludf.DUMMYFUNCTION("""COMPUTED_VALUE"""),"ASISTENCIA AL USUARIO")</f>
        <v>ASISTENCIA AL USUARIO</v>
      </c>
      <c r="P370" s="64" t="str">
        <f>IFERROR(__xludf.DUMMYFUNCTION("""COMPUTED_VALUE"""),"DOBLE REMOLQUE")</f>
        <v>DOBLE REMOLQUE</v>
      </c>
      <c r="Q370" s="64" t="str">
        <f>IFERROR(__xludf.DUMMYFUNCTION("""COMPUTED_VALUE"""),"SINAPRESE")</f>
        <v>SINAPRESE</v>
      </c>
      <c r="R370" s="64" t="str">
        <f>IFERROR(__xludf.DUMMYFUNCTION("""COMPUTED_VALUE"""),"APOYO ATLETISMO")</f>
        <v>APOYO ATLETISMO</v>
      </c>
      <c r="S370" s="64" t="str">
        <f>IFERROR(__xludf.DUMMYFUNCTION("""COMPUTED_VALUE"""),"APOYO A CICLISMO")</f>
        <v>APOYO A CICLISMO</v>
      </c>
      <c r="T370" s="64" t="str">
        <f>IFERROR(__xludf.DUMMYFUNCTION("""COMPUTED_VALUE"""),"DESCARGA DE BATERÍA")</f>
        <v>DESCARGA DE BATERÍA</v>
      </c>
      <c r="U370" s="64" t="str">
        <f>IFERROR(__xludf.DUMMYFUNCTION("""COMPUTED_VALUE"""),"PROBLEMAS DE SALUD")</f>
        <v>PROBLEMAS DE SALUD</v>
      </c>
      <c r="V370" s="64" t="str">
        <f>IFERROR(__xludf.DUMMYFUNCTION("""COMPUTED_VALUE"""),"OLVIDO LA LLAVE")</f>
        <v>OLVIDO LA LLAVE</v>
      </c>
      <c r="W370" s="64" t="str">
        <f>IFERROR(__xludf.DUMMYFUNCTION("""COMPUTED_VALUE"""),"CARGA SOBREDIMENSIONADA")</f>
        <v>CARGA SOBREDIMENSIONADA</v>
      </c>
      <c r="X370" s="64" t="str">
        <f>IFERROR(__xludf.DUMMYFUNCTION("""COMPUTED_VALUE"""),"VEHÍCULO ABANDONADO")</f>
        <v>VEHÍCULO ABANDONADO</v>
      </c>
      <c r="Y370" s="64" t="str">
        <f>IFERROR(__xludf.DUMMYFUNCTION("""COMPUTED_VALUE"""),"DESPRENDIMIENTO")</f>
        <v>DESPRENDIMIENTO</v>
      </c>
      <c r="Z370" s="64" t="str">
        <f>IFERROR(__xludf.DUMMYFUNCTION("""COMPUTED_VALUE"""),"CAÍDA DE POSTE")</f>
        <v>CAÍDA DE POSTE</v>
      </c>
      <c r="AA370" s="64" t="str">
        <f>IFERROR(__xludf.DUMMYFUNCTION("""COMPUTED_VALUE"""),"CAÍDA DE RAMA")</f>
        <v>CAÍDA DE RAMA</v>
      </c>
      <c r="AB370" s="64" t="str">
        <f>IFERROR(__xludf.DUMMYFUNCTION("""COMPUTED_VALUE"""),"OPERATIVO DGT")</f>
        <v>OPERATIVO DGT</v>
      </c>
      <c r="AC370" s="64" t="str">
        <f>IFERROR(__xludf.DUMMYFUNCTION("""COMPUTED_VALUE"""),"OPERATIVO PMT")</f>
        <v>OPERATIVO PMT</v>
      </c>
      <c r="AD370" s="64" t="str">
        <f>IFERROR(__xludf.DUMMYFUNCTION("""COMPUTED_VALUE"""),"APOYO A DIGEF")</f>
        <v>APOYO A DIGEF</v>
      </c>
      <c r="AE370" s="64" t="str">
        <f>IFERROR(__xludf.DUMMYFUNCTION("""COMPUTED_VALUE"""),"OPERATIVO PNC TRANSITO")</f>
        <v>OPERATIVO PNC TRANSITO</v>
      </c>
      <c r="AF370" s="64" t="str">
        <f>IFERROR(__xludf.DUMMYFUNCTION("""COMPUTED_VALUE"""),"SOBRECARGA ")</f>
        <v>SOBRECARGA </v>
      </c>
      <c r="AG370" s="64" t="str">
        <f>IFERROR(__xludf.DUMMYFUNCTION("""COMPUTED_VALUE"""),"OPERATIVO EN CONJUNTO")</f>
        <v>OPERATIVO EN CONJUNTO</v>
      </c>
      <c r="AH370" s="64" t="str">
        <f>IFERROR(__xludf.DUMMYFUNCTION("""COMPUTED_VALUE"""),"PUESTO DE ATENCION AL USUARIO")</f>
        <v>PUESTO DE ATENCION AL USUARIO</v>
      </c>
      <c r="AI370" s="64" t="str">
        <f>IFERROR(__xludf.DUMMYFUNCTION("""COMPUTED_VALUE"""),"INCENDIO EN RUTA")</f>
        <v>INCENDIO EN RUTA</v>
      </c>
      <c r="AJ370" s="64" t="str">
        <f>IFERROR(__xludf.DUMMYFUNCTION("""COMPUTED_VALUE"""),"APOYO ANTORCHA ")</f>
        <v>APOYO ANTORCHA </v>
      </c>
    </row>
    <row r="371">
      <c r="B371" s="64" t="s">
        <v>54</v>
      </c>
      <c r="C371" s="64" t="str">
        <f>IFERROR(__xludf.DUMMYFUNCTION(" TRANSPOSE( unique ( QUERY(DATOPRO,""select Col2 where Col1 = '""&amp;B371&amp;""'"")))"),"PINCHAZO")</f>
        <v>PINCHAZO</v>
      </c>
      <c r="D371" s="64" t="str">
        <f>IFERROR(__xludf.DUMMYFUNCTION("""COMPUTED_VALUE"""),"TRABAJOS DE CARRETERA")</f>
        <v>TRABAJOS DE CARRETERA</v>
      </c>
      <c r="E371" s="64" t="str">
        <f>IFERROR(__xludf.DUMMYFUNCTION("""COMPUTED_VALUE"""),"CONSIGNACIÓN")</f>
        <v>CONSIGNACIÓN</v>
      </c>
      <c r="F371" s="64" t="str">
        <f>IFERROR(__xludf.DUMMYFUNCTION("""COMPUTED_VALUE"""),"DERRAME")</f>
        <v>DERRAME</v>
      </c>
      <c r="G371" s="64" t="str">
        <f>IFERROR(__xludf.DUMMYFUNCTION("""COMPUTED_VALUE"""),"CALENTAMIENTO")</f>
        <v>CALENTAMIENTO</v>
      </c>
      <c r="H371" s="64" t="str">
        <f>IFERROR(__xludf.DUMMYFUNCTION("""COMPUTED_VALUE"""),"ESCOLTANDO")</f>
        <v>ESCOLTANDO</v>
      </c>
      <c r="I371" s="64" t="str">
        <f>IFERROR(__xludf.DUMMYFUNCTION("""COMPUTED_VALUE"""),"FALTA DE COMBUSTIBLE")</f>
        <v>FALTA DE COMBUSTIBLE</v>
      </c>
      <c r="J371" s="64" t="str">
        <f>IFERROR(__xludf.DUMMYFUNCTION("""COMPUTED_VALUE"""),"DESPERFECTOS MECÁNICOS")</f>
        <v>DESPERFECTOS MECÁNICOS</v>
      </c>
      <c r="K371" s="64" t="str">
        <f>IFERROR(__xludf.DUMMYFUNCTION("""COMPUTED_VALUE"""),"LLAMADA DE ATENCIÓN")</f>
        <v>LLAMADA DE ATENCIÓN</v>
      </c>
      <c r="L371" s="64" t="str">
        <f>IFERROR(__xludf.DUMMYFUNCTION("""COMPUTED_VALUE"""),"OPERATIVOS")</f>
        <v>OPERATIVOS</v>
      </c>
      <c r="M371" s="64" t="str">
        <f>IFERROR(__xludf.DUMMYFUNCTION("""COMPUTED_VALUE"""),"SANCIÓN")</f>
        <v>SANCIÓN</v>
      </c>
      <c r="N371" s="64" t="str">
        <f>IFERROR(__xludf.DUMMYFUNCTION("""COMPUTED_VALUE"""),"SISTEMA ELECTRICO")</f>
        <v>SISTEMA ELECTRICO</v>
      </c>
      <c r="O371" s="64" t="str">
        <f>IFERROR(__xludf.DUMMYFUNCTION("""COMPUTED_VALUE"""),"ASISTENCIA AL USUARIO")</f>
        <v>ASISTENCIA AL USUARIO</v>
      </c>
      <c r="P371" s="64" t="str">
        <f>IFERROR(__xludf.DUMMYFUNCTION("""COMPUTED_VALUE"""),"DOBLE REMOLQUE")</f>
        <v>DOBLE REMOLQUE</v>
      </c>
      <c r="Q371" s="64" t="str">
        <f>IFERROR(__xludf.DUMMYFUNCTION("""COMPUTED_VALUE"""),"SINAPRESE")</f>
        <v>SINAPRESE</v>
      </c>
      <c r="R371" s="64" t="str">
        <f>IFERROR(__xludf.DUMMYFUNCTION("""COMPUTED_VALUE"""),"APOYO ATLETISMO")</f>
        <v>APOYO ATLETISMO</v>
      </c>
      <c r="S371" s="64" t="str">
        <f>IFERROR(__xludf.DUMMYFUNCTION("""COMPUTED_VALUE"""),"APOYO A CICLISMO")</f>
        <v>APOYO A CICLISMO</v>
      </c>
      <c r="T371" s="64" t="str">
        <f>IFERROR(__xludf.DUMMYFUNCTION("""COMPUTED_VALUE"""),"DESCARGA DE BATERÍA")</f>
        <v>DESCARGA DE BATERÍA</v>
      </c>
      <c r="U371" s="64" t="str">
        <f>IFERROR(__xludf.DUMMYFUNCTION("""COMPUTED_VALUE"""),"PROBLEMAS DE SALUD")</f>
        <v>PROBLEMAS DE SALUD</v>
      </c>
      <c r="V371" s="64" t="str">
        <f>IFERROR(__xludf.DUMMYFUNCTION("""COMPUTED_VALUE"""),"OLVIDO LA LLAVE")</f>
        <v>OLVIDO LA LLAVE</v>
      </c>
      <c r="W371" s="64" t="str">
        <f>IFERROR(__xludf.DUMMYFUNCTION("""COMPUTED_VALUE"""),"CARGA SOBREDIMENSIONADA")</f>
        <v>CARGA SOBREDIMENSIONADA</v>
      </c>
      <c r="X371" s="64" t="str">
        <f>IFERROR(__xludf.DUMMYFUNCTION("""COMPUTED_VALUE"""),"VEHÍCULO ABANDONADO")</f>
        <v>VEHÍCULO ABANDONADO</v>
      </c>
      <c r="Y371" s="64" t="str">
        <f>IFERROR(__xludf.DUMMYFUNCTION("""COMPUTED_VALUE"""),"DESPRENDIMIENTO")</f>
        <v>DESPRENDIMIENTO</v>
      </c>
      <c r="Z371" s="64" t="str">
        <f>IFERROR(__xludf.DUMMYFUNCTION("""COMPUTED_VALUE"""),"CAÍDA DE POSTE")</f>
        <v>CAÍDA DE POSTE</v>
      </c>
      <c r="AA371" s="64" t="str">
        <f>IFERROR(__xludf.DUMMYFUNCTION("""COMPUTED_VALUE"""),"CAÍDA DE RAMA")</f>
        <v>CAÍDA DE RAMA</v>
      </c>
      <c r="AB371" s="64" t="str">
        <f>IFERROR(__xludf.DUMMYFUNCTION("""COMPUTED_VALUE"""),"OPERATIVO DGT")</f>
        <v>OPERATIVO DGT</v>
      </c>
      <c r="AC371" s="64" t="str">
        <f>IFERROR(__xludf.DUMMYFUNCTION("""COMPUTED_VALUE"""),"OPERATIVO PMT")</f>
        <v>OPERATIVO PMT</v>
      </c>
      <c r="AD371" s="64" t="str">
        <f>IFERROR(__xludf.DUMMYFUNCTION("""COMPUTED_VALUE"""),"APOYO A DIGEF")</f>
        <v>APOYO A DIGEF</v>
      </c>
      <c r="AE371" s="64" t="str">
        <f>IFERROR(__xludf.DUMMYFUNCTION("""COMPUTED_VALUE"""),"OPERATIVO PNC TRANSITO")</f>
        <v>OPERATIVO PNC TRANSITO</v>
      </c>
      <c r="AF371" s="64" t="str">
        <f>IFERROR(__xludf.DUMMYFUNCTION("""COMPUTED_VALUE"""),"SOBRECARGA ")</f>
        <v>SOBRECARGA </v>
      </c>
      <c r="AG371" s="64" t="str">
        <f>IFERROR(__xludf.DUMMYFUNCTION("""COMPUTED_VALUE"""),"OPERATIVO EN CONJUNTO")</f>
        <v>OPERATIVO EN CONJUNTO</v>
      </c>
      <c r="AH371" s="64" t="str">
        <f>IFERROR(__xludf.DUMMYFUNCTION("""COMPUTED_VALUE"""),"PUESTO DE ATENCION AL USUARIO")</f>
        <v>PUESTO DE ATENCION AL USUARIO</v>
      </c>
      <c r="AI371" s="64" t="str">
        <f>IFERROR(__xludf.DUMMYFUNCTION("""COMPUTED_VALUE"""),"INCENDIO EN RUTA")</f>
        <v>INCENDIO EN RUTA</v>
      </c>
      <c r="AJ371" s="64" t="str">
        <f>IFERROR(__xludf.DUMMYFUNCTION("""COMPUTED_VALUE"""),"APOYO ANTORCHA ")</f>
        <v>APOYO ANTORCHA </v>
      </c>
    </row>
    <row r="372">
      <c r="B372" s="64" t="s">
        <v>38</v>
      </c>
      <c r="C372" s="64" t="str">
        <f>IFERROR(__xludf.DUMMYFUNCTION(" TRANSPOSE( unique ( QUERY(DATOPRO,""select Col2 where Col1 = '""&amp;B372&amp;""'"")))"),"ATAQUE ARMADO")</f>
        <v>ATAQUE ARMADO</v>
      </c>
      <c r="D372" s="64" t="str">
        <f>IFERROR(__xludf.DUMMYFUNCTION("""COMPUTED_VALUE"""),"DESBALANCE DE CARGA")</f>
        <v>DESBALANCE DE CARGA</v>
      </c>
      <c r="E372" s="64" t="str">
        <f>IFERROR(__xludf.DUMMYFUNCTION("""COMPUTED_VALUE"""),"PERSONA FALLECIDA")</f>
        <v>PERSONA FALLECIDA</v>
      </c>
      <c r="F372" s="64" t="str">
        <f>IFERROR(__xludf.DUMMYFUNCTION("""COMPUTED_VALUE"""),"DESPRENDIMIENTO DE NEUMATICO")</f>
        <v>DESPRENDIMIENTO DE NEUMATICO</v>
      </c>
      <c r="G372" s="64" t="str">
        <f>IFERROR(__xludf.DUMMYFUNCTION("""COMPUTED_VALUE"""),"SALIDA DE PISTA")</f>
        <v>SALIDA DE PISTA</v>
      </c>
      <c r="H372" s="64" t="str">
        <f>IFERROR(__xludf.DUMMYFUNCTION("""COMPUTED_VALUE"""),"DESPRENDIMIENTO DE CONTENEDOR")</f>
        <v>DESPRENDIMIENTO DE CONTENEDOR</v>
      </c>
      <c r="I372" s="64" t="str">
        <f>IFERROR(__xludf.DUMMYFUNCTION("""COMPUTED_VALUE"""),"CAÍDA DE CARGA")</f>
        <v>CAÍDA DE CARGA</v>
      </c>
      <c r="J372" s="64" t="str">
        <f>IFERROR(__xludf.DUMMYFUNCTION("""COMPUTED_VALUE"""),"CHOQUE")</f>
        <v>CHOQUE</v>
      </c>
      <c r="K372" s="64" t="str">
        <f>IFERROR(__xludf.DUMMYFUNCTION("""COMPUTED_VALUE"""),"COLISIÓN")</f>
        <v>COLISIÓN</v>
      </c>
      <c r="L372" s="64" t="str">
        <f>IFERROR(__xludf.DUMMYFUNCTION("""COMPUTED_VALUE"""),"COLISIÓN MÚLTIPLE")</f>
        <v>COLISIÓN MÚLTIPLE</v>
      </c>
      <c r="M372" s="64" t="str">
        <f>IFERROR(__xludf.DUMMYFUNCTION("""COMPUTED_VALUE"""),"DERRAPE")</f>
        <v>DERRAPE</v>
      </c>
      <c r="N372" s="64" t="str">
        <f>IFERROR(__xludf.DUMMYFUNCTION("""COMPUTED_VALUE"""),"VEHÍCULO INCENDIADO")</f>
        <v>VEHÍCULO INCENDIADO</v>
      </c>
      <c r="O372" s="64" t="str">
        <f>IFERROR(__xludf.DUMMYFUNCTION("""COMPUTED_VALUE"""),"VUELCO")</f>
        <v>VUELCO</v>
      </c>
      <c r="P372" s="64" t="str">
        <f>IFERROR(__xludf.DUMMYFUNCTION("""COMPUTED_VALUE"""),"DESPRENDIMIENTO")</f>
        <v>DESPRENDIMIENTO</v>
      </c>
      <c r="Q372" s="64" t="str">
        <f>IFERROR(__xludf.DUMMYFUNCTION("""COMPUTED_VALUE"""),"CAÍDA DE ÁRBOL")</f>
        <v>CAÍDA DE ÁRBOL</v>
      </c>
      <c r="R372" s="64" t="str">
        <f>IFERROR(__xludf.DUMMYFUNCTION("""COMPUTED_VALUE"""),"DESPRENDIMIENTO DE EJE")</f>
        <v>DESPRENDIMIENTO DE EJE</v>
      </c>
      <c r="S372" s="64" t="str">
        <f>IFERROR(__xludf.DUMMYFUNCTION("""COMPUTED_VALUE"""),"PERSONA ATROPELLADA")</f>
        <v>PERSONA ATROPELLADA</v>
      </c>
    </row>
    <row r="373">
      <c r="B373" s="64" t="s">
        <v>54</v>
      </c>
      <c r="C373" s="64" t="str">
        <f>IFERROR(__xludf.DUMMYFUNCTION(" TRANSPOSE( unique ( QUERY(DATOPRO,""select Col2 where Col1 = '""&amp;B373&amp;""'"")))"),"PINCHAZO")</f>
        <v>PINCHAZO</v>
      </c>
      <c r="D373" s="64" t="str">
        <f>IFERROR(__xludf.DUMMYFUNCTION("""COMPUTED_VALUE"""),"TRABAJOS DE CARRETERA")</f>
        <v>TRABAJOS DE CARRETERA</v>
      </c>
      <c r="E373" s="64" t="str">
        <f>IFERROR(__xludf.DUMMYFUNCTION("""COMPUTED_VALUE"""),"CONSIGNACIÓN")</f>
        <v>CONSIGNACIÓN</v>
      </c>
      <c r="F373" s="64" t="str">
        <f>IFERROR(__xludf.DUMMYFUNCTION("""COMPUTED_VALUE"""),"DERRAME")</f>
        <v>DERRAME</v>
      </c>
      <c r="G373" s="64" t="str">
        <f>IFERROR(__xludf.DUMMYFUNCTION("""COMPUTED_VALUE"""),"CALENTAMIENTO")</f>
        <v>CALENTAMIENTO</v>
      </c>
      <c r="H373" s="64" t="str">
        <f>IFERROR(__xludf.DUMMYFUNCTION("""COMPUTED_VALUE"""),"ESCOLTANDO")</f>
        <v>ESCOLTANDO</v>
      </c>
      <c r="I373" s="64" t="str">
        <f>IFERROR(__xludf.DUMMYFUNCTION("""COMPUTED_VALUE"""),"FALTA DE COMBUSTIBLE")</f>
        <v>FALTA DE COMBUSTIBLE</v>
      </c>
      <c r="J373" s="64" t="str">
        <f>IFERROR(__xludf.DUMMYFUNCTION("""COMPUTED_VALUE"""),"DESPERFECTOS MECÁNICOS")</f>
        <v>DESPERFECTOS MECÁNICOS</v>
      </c>
      <c r="K373" s="64" t="str">
        <f>IFERROR(__xludf.DUMMYFUNCTION("""COMPUTED_VALUE"""),"LLAMADA DE ATENCIÓN")</f>
        <v>LLAMADA DE ATENCIÓN</v>
      </c>
      <c r="L373" s="64" t="str">
        <f>IFERROR(__xludf.DUMMYFUNCTION("""COMPUTED_VALUE"""),"OPERATIVOS")</f>
        <v>OPERATIVOS</v>
      </c>
      <c r="M373" s="64" t="str">
        <f>IFERROR(__xludf.DUMMYFUNCTION("""COMPUTED_VALUE"""),"SANCIÓN")</f>
        <v>SANCIÓN</v>
      </c>
      <c r="N373" s="64" t="str">
        <f>IFERROR(__xludf.DUMMYFUNCTION("""COMPUTED_VALUE"""),"SISTEMA ELECTRICO")</f>
        <v>SISTEMA ELECTRICO</v>
      </c>
      <c r="O373" s="64" t="str">
        <f>IFERROR(__xludf.DUMMYFUNCTION("""COMPUTED_VALUE"""),"ASISTENCIA AL USUARIO")</f>
        <v>ASISTENCIA AL USUARIO</v>
      </c>
      <c r="P373" s="64" t="str">
        <f>IFERROR(__xludf.DUMMYFUNCTION("""COMPUTED_VALUE"""),"DOBLE REMOLQUE")</f>
        <v>DOBLE REMOLQUE</v>
      </c>
      <c r="Q373" s="64" t="str">
        <f>IFERROR(__xludf.DUMMYFUNCTION("""COMPUTED_VALUE"""),"SINAPRESE")</f>
        <v>SINAPRESE</v>
      </c>
      <c r="R373" s="64" t="str">
        <f>IFERROR(__xludf.DUMMYFUNCTION("""COMPUTED_VALUE"""),"APOYO ATLETISMO")</f>
        <v>APOYO ATLETISMO</v>
      </c>
      <c r="S373" s="64" t="str">
        <f>IFERROR(__xludf.DUMMYFUNCTION("""COMPUTED_VALUE"""),"APOYO A CICLISMO")</f>
        <v>APOYO A CICLISMO</v>
      </c>
      <c r="T373" s="64" t="str">
        <f>IFERROR(__xludf.DUMMYFUNCTION("""COMPUTED_VALUE"""),"DESCARGA DE BATERÍA")</f>
        <v>DESCARGA DE BATERÍA</v>
      </c>
      <c r="U373" s="64" t="str">
        <f>IFERROR(__xludf.DUMMYFUNCTION("""COMPUTED_VALUE"""),"PROBLEMAS DE SALUD")</f>
        <v>PROBLEMAS DE SALUD</v>
      </c>
      <c r="V373" s="64" t="str">
        <f>IFERROR(__xludf.DUMMYFUNCTION("""COMPUTED_VALUE"""),"OLVIDO LA LLAVE")</f>
        <v>OLVIDO LA LLAVE</v>
      </c>
      <c r="W373" s="64" t="str">
        <f>IFERROR(__xludf.DUMMYFUNCTION("""COMPUTED_VALUE"""),"CARGA SOBREDIMENSIONADA")</f>
        <v>CARGA SOBREDIMENSIONADA</v>
      </c>
      <c r="X373" s="64" t="str">
        <f>IFERROR(__xludf.DUMMYFUNCTION("""COMPUTED_VALUE"""),"VEHÍCULO ABANDONADO")</f>
        <v>VEHÍCULO ABANDONADO</v>
      </c>
      <c r="Y373" s="64" t="str">
        <f>IFERROR(__xludf.DUMMYFUNCTION("""COMPUTED_VALUE"""),"DESPRENDIMIENTO")</f>
        <v>DESPRENDIMIENTO</v>
      </c>
      <c r="Z373" s="64" t="str">
        <f>IFERROR(__xludf.DUMMYFUNCTION("""COMPUTED_VALUE"""),"CAÍDA DE POSTE")</f>
        <v>CAÍDA DE POSTE</v>
      </c>
      <c r="AA373" s="64" t="str">
        <f>IFERROR(__xludf.DUMMYFUNCTION("""COMPUTED_VALUE"""),"CAÍDA DE RAMA")</f>
        <v>CAÍDA DE RAMA</v>
      </c>
      <c r="AB373" s="64" t="str">
        <f>IFERROR(__xludf.DUMMYFUNCTION("""COMPUTED_VALUE"""),"OPERATIVO DGT")</f>
        <v>OPERATIVO DGT</v>
      </c>
      <c r="AC373" s="64" t="str">
        <f>IFERROR(__xludf.DUMMYFUNCTION("""COMPUTED_VALUE"""),"OPERATIVO PMT")</f>
        <v>OPERATIVO PMT</v>
      </c>
      <c r="AD373" s="64" t="str">
        <f>IFERROR(__xludf.DUMMYFUNCTION("""COMPUTED_VALUE"""),"APOYO A DIGEF")</f>
        <v>APOYO A DIGEF</v>
      </c>
      <c r="AE373" s="64" t="str">
        <f>IFERROR(__xludf.DUMMYFUNCTION("""COMPUTED_VALUE"""),"OPERATIVO PNC TRANSITO")</f>
        <v>OPERATIVO PNC TRANSITO</v>
      </c>
      <c r="AF373" s="64" t="str">
        <f>IFERROR(__xludf.DUMMYFUNCTION("""COMPUTED_VALUE"""),"SOBRECARGA ")</f>
        <v>SOBRECARGA </v>
      </c>
      <c r="AG373" s="64" t="str">
        <f>IFERROR(__xludf.DUMMYFUNCTION("""COMPUTED_VALUE"""),"OPERATIVO EN CONJUNTO")</f>
        <v>OPERATIVO EN CONJUNTO</v>
      </c>
      <c r="AH373" s="64" t="str">
        <f>IFERROR(__xludf.DUMMYFUNCTION("""COMPUTED_VALUE"""),"PUESTO DE ATENCION AL USUARIO")</f>
        <v>PUESTO DE ATENCION AL USUARIO</v>
      </c>
      <c r="AI373" s="64" t="str">
        <f>IFERROR(__xludf.DUMMYFUNCTION("""COMPUTED_VALUE"""),"INCENDIO EN RUTA")</f>
        <v>INCENDIO EN RUTA</v>
      </c>
      <c r="AJ373" s="64" t="str">
        <f>IFERROR(__xludf.DUMMYFUNCTION("""COMPUTED_VALUE"""),"APOYO ANTORCHA ")</f>
        <v>APOYO ANTORCHA </v>
      </c>
    </row>
    <row r="374">
      <c r="B374" s="64" t="s">
        <v>38</v>
      </c>
      <c r="C374" s="64" t="str">
        <f>IFERROR(__xludf.DUMMYFUNCTION(" TRANSPOSE( unique ( QUERY(DATOPRO,""select Col2 where Col1 = '""&amp;B374&amp;""'"")))"),"ATAQUE ARMADO")</f>
        <v>ATAQUE ARMADO</v>
      </c>
      <c r="D374" s="64" t="str">
        <f>IFERROR(__xludf.DUMMYFUNCTION("""COMPUTED_VALUE"""),"DESBALANCE DE CARGA")</f>
        <v>DESBALANCE DE CARGA</v>
      </c>
      <c r="E374" s="64" t="str">
        <f>IFERROR(__xludf.DUMMYFUNCTION("""COMPUTED_VALUE"""),"PERSONA FALLECIDA")</f>
        <v>PERSONA FALLECIDA</v>
      </c>
      <c r="F374" s="64" t="str">
        <f>IFERROR(__xludf.DUMMYFUNCTION("""COMPUTED_VALUE"""),"DESPRENDIMIENTO DE NEUMATICO")</f>
        <v>DESPRENDIMIENTO DE NEUMATICO</v>
      </c>
      <c r="G374" s="64" t="str">
        <f>IFERROR(__xludf.DUMMYFUNCTION("""COMPUTED_VALUE"""),"SALIDA DE PISTA")</f>
        <v>SALIDA DE PISTA</v>
      </c>
      <c r="H374" s="64" t="str">
        <f>IFERROR(__xludf.DUMMYFUNCTION("""COMPUTED_VALUE"""),"DESPRENDIMIENTO DE CONTENEDOR")</f>
        <v>DESPRENDIMIENTO DE CONTENEDOR</v>
      </c>
      <c r="I374" s="64" t="str">
        <f>IFERROR(__xludf.DUMMYFUNCTION("""COMPUTED_VALUE"""),"CAÍDA DE CARGA")</f>
        <v>CAÍDA DE CARGA</v>
      </c>
      <c r="J374" s="64" t="str">
        <f>IFERROR(__xludf.DUMMYFUNCTION("""COMPUTED_VALUE"""),"CHOQUE")</f>
        <v>CHOQUE</v>
      </c>
      <c r="K374" s="64" t="str">
        <f>IFERROR(__xludf.DUMMYFUNCTION("""COMPUTED_VALUE"""),"COLISIÓN")</f>
        <v>COLISIÓN</v>
      </c>
      <c r="L374" s="64" t="str">
        <f>IFERROR(__xludf.DUMMYFUNCTION("""COMPUTED_VALUE"""),"COLISIÓN MÚLTIPLE")</f>
        <v>COLISIÓN MÚLTIPLE</v>
      </c>
      <c r="M374" s="64" t="str">
        <f>IFERROR(__xludf.DUMMYFUNCTION("""COMPUTED_VALUE"""),"DERRAPE")</f>
        <v>DERRAPE</v>
      </c>
      <c r="N374" s="64" t="str">
        <f>IFERROR(__xludf.DUMMYFUNCTION("""COMPUTED_VALUE"""),"VEHÍCULO INCENDIADO")</f>
        <v>VEHÍCULO INCENDIADO</v>
      </c>
      <c r="O374" s="64" t="str">
        <f>IFERROR(__xludf.DUMMYFUNCTION("""COMPUTED_VALUE"""),"VUELCO")</f>
        <v>VUELCO</v>
      </c>
      <c r="P374" s="64" t="str">
        <f>IFERROR(__xludf.DUMMYFUNCTION("""COMPUTED_VALUE"""),"DESPRENDIMIENTO")</f>
        <v>DESPRENDIMIENTO</v>
      </c>
      <c r="Q374" s="64" t="str">
        <f>IFERROR(__xludf.DUMMYFUNCTION("""COMPUTED_VALUE"""),"CAÍDA DE ÁRBOL")</f>
        <v>CAÍDA DE ÁRBOL</v>
      </c>
      <c r="R374" s="64" t="str">
        <f>IFERROR(__xludf.DUMMYFUNCTION("""COMPUTED_VALUE"""),"DESPRENDIMIENTO DE EJE")</f>
        <v>DESPRENDIMIENTO DE EJE</v>
      </c>
      <c r="S374" s="64" t="str">
        <f>IFERROR(__xludf.DUMMYFUNCTION("""COMPUTED_VALUE"""),"PERSONA ATROPELLADA")</f>
        <v>PERSONA ATROPELLADA</v>
      </c>
    </row>
    <row r="375">
      <c r="B375" s="64"/>
      <c r="C375" s="64" t="str">
        <f>IFERROR(__xludf.DUMMYFUNCTION(" TRANSPOSE( unique ( QUERY(DATOPRO,""select Col2 where Col1 = '""&amp;B375&amp;""'"")))"),"")</f>
        <v/>
      </c>
    </row>
    <row r="376">
      <c r="B376" s="64" t="s">
        <v>38</v>
      </c>
      <c r="C376" s="64" t="str">
        <f>IFERROR(__xludf.DUMMYFUNCTION(" TRANSPOSE( unique ( QUERY(DATOPRO,""select Col2 where Col1 = '""&amp;B376&amp;""'"")))"),"ATAQUE ARMADO")</f>
        <v>ATAQUE ARMADO</v>
      </c>
      <c r="D376" s="64" t="str">
        <f>IFERROR(__xludf.DUMMYFUNCTION("""COMPUTED_VALUE"""),"DESBALANCE DE CARGA")</f>
        <v>DESBALANCE DE CARGA</v>
      </c>
      <c r="E376" s="64" t="str">
        <f>IFERROR(__xludf.DUMMYFUNCTION("""COMPUTED_VALUE"""),"PERSONA FALLECIDA")</f>
        <v>PERSONA FALLECIDA</v>
      </c>
      <c r="F376" s="64" t="str">
        <f>IFERROR(__xludf.DUMMYFUNCTION("""COMPUTED_VALUE"""),"DESPRENDIMIENTO DE NEUMATICO")</f>
        <v>DESPRENDIMIENTO DE NEUMATICO</v>
      </c>
      <c r="G376" s="64" t="str">
        <f>IFERROR(__xludf.DUMMYFUNCTION("""COMPUTED_VALUE"""),"SALIDA DE PISTA")</f>
        <v>SALIDA DE PISTA</v>
      </c>
      <c r="H376" s="64" t="str">
        <f>IFERROR(__xludf.DUMMYFUNCTION("""COMPUTED_VALUE"""),"DESPRENDIMIENTO DE CONTENEDOR")</f>
        <v>DESPRENDIMIENTO DE CONTENEDOR</v>
      </c>
      <c r="I376" s="64" t="str">
        <f>IFERROR(__xludf.DUMMYFUNCTION("""COMPUTED_VALUE"""),"CAÍDA DE CARGA")</f>
        <v>CAÍDA DE CARGA</v>
      </c>
      <c r="J376" s="64" t="str">
        <f>IFERROR(__xludf.DUMMYFUNCTION("""COMPUTED_VALUE"""),"CHOQUE")</f>
        <v>CHOQUE</v>
      </c>
      <c r="K376" s="64" t="str">
        <f>IFERROR(__xludf.DUMMYFUNCTION("""COMPUTED_VALUE"""),"COLISIÓN")</f>
        <v>COLISIÓN</v>
      </c>
      <c r="L376" s="64" t="str">
        <f>IFERROR(__xludf.DUMMYFUNCTION("""COMPUTED_VALUE"""),"COLISIÓN MÚLTIPLE")</f>
        <v>COLISIÓN MÚLTIPLE</v>
      </c>
      <c r="M376" s="64" t="str">
        <f>IFERROR(__xludf.DUMMYFUNCTION("""COMPUTED_VALUE"""),"DERRAPE")</f>
        <v>DERRAPE</v>
      </c>
      <c r="N376" s="64" t="str">
        <f>IFERROR(__xludf.DUMMYFUNCTION("""COMPUTED_VALUE"""),"VEHÍCULO INCENDIADO")</f>
        <v>VEHÍCULO INCENDIADO</v>
      </c>
      <c r="O376" s="64" t="str">
        <f>IFERROR(__xludf.DUMMYFUNCTION("""COMPUTED_VALUE"""),"VUELCO")</f>
        <v>VUELCO</v>
      </c>
      <c r="P376" s="64" t="str">
        <f>IFERROR(__xludf.DUMMYFUNCTION("""COMPUTED_VALUE"""),"DESPRENDIMIENTO")</f>
        <v>DESPRENDIMIENTO</v>
      </c>
      <c r="Q376" s="64" t="str">
        <f>IFERROR(__xludf.DUMMYFUNCTION("""COMPUTED_VALUE"""),"CAÍDA DE ÁRBOL")</f>
        <v>CAÍDA DE ÁRBOL</v>
      </c>
      <c r="R376" s="64" t="str">
        <f>IFERROR(__xludf.DUMMYFUNCTION("""COMPUTED_VALUE"""),"DESPRENDIMIENTO DE EJE")</f>
        <v>DESPRENDIMIENTO DE EJE</v>
      </c>
      <c r="S376" s="64" t="str">
        <f>IFERROR(__xludf.DUMMYFUNCTION("""COMPUTED_VALUE"""),"PERSONA ATROPELLADA")</f>
        <v>PERSONA ATROPELLADA</v>
      </c>
    </row>
    <row r="377">
      <c r="B377" s="64" t="s">
        <v>54</v>
      </c>
      <c r="C377" s="64" t="str">
        <f>IFERROR(__xludf.DUMMYFUNCTION(" TRANSPOSE( unique ( QUERY(DATOPRO,""select Col2 where Col1 = '""&amp;B377&amp;""'"")))"),"PINCHAZO")</f>
        <v>PINCHAZO</v>
      </c>
      <c r="D377" s="64" t="str">
        <f>IFERROR(__xludf.DUMMYFUNCTION("""COMPUTED_VALUE"""),"TRABAJOS DE CARRETERA")</f>
        <v>TRABAJOS DE CARRETERA</v>
      </c>
      <c r="E377" s="64" t="str">
        <f>IFERROR(__xludf.DUMMYFUNCTION("""COMPUTED_VALUE"""),"CONSIGNACIÓN")</f>
        <v>CONSIGNACIÓN</v>
      </c>
      <c r="F377" s="64" t="str">
        <f>IFERROR(__xludf.DUMMYFUNCTION("""COMPUTED_VALUE"""),"DERRAME")</f>
        <v>DERRAME</v>
      </c>
      <c r="G377" s="64" t="str">
        <f>IFERROR(__xludf.DUMMYFUNCTION("""COMPUTED_VALUE"""),"CALENTAMIENTO")</f>
        <v>CALENTAMIENTO</v>
      </c>
      <c r="H377" s="64" t="str">
        <f>IFERROR(__xludf.DUMMYFUNCTION("""COMPUTED_VALUE"""),"ESCOLTANDO")</f>
        <v>ESCOLTANDO</v>
      </c>
      <c r="I377" s="64" t="str">
        <f>IFERROR(__xludf.DUMMYFUNCTION("""COMPUTED_VALUE"""),"FALTA DE COMBUSTIBLE")</f>
        <v>FALTA DE COMBUSTIBLE</v>
      </c>
      <c r="J377" s="64" t="str">
        <f>IFERROR(__xludf.DUMMYFUNCTION("""COMPUTED_VALUE"""),"DESPERFECTOS MECÁNICOS")</f>
        <v>DESPERFECTOS MECÁNICOS</v>
      </c>
      <c r="K377" s="64" t="str">
        <f>IFERROR(__xludf.DUMMYFUNCTION("""COMPUTED_VALUE"""),"LLAMADA DE ATENCIÓN")</f>
        <v>LLAMADA DE ATENCIÓN</v>
      </c>
      <c r="L377" s="64" t="str">
        <f>IFERROR(__xludf.DUMMYFUNCTION("""COMPUTED_VALUE"""),"OPERATIVOS")</f>
        <v>OPERATIVOS</v>
      </c>
      <c r="M377" s="64" t="str">
        <f>IFERROR(__xludf.DUMMYFUNCTION("""COMPUTED_VALUE"""),"SANCIÓN")</f>
        <v>SANCIÓN</v>
      </c>
      <c r="N377" s="64" t="str">
        <f>IFERROR(__xludf.DUMMYFUNCTION("""COMPUTED_VALUE"""),"SISTEMA ELECTRICO")</f>
        <v>SISTEMA ELECTRICO</v>
      </c>
      <c r="O377" s="64" t="str">
        <f>IFERROR(__xludf.DUMMYFUNCTION("""COMPUTED_VALUE"""),"ASISTENCIA AL USUARIO")</f>
        <v>ASISTENCIA AL USUARIO</v>
      </c>
      <c r="P377" s="64" t="str">
        <f>IFERROR(__xludf.DUMMYFUNCTION("""COMPUTED_VALUE"""),"DOBLE REMOLQUE")</f>
        <v>DOBLE REMOLQUE</v>
      </c>
      <c r="Q377" s="64" t="str">
        <f>IFERROR(__xludf.DUMMYFUNCTION("""COMPUTED_VALUE"""),"SINAPRESE")</f>
        <v>SINAPRESE</v>
      </c>
      <c r="R377" s="64" t="str">
        <f>IFERROR(__xludf.DUMMYFUNCTION("""COMPUTED_VALUE"""),"APOYO ATLETISMO")</f>
        <v>APOYO ATLETISMO</v>
      </c>
      <c r="S377" s="64" t="str">
        <f>IFERROR(__xludf.DUMMYFUNCTION("""COMPUTED_VALUE"""),"APOYO A CICLISMO")</f>
        <v>APOYO A CICLISMO</v>
      </c>
      <c r="T377" s="64" t="str">
        <f>IFERROR(__xludf.DUMMYFUNCTION("""COMPUTED_VALUE"""),"DESCARGA DE BATERÍA")</f>
        <v>DESCARGA DE BATERÍA</v>
      </c>
      <c r="U377" s="64" t="str">
        <f>IFERROR(__xludf.DUMMYFUNCTION("""COMPUTED_VALUE"""),"PROBLEMAS DE SALUD")</f>
        <v>PROBLEMAS DE SALUD</v>
      </c>
      <c r="V377" s="64" t="str">
        <f>IFERROR(__xludf.DUMMYFUNCTION("""COMPUTED_VALUE"""),"OLVIDO LA LLAVE")</f>
        <v>OLVIDO LA LLAVE</v>
      </c>
      <c r="W377" s="64" t="str">
        <f>IFERROR(__xludf.DUMMYFUNCTION("""COMPUTED_VALUE"""),"CARGA SOBREDIMENSIONADA")</f>
        <v>CARGA SOBREDIMENSIONADA</v>
      </c>
      <c r="X377" s="64" t="str">
        <f>IFERROR(__xludf.DUMMYFUNCTION("""COMPUTED_VALUE"""),"VEHÍCULO ABANDONADO")</f>
        <v>VEHÍCULO ABANDONADO</v>
      </c>
      <c r="Y377" s="64" t="str">
        <f>IFERROR(__xludf.DUMMYFUNCTION("""COMPUTED_VALUE"""),"DESPRENDIMIENTO")</f>
        <v>DESPRENDIMIENTO</v>
      </c>
      <c r="Z377" s="64" t="str">
        <f>IFERROR(__xludf.DUMMYFUNCTION("""COMPUTED_VALUE"""),"CAÍDA DE POSTE")</f>
        <v>CAÍDA DE POSTE</v>
      </c>
      <c r="AA377" s="64" t="str">
        <f>IFERROR(__xludf.DUMMYFUNCTION("""COMPUTED_VALUE"""),"CAÍDA DE RAMA")</f>
        <v>CAÍDA DE RAMA</v>
      </c>
      <c r="AB377" s="64" t="str">
        <f>IFERROR(__xludf.DUMMYFUNCTION("""COMPUTED_VALUE"""),"OPERATIVO DGT")</f>
        <v>OPERATIVO DGT</v>
      </c>
      <c r="AC377" s="64" t="str">
        <f>IFERROR(__xludf.DUMMYFUNCTION("""COMPUTED_VALUE"""),"OPERATIVO PMT")</f>
        <v>OPERATIVO PMT</v>
      </c>
      <c r="AD377" s="64" t="str">
        <f>IFERROR(__xludf.DUMMYFUNCTION("""COMPUTED_VALUE"""),"APOYO A DIGEF")</f>
        <v>APOYO A DIGEF</v>
      </c>
      <c r="AE377" s="64" t="str">
        <f>IFERROR(__xludf.DUMMYFUNCTION("""COMPUTED_VALUE"""),"OPERATIVO PNC TRANSITO")</f>
        <v>OPERATIVO PNC TRANSITO</v>
      </c>
      <c r="AF377" s="64" t="str">
        <f>IFERROR(__xludf.DUMMYFUNCTION("""COMPUTED_VALUE"""),"SOBRECARGA ")</f>
        <v>SOBRECARGA </v>
      </c>
      <c r="AG377" s="64" t="str">
        <f>IFERROR(__xludf.DUMMYFUNCTION("""COMPUTED_VALUE"""),"OPERATIVO EN CONJUNTO")</f>
        <v>OPERATIVO EN CONJUNTO</v>
      </c>
      <c r="AH377" s="64" t="str">
        <f>IFERROR(__xludf.DUMMYFUNCTION("""COMPUTED_VALUE"""),"PUESTO DE ATENCION AL USUARIO")</f>
        <v>PUESTO DE ATENCION AL USUARIO</v>
      </c>
      <c r="AI377" s="64" t="str">
        <f>IFERROR(__xludf.DUMMYFUNCTION("""COMPUTED_VALUE"""),"INCENDIO EN RUTA")</f>
        <v>INCENDIO EN RUTA</v>
      </c>
      <c r="AJ377" s="64" t="str">
        <f>IFERROR(__xludf.DUMMYFUNCTION("""COMPUTED_VALUE"""),"APOYO ANTORCHA ")</f>
        <v>APOYO ANTORCHA </v>
      </c>
    </row>
    <row r="378">
      <c r="B378" s="64"/>
      <c r="C378" s="64" t="str">
        <f>IFERROR(__xludf.DUMMYFUNCTION(" TRANSPOSE( unique ( QUERY(DATOPRO,""select Col2 where Col1 = '""&amp;B378&amp;""'"")))"),"")</f>
        <v/>
      </c>
    </row>
    <row r="379">
      <c r="B379" s="64" t="s">
        <v>38</v>
      </c>
      <c r="C379" s="64" t="str">
        <f>IFERROR(__xludf.DUMMYFUNCTION(" TRANSPOSE( unique ( QUERY(DATOPRO,""select Col2 where Col1 = '""&amp;B379&amp;""'"")))"),"ATAQUE ARMADO")</f>
        <v>ATAQUE ARMADO</v>
      </c>
      <c r="D379" s="64" t="str">
        <f>IFERROR(__xludf.DUMMYFUNCTION("""COMPUTED_VALUE"""),"DESBALANCE DE CARGA")</f>
        <v>DESBALANCE DE CARGA</v>
      </c>
      <c r="E379" s="64" t="str">
        <f>IFERROR(__xludf.DUMMYFUNCTION("""COMPUTED_VALUE"""),"PERSONA FALLECIDA")</f>
        <v>PERSONA FALLECIDA</v>
      </c>
      <c r="F379" s="64" t="str">
        <f>IFERROR(__xludf.DUMMYFUNCTION("""COMPUTED_VALUE"""),"DESPRENDIMIENTO DE NEUMATICO")</f>
        <v>DESPRENDIMIENTO DE NEUMATICO</v>
      </c>
      <c r="G379" s="64" t="str">
        <f>IFERROR(__xludf.DUMMYFUNCTION("""COMPUTED_VALUE"""),"SALIDA DE PISTA")</f>
        <v>SALIDA DE PISTA</v>
      </c>
      <c r="H379" s="64" t="str">
        <f>IFERROR(__xludf.DUMMYFUNCTION("""COMPUTED_VALUE"""),"DESPRENDIMIENTO DE CONTENEDOR")</f>
        <v>DESPRENDIMIENTO DE CONTENEDOR</v>
      </c>
      <c r="I379" s="64" t="str">
        <f>IFERROR(__xludf.DUMMYFUNCTION("""COMPUTED_VALUE"""),"CAÍDA DE CARGA")</f>
        <v>CAÍDA DE CARGA</v>
      </c>
      <c r="J379" s="64" t="str">
        <f>IFERROR(__xludf.DUMMYFUNCTION("""COMPUTED_VALUE"""),"CHOQUE")</f>
        <v>CHOQUE</v>
      </c>
      <c r="K379" s="64" t="str">
        <f>IFERROR(__xludf.DUMMYFUNCTION("""COMPUTED_VALUE"""),"COLISIÓN")</f>
        <v>COLISIÓN</v>
      </c>
      <c r="L379" s="64" t="str">
        <f>IFERROR(__xludf.DUMMYFUNCTION("""COMPUTED_VALUE"""),"COLISIÓN MÚLTIPLE")</f>
        <v>COLISIÓN MÚLTIPLE</v>
      </c>
      <c r="M379" s="64" t="str">
        <f>IFERROR(__xludf.DUMMYFUNCTION("""COMPUTED_VALUE"""),"DERRAPE")</f>
        <v>DERRAPE</v>
      </c>
      <c r="N379" s="64" t="str">
        <f>IFERROR(__xludf.DUMMYFUNCTION("""COMPUTED_VALUE"""),"VEHÍCULO INCENDIADO")</f>
        <v>VEHÍCULO INCENDIADO</v>
      </c>
      <c r="O379" s="64" t="str">
        <f>IFERROR(__xludf.DUMMYFUNCTION("""COMPUTED_VALUE"""),"VUELCO")</f>
        <v>VUELCO</v>
      </c>
      <c r="P379" s="64" t="str">
        <f>IFERROR(__xludf.DUMMYFUNCTION("""COMPUTED_VALUE"""),"DESPRENDIMIENTO")</f>
        <v>DESPRENDIMIENTO</v>
      </c>
      <c r="Q379" s="64" t="str">
        <f>IFERROR(__xludf.DUMMYFUNCTION("""COMPUTED_VALUE"""),"CAÍDA DE ÁRBOL")</f>
        <v>CAÍDA DE ÁRBOL</v>
      </c>
      <c r="R379" s="64" t="str">
        <f>IFERROR(__xludf.DUMMYFUNCTION("""COMPUTED_VALUE"""),"DESPRENDIMIENTO DE EJE")</f>
        <v>DESPRENDIMIENTO DE EJE</v>
      </c>
      <c r="S379" s="64" t="str">
        <f>IFERROR(__xludf.DUMMYFUNCTION("""COMPUTED_VALUE"""),"PERSONA ATROPELLADA")</f>
        <v>PERSONA ATROPELLADA</v>
      </c>
    </row>
    <row r="380">
      <c r="B380" s="64"/>
      <c r="C380" s="64" t="str">
        <f>IFERROR(__xludf.DUMMYFUNCTION(" TRANSPOSE( unique ( QUERY(DATOPRO,""select Col2 where Col1 = '""&amp;B380&amp;""'"")))"),"")</f>
        <v/>
      </c>
    </row>
    <row r="381">
      <c r="B381" s="64" t="s">
        <v>38</v>
      </c>
      <c r="C381" s="64" t="str">
        <f>IFERROR(__xludf.DUMMYFUNCTION(" TRANSPOSE( unique ( QUERY(DATOPRO,""select Col2 where Col1 = '""&amp;B381&amp;""'"")))"),"ATAQUE ARMADO")</f>
        <v>ATAQUE ARMADO</v>
      </c>
      <c r="D381" s="64" t="str">
        <f>IFERROR(__xludf.DUMMYFUNCTION("""COMPUTED_VALUE"""),"DESBALANCE DE CARGA")</f>
        <v>DESBALANCE DE CARGA</v>
      </c>
      <c r="E381" s="64" t="str">
        <f>IFERROR(__xludf.DUMMYFUNCTION("""COMPUTED_VALUE"""),"PERSONA FALLECIDA")</f>
        <v>PERSONA FALLECIDA</v>
      </c>
      <c r="F381" s="64" t="str">
        <f>IFERROR(__xludf.DUMMYFUNCTION("""COMPUTED_VALUE"""),"DESPRENDIMIENTO DE NEUMATICO")</f>
        <v>DESPRENDIMIENTO DE NEUMATICO</v>
      </c>
      <c r="G381" s="64" t="str">
        <f>IFERROR(__xludf.DUMMYFUNCTION("""COMPUTED_VALUE"""),"SALIDA DE PISTA")</f>
        <v>SALIDA DE PISTA</v>
      </c>
      <c r="H381" s="64" t="str">
        <f>IFERROR(__xludf.DUMMYFUNCTION("""COMPUTED_VALUE"""),"DESPRENDIMIENTO DE CONTENEDOR")</f>
        <v>DESPRENDIMIENTO DE CONTENEDOR</v>
      </c>
      <c r="I381" s="64" t="str">
        <f>IFERROR(__xludf.DUMMYFUNCTION("""COMPUTED_VALUE"""),"CAÍDA DE CARGA")</f>
        <v>CAÍDA DE CARGA</v>
      </c>
      <c r="J381" s="64" t="str">
        <f>IFERROR(__xludf.DUMMYFUNCTION("""COMPUTED_VALUE"""),"CHOQUE")</f>
        <v>CHOQUE</v>
      </c>
      <c r="K381" s="64" t="str">
        <f>IFERROR(__xludf.DUMMYFUNCTION("""COMPUTED_VALUE"""),"COLISIÓN")</f>
        <v>COLISIÓN</v>
      </c>
      <c r="L381" s="64" t="str">
        <f>IFERROR(__xludf.DUMMYFUNCTION("""COMPUTED_VALUE"""),"COLISIÓN MÚLTIPLE")</f>
        <v>COLISIÓN MÚLTIPLE</v>
      </c>
      <c r="M381" s="64" t="str">
        <f>IFERROR(__xludf.DUMMYFUNCTION("""COMPUTED_VALUE"""),"DERRAPE")</f>
        <v>DERRAPE</v>
      </c>
      <c r="N381" s="64" t="str">
        <f>IFERROR(__xludf.DUMMYFUNCTION("""COMPUTED_VALUE"""),"VEHÍCULO INCENDIADO")</f>
        <v>VEHÍCULO INCENDIADO</v>
      </c>
      <c r="O381" s="64" t="str">
        <f>IFERROR(__xludf.DUMMYFUNCTION("""COMPUTED_VALUE"""),"VUELCO")</f>
        <v>VUELCO</v>
      </c>
      <c r="P381" s="64" t="str">
        <f>IFERROR(__xludf.DUMMYFUNCTION("""COMPUTED_VALUE"""),"DESPRENDIMIENTO")</f>
        <v>DESPRENDIMIENTO</v>
      </c>
      <c r="Q381" s="64" t="str">
        <f>IFERROR(__xludf.DUMMYFUNCTION("""COMPUTED_VALUE"""),"CAÍDA DE ÁRBOL")</f>
        <v>CAÍDA DE ÁRBOL</v>
      </c>
      <c r="R381" s="64" t="str">
        <f>IFERROR(__xludf.DUMMYFUNCTION("""COMPUTED_VALUE"""),"DESPRENDIMIENTO DE EJE")</f>
        <v>DESPRENDIMIENTO DE EJE</v>
      </c>
      <c r="S381" s="64" t="str">
        <f>IFERROR(__xludf.DUMMYFUNCTION("""COMPUTED_VALUE"""),"PERSONA ATROPELLADA")</f>
        <v>PERSONA ATROPELLADA</v>
      </c>
    </row>
    <row r="382">
      <c r="B382" s="64" t="s">
        <v>54</v>
      </c>
      <c r="C382" s="64" t="str">
        <f>IFERROR(__xludf.DUMMYFUNCTION(" TRANSPOSE( unique ( QUERY(DATOPRO,""select Col2 where Col1 = '""&amp;B382&amp;""'"")))"),"PINCHAZO")</f>
        <v>PINCHAZO</v>
      </c>
      <c r="D382" s="64" t="str">
        <f>IFERROR(__xludf.DUMMYFUNCTION("""COMPUTED_VALUE"""),"TRABAJOS DE CARRETERA")</f>
        <v>TRABAJOS DE CARRETERA</v>
      </c>
      <c r="E382" s="64" t="str">
        <f>IFERROR(__xludf.DUMMYFUNCTION("""COMPUTED_VALUE"""),"CONSIGNACIÓN")</f>
        <v>CONSIGNACIÓN</v>
      </c>
      <c r="F382" s="64" t="str">
        <f>IFERROR(__xludf.DUMMYFUNCTION("""COMPUTED_VALUE"""),"DERRAME")</f>
        <v>DERRAME</v>
      </c>
      <c r="G382" s="64" t="str">
        <f>IFERROR(__xludf.DUMMYFUNCTION("""COMPUTED_VALUE"""),"CALENTAMIENTO")</f>
        <v>CALENTAMIENTO</v>
      </c>
      <c r="H382" s="64" t="str">
        <f>IFERROR(__xludf.DUMMYFUNCTION("""COMPUTED_VALUE"""),"ESCOLTANDO")</f>
        <v>ESCOLTANDO</v>
      </c>
      <c r="I382" s="64" t="str">
        <f>IFERROR(__xludf.DUMMYFUNCTION("""COMPUTED_VALUE"""),"FALTA DE COMBUSTIBLE")</f>
        <v>FALTA DE COMBUSTIBLE</v>
      </c>
      <c r="J382" s="64" t="str">
        <f>IFERROR(__xludf.DUMMYFUNCTION("""COMPUTED_VALUE"""),"DESPERFECTOS MECÁNICOS")</f>
        <v>DESPERFECTOS MECÁNICOS</v>
      </c>
      <c r="K382" s="64" t="str">
        <f>IFERROR(__xludf.DUMMYFUNCTION("""COMPUTED_VALUE"""),"LLAMADA DE ATENCIÓN")</f>
        <v>LLAMADA DE ATENCIÓN</v>
      </c>
      <c r="L382" s="64" t="str">
        <f>IFERROR(__xludf.DUMMYFUNCTION("""COMPUTED_VALUE"""),"OPERATIVOS")</f>
        <v>OPERATIVOS</v>
      </c>
      <c r="M382" s="64" t="str">
        <f>IFERROR(__xludf.DUMMYFUNCTION("""COMPUTED_VALUE"""),"SANCIÓN")</f>
        <v>SANCIÓN</v>
      </c>
      <c r="N382" s="64" t="str">
        <f>IFERROR(__xludf.DUMMYFUNCTION("""COMPUTED_VALUE"""),"SISTEMA ELECTRICO")</f>
        <v>SISTEMA ELECTRICO</v>
      </c>
      <c r="O382" s="64" t="str">
        <f>IFERROR(__xludf.DUMMYFUNCTION("""COMPUTED_VALUE"""),"ASISTENCIA AL USUARIO")</f>
        <v>ASISTENCIA AL USUARIO</v>
      </c>
      <c r="P382" s="64" t="str">
        <f>IFERROR(__xludf.DUMMYFUNCTION("""COMPUTED_VALUE"""),"DOBLE REMOLQUE")</f>
        <v>DOBLE REMOLQUE</v>
      </c>
      <c r="Q382" s="64" t="str">
        <f>IFERROR(__xludf.DUMMYFUNCTION("""COMPUTED_VALUE"""),"SINAPRESE")</f>
        <v>SINAPRESE</v>
      </c>
      <c r="R382" s="64" t="str">
        <f>IFERROR(__xludf.DUMMYFUNCTION("""COMPUTED_VALUE"""),"APOYO ATLETISMO")</f>
        <v>APOYO ATLETISMO</v>
      </c>
      <c r="S382" s="64" t="str">
        <f>IFERROR(__xludf.DUMMYFUNCTION("""COMPUTED_VALUE"""),"APOYO A CICLISMO")</f>
        <v>APOYO A CICLISMO</v>
      </c>
      <c r="T382" s="64" t="str">
        <f>IFERROR(__xludf.DUMMYFUNCTION("""COMPUTED_VALUE"""),"DESCARGA DE BATERÍA")</f>
        <v>DESCARGA DE BATERÍA</v>
      </c>
      <c r="U382" s="64" t="str">
        <f>IFERROR(__xludf.DUMMYFUNCTION("""COMPUTED_VALUE"""),"PROBLEMAS DE SALUD")</f>
        <v>PROBLEMAS DE SALUD</v>
      </c>
      <c r="V382" s="64" t="str">
        <f>IFERROR(__xludf.DUMMYFUNCTION("""COMPUTED_VALUE"""),"OLVIDO LA LLAVE")</f>
        <v>OLVIDO LA LLAVE</v>
      </c>
      <c r="W382" s="64" t="str">
        <f>IFERROR(__xludf.DUMMYFUNCTION("""COMPUTED_VALUE"""),"CARGA SOBREDIMENSIONADA")</f>
        <v>CARGA SOBREDIMENSIONADA</v>
      </c>
      <c r="X382" s="64" t="str">
        <f>IFERROR(__xludf.DUMMYFUNCTION("""COMPUTED_VALUE"""),"VEHÍCULO ABANDONADO")</f>
        <v>VEHÍCULO ABANDONADO</v>
      </c>
      <c r="Y382" s="64" t="str">
        <f>IFERROR(__xludf.DUMMYFUNCTION("""COMPUTED_VALUE"""),"DESPRENDIMIENTO")</f>
        <v>DESPRENDIMIENTO</v>
      </c>
      <c r="Z382" s="64" t="str">
        <f>IFERROR(__xludf.DUMMYFUNCTION("""COMPUTED_VALUE"""),"CAÍDA DE POSTE")</f>
        <v>CAÍDA DE POSTE</v>
      </c>
      <c r="AA382" s="64" t="str">
        <f>IFERROR(__xludf.DUMMYFUNCTION("""COMPUTED_VALUE"""),"CAÍDA DE RAMA")</f>
        <v>CAÍDA DE RAMA</v>
      </c>
      <c r="AB382" s="64" t="str">
        <f>IFERROR(__xludf.DUMMYFUNCTION("""COMPUTED_VALUE"""),"OPERATIVO DGT")</f>
        <v>OPERATIVO DGT</v>
      </c>
      <c r="AC382" s="64" t="str">
        <f>IFERROR(__xludf.DUMMYFUNCTION("""COMPUTED_VALUE"""),"OPERATIVO PMT")</f>
        <v>OPERATIVO PMT</v>
      </c>
      <c r="AD382" s="64" t="str">
        <f>IFERROR(__xludf.DUMMYFUNCTION("""COMPUTED_VALUE"""),"APOYO A DIGEF")</f>
        <v>APOYO A DIGEF</v>
      </c>
      <c r="AE382" s="64" t="str">
        <f>IFERROR(__xludf.DUMMYFUNCTION("""COMPUTED_VALUE"""),"OPERATIVO PNC TRANSITO")</f>
        <v>OPERATIVO PNC TRANSITO</v>
      </c>
      <c r="AF382" s="64" t="str">
        <f>IFERROR(__xludf.DUMMYFUNCTION("""COMPUTED_VALUE"""),"SOBRECARGA ")</f>
        <v>SOBRECARGA </v>
      </c>
      <c r="AG382" s="64" t="str">
        <f>IFERROR(__xludf.DUMMYFUNCTION("""COMPUTED_VALUE"""),"OPERATIVO EN CONJUNTO")</f>
        <v>OPERATIVO EN CONJUNTO</v>
      </c>
      <c r="AH382" s="64" t="str">
        <f>IFERROR(__xludf.DUMMYFUNCTION("""COMPUTED_VALUE"""),"PUESTO DE ATENCION AL USUARIO")</f>
        <v>PUESTO DE ATENCION AL USUARIO</v>
      </c>
      <c r="AI382" s="64" t="str">
        <f>IFERROR(__xludf.DUMMYFUNCTION("""COMPUTED_VALUE"""),"INCENDIO EN RUTA")</f>
        <v>INCENDIO EN RUTA</v>
      </c>
      <c r="AJ382" s="64" t="str">
        <f>IFERROR(__xludf.DUMMYFUNCTION("""COMPUTED_VALUE"""),"APOYO ANTORCHA ")</f>
        <v>APOYO ANTORCHA </v>
      </c>
    </row>
    <row r="383">
      <c r="B383" s="64"/>
      <c r="C383" s="64" t="str">
        <f>IFERROR(__xludf.DUMMYFUNCTION(" TRANSPOSE( unique ( QUERY(DATOPRO,""select Col2 where Col1 = '""&amp;B383&amp;""'"")))"),"")</f>
        <v/>
      </c>
    </row>
    <row r="384">
      <c r="B384" s="64"/>
      <c r="C384" s="64" t="str">
        <f>IFERROR(__xludf.DUMMYFUNCTION(" TRANSPOSE( unique ( QUERY(DATOPRO,""select Col2 where Col1 = '""&amp;B384&amp;""'"")))"),"")</f>
        <v/>
      </c>
    </row>
    <row r="385">
      <c r="B385" s="64" t="s">
        <v>38</v>
      </c>
      <c r="C385" s="64" t="str">
        <f>IFERROR(__xludf.DUMMYFUNCTION(" TRANSPOSE( unique ( QUERY(DATOPRO,""select Col2 where Col1 = '""&amp;B385&amp;""'"")))"),"ATAQUE ARMADO")</f>
        <v>ATAQUE ARMADO</v>
      </c>
      <c r="D385" s="64" t="str">
        <f>IFERROR(__xludf.DUMMYFUNCTION("""COMPUTED_VALUE"""),"DESBALANCE DE CARGA")</f>
        <v>DESBALANCE DE CARGA</v>
      </c>
      <c r="E385" s="64" t="str">
        <f>IFERROR(__xludf.DUMMYFUNCTION("""COMPUTED_VALUE"""),"PERSONA FALLECIDA")</f>
        <v>PERSONA FALLECIDA</v>
      </c>
      <c r="F385" s="64" t="str">
        <f>IFERROR(__xludf.DUMMYFUNCTION("""COMPUTED_VALUE"""),"DESPRENDIMIENTO DE NEUMATICO")</f>
        <v>DESPRENDIMIENTO DE NEUMATICO</v>
      </c>
      <c r="G385" s="64" t="str">
        <f>IFERROR(__xludf.DUMMYFUNCTION("""COMPUTED_VALUE"""),"SALIDA DE PISTA")</f>
        <v>SALIDA DE PISTA</v>
      </c>
      <c r="H385" s="64" t="str">
        <f>IFERROR(__xludf.DUMMYFUNCTION("""COMPUTED_VALUE"""),"DESPRENDIMIENTO DE CONTENEDOR")</f>
        <v>DESPRENDIMIENTO DE CONTENEDOR</v>
      </c>
      <c r="I385" s="64" t="str">
        <f>IFERROR(__xludf.DUMMYFUNCTION("""COMPUTED_VALUE"""),"CAÍDA DE CARGA")</f>
        <v>CAÍDA DE CARGA</v>
      </c>
      <c r="J385" s="64" t="str">
        <f>IFERROR(__xludf.DUMMYFUNCTION("""COMPUTED_VALUE"""),"CHOQUE")</f>
        <v>CHOQUE</v>
      </c>
      <c r="K385" s="64" t="str">
        <f>IFERROR(__xludf.DUMMYFUNCTION("""COMPUTED_VALUE"""),"COLISIÓN")</f>
        <v>COLISIÓN</v>
      </c>
      <c r="L385" s="64" t="str">
        <f>IFERROR(__xludf.DUMMYFUNCTION("""COMPUTED_VALUE"""),"COLISIÓN MÚLTIPLE")</f>
        <v>COLISIÓN MÚLTIPLE</v>
      </c>
      <c r="M385" s="64" t="str">
        <f>IFERROR(__xludf.DUMMYFUNCTION("""COMPUTED_VALUE"""),"DERRAPE")</f>
        <v>DERRAPE</v>
      </c>
      <c r="N385" s="64" t="str">
        <f>IFERROR(__xludf.DUMMYFUNCTION("""COMPUTED_VALUE"""),"VEHÍCULO INCENDIADO")</f>
        <v>VEHÍCULO INCENDIADO</v>
      </c>
      <c r="O385" s="64" t="str">
        <f>IFERROR(__xludf.DUMMYFUNCTION("""COMPUTED_VALUE"""),"VUELCO")</f>
        <v>VUELCO</v>
      </c>
      <c r="P385" s="64" t="str">
        <f>IFERROR(__xludf.DUMMYFUNCTION("""COMPUTED_VALUE"""),"DESPRENDIMIENTO")</f>
        <v>DESPRENDIMIENTO</v>
      </c>
      <c r="Q385" s="64" t="str">
        <f>IFERROR(__xludf.DUMMYFUNCTION("""COMPUTED_VALUE"""),"CAÍDA DE ÁRBOL")</f>
        <v>CAÍDA DE ÁRBOL</v>
      </c>
      <c r="R385" s="64" t="str">
        <f>IFERROR(__xludf.DUMMYFUNCTION("""COMPUTED_VALUE"""),"DESPRENDIMIENTO DE EJE")</f>
        <v>DESPRENDIMIENTO DE EJE</v>
      </c>
      <c r="S385" s="64" t="str">
        <f>IFERROR(__xludf.DUMMYFUNCTION("""COMPUTED_VALUE"""),"PERSONA ATROPELLADA")</f>
        <v>PERSONA ATROPELLADA</v>
      </c>
    </row>
    <row r="386">
      <c r="B386" s="64" t="s">
        <v>54</v>
      </c>
      <c r="C386" s="64" t="str">
        <f>IFERROR(__xludf.DUMMYFUNCTION(" TRANSPOSE( unique ( QUERY(DATOPRO,""select Col2 where Col1 = '""&amp;B386&amp;""'"")))"),"PINCHAZO")</f>
        <v>PINCHAZO</v>
      </c>
      <c r="D386" s="64" t="str">
        <f>IFERROR(__xludf.DUMMYFUNCTION("""COMPUTED_VALUE"""),"TRABAJOS DE CARRETERA")</f>
        <v>TRABAJOS DE CARRETERA</v>
      </c>
      <c r="E386" s="64" t="str">
        <f>IFERROR(__xludf.DUMMYFUNCTION("""COMPUTED_VALUE"""),"CONSIGNACIÓN")</f>
        <v>CONSIGNACIÓN</v>
      </c>
      <c r="F386" s="64" t="str">
        <f>IFERROR(__xludf.DUMMYFUNCTION("""COMPUTED_VALUE"""),"DERRAME")</f>
        <v>DERRAME</v>
      </c>
      <c r="G386" s="64" t="str">
        <f>IFERROR(__xludf.DUMMYFUNCTION("""COMPUTED_VALUE"""),"CALENTAMIENTO")</f>
        <v>CALENTAMIENTO</v>
      </c>
      <c r="H386" s="64" t="str">
        <f>IFERROR(__xludf.DUMMYFUNCTION("""COMPUTED_VALUE"""),"ESCOLTANDO")</f>
        <v>ESCOLTANDO</v>
      </c>
      <c r="I386" s="64" t="str">
        <f>IFERROR(__xludf.DUMMYFUNCTION("""COMPUTED_VALUE"""),"FALTA DE COMBUSTIBLE")</f>
        <v>FALTA DE COMBUSTIBLE</v>
      </c>
      <c r="J386" s="64" t="str">
        <f>IFERROR(__xludf.DUMMYFUNCTION("""COMPUTED_VALUE"""),"DESPERFECTOS MECÁNICOS")</f>
        <v>DESPERFECTOS MECÁNICOS</v>
      </c>
      <c r="K386" s="64" t="str">
        <f>IFERROR(__xludf.DUMMYFUNCTION("""COMPUTED_VALUE"""),"LLAMADA DE ATENCIÓN")</f>
        <v>LLAMADA DE ATENCIÓN</v>
      </c>
      <c r="L386" s="64" t="str">
        <f>IFERROR(__xludf.DUMMYFUNCTION("""COMPUTED_VALUE"""),"OPERATIVOS")</f>
        <v>OPERATIVOS</v>
      </c>
      <c r="M386" s="64" t="str">
        <f>IFERROR(__xludf.DUMMYFUNCTION("""COMPUTED_VALUE"""),"SANCIÓN")</f>
        <v>SANCIÓN</v>
      </c>
      <c r="N386" s="64" t="str">
        <f>IFERROR(__xludf.DUMMYFUNCTION("""COMPUTED_VALUE"""),"SISTEMA ELECTRICO")</f>
        <v>SISTEMA ELECTRICO</v>
      </c>
      <c r="O386" s="64" t="str">
        <f>IFERROR(__xludf.DUMMYFUNCTION("""COMPUTED_VALUE"""),"ASISTENCIA AL USUARIO")</f>
        <v>ASISTENCIA AL USUARIO</v>
      </c>
      <c r="P386" s="64" t="str">
        <f>IFERROR(__xludf.DUMMYFUNCTION("""COMPUTED_VALUE"""),"DOBLE REMOLQUE")</f>
        <v>DOBLE REMOLQUE</v>
      </c>
      <c r="Q386" s="64" t="str">
        <f>IFERROR(__xludf.DUMMYFUNCTION("""COMPUTED_VALUE"""),"SINAPRESE")</f>
        <v>SINAPRESE</v>
      </c>
      <c r="R386" s="64" t="str">
        <f>IFERROR(__xludf.DUMMYFUNCTION("""COMPUTED_VALUE"""),"APOYO ATLETISMO")</f>
        <v>APOYO ATLETISMO</v>
      </c>
      <c r="S386" s="64" t="str">
        <f>IFERROR(__xludf.DUMMYFUNCTION("""COMPUTED_VALUE"""),"APOYO A CICLISMO")</f>
        <v>APOYO A CICLISMO</v>
      </c>
      <c r="T386" s="64" t="str">
        <f>IFERROR(__xludf.DUMMYFUNCTION("""COMPUTED_VALUE"""),"DESCARGA DE BATERÍA")</f>
        <v>DESCARGA DE BATERÍA</v>
      </c>
      <c r="U386" s="64" t="str">
        <f>IFERROR(__xludf.DUMMYFUNCTION("""COMPUTED_VALUE"""),"PROBLEMAS DE SALUD")</f>
        <v>PROBLEMAS DE SALUD</v>
      </c>
      <c r="V386" s="64" t="str">
        <f>IFERROR(__xludf.DUMMYFUNCTION("""COMPUTED_VALUE"""),"OLVIDO LA LLAVE")</f>
        <v>OLVIDO LA LLAVE</v>
      </c>
      <c r="W386" s="64" t="str">
        <f>IFERROR(__xludf.DUMMYFUNCTION("""COMPUTED_VALUE"""),"CARGA SOBREDIMENSIONADA")</f>
        <v>CARGA SOBREDIMENSIONADA</v>
      </c>
      <c r="X386" s="64" t="str">
        <f>IFERROR(__xludf.DUMMYFUNCTION("""COMPUTED_VALUE"""),"VEHÍCULO ABANDONADO")</f>
        <v>VEHÍCULO ABANDONADO</v>
      </c>
      <c r="Y386" s="64" t="str">
        <f>IFERROR(__xludf.DUMMYFUNCTION("""COMPUTED_VALUE"""),"DESPRENDIMIENTO")</f>
        <v>DESPRENDIMIENTO</v>
      </c>
      <c r="Z386" s="64" t="str">
        <f>IFERROR(__xludf.DUMMYFUNCTION("""COMPUTED_VALUE"""),"CAÍDA DE POSTE")</f>
        <v>CAÍDA DE POSTE</v>
      </c>
      <c r="AA386" s="64" t="str">
        <f>IFERROR(__xludf.DUMMYFUNCTION("""COMPUTED_VALUE"""),"CAÍDA DE RAMA")</f>
        <v>CAÍDA DE RAMA</v>
      </c>
      <c r="AB386" s="64" t="str">
        <f>IFERROR(__xludf.DUMMYFUNCTION("""COMPUTED_VALUE"""),"OPERATIVO DGT")</f>
        <v>OPERATIVO DGT</v>
      </c>
      <c r="AC386" s="64" t="str">
        <f>IFERROR(__xludf.DUMMYFUNCTION("""COMPUTED_VALUE"""),"OPERATIVO PMT")</f>
        <v>OPERATIVO PMT</v>
      </c>
      <c r="AD386" s="64" t="str">
        <f>IFERROR(__xludf.DUMMYFUNCTION("""COMPUTED_VALUE"""),"APOYO A DIGEF")</f>
        <v>APOYO A DIGEF</v>
      </c>
      <c r="AE386" s="64" t="str">
        <f>IFERROR(__xludf.DUMMYFUNCTION("""COMPUTED_VALUE"""),"OPERATIVO PNC TRANSITO")</f>
        <v>OPERATIVO PNC TRANSITO</v>
      </c>
      <c r="AF386" s="64" t="str">
        <f>IFERROR(__xludf.DUMMYFUNCTION("""COMPUTED_VALUE"""),"SOBRECARGA ")</f>
        <v>SOBRECARGA </v>
      </c>
      <c r="AG386" s="64" t="str">
        <f>IFERROR(__xludf.DUMMYFUNCTION("""COMPUTED_VALUE"""),"OPERATIVO EN CONJUNTO")</f>
        <v>OPERATIVO EN CONJUNTO</v>
      </c>
      <c r="AH386" s="64" t="str">
        <f>IFERROR(__xludf.DUMMYFUNCTION("""COMPUTED_VALUE"""),"PUESTO DE ATENCION AL USUARIO")</f>
        <v>PUESTO DE ATENCION AL USUARIO</v>
      </c>
      <c r="AI386" s="64" t="str">
        <f>IFERROR(__xludf.DUMMYFUNCTION("""COMPUTED_VALUE"""),"INCENDIO EN RUTA")</f>
        <v>INCENDIO EN RUTA</v>
      </c>
      <c r="AJ386" s="64" t="str">
        <f>IFERROR(__xludf.DUMMYFUNCTION("""COMPUTED_VALUE"""),"APOYO ANTORCHA ")</f>
        <v>APOYO ANTORCHA </v>
      </c>
    </row>
    <row r="387">
      <c r="B387" s="64" t="s">
        <v>54</v>
      </c>
      <c r="C387" s="64" t="str">
        <f>IFERROR(__xludf.DUMMYFUNCTION(" TRANSPOSE( unique ( QUERY(DATOPRO,""select Col2 where Col1 = '""&amp;B387&amp;""'"")))"),"PINCHAZO")</f>
        <v>PINCHAZO</v>
      </c>
      <c r="D387" s="64" t="str">
        <f>IFERROR(__xludf.DUMMYFUNCTION("""COMPUTED_VALUE"""),"TRABAJOS DE CARRETERA")</f>
        <v>TRABAJOS DE CARRETERA</v>
      </c>
      <c r="E387" s="64" t="str">
        <f>IFERROR(__xludf.DUMMYFUNCTION("""COMPUTED_VALUE"""),"CONSIGNACIÓN")</f>
        <v>CONSIGNACIÓN</v>
      </c>
      <c r="F387" s="64" t="str">
        <f>IFERROR(__xludf.DUMMYFUNCTION("""COMPUTED_VALUE"""),"DERRAME")</f>
        <v>DERRAME</v>
      </c>
      <c r="G387" s="64" t="str">
        <f>IFERROR(__xludf.DUMMYFUNCTION("""COMPUTED_VALUE"""),"CALENTAMIENTO")</f>
        <v>CALENTAMIENTO</v>
      </c>
      <c r="H387" s="64" t="str">
        <f>IFERROR(__xludf.DUMMYFUNCTION("""COMPUTED_VALUE"""),"ESCOLTANDO")</f>
        <v>ESCOLTANDO</v>
      </c>
      <c r="I387" s="64" t="str">
        <f>IFERROR(__xludf.DUMMYFUNCTION("""COMPUTED_VALUE"""),"FALTA DE COMBUSTIBLE")</f>
        <v>FALTA DE COMBUSTIBLE</v>
      </c>
      <c r="J387" s="64" t="str">
        <f>IFERROR(__xludf.DUMMYFUNCTION("""COMPUTED_VALUE"""),"DESPERFECTOS MECÁNICOS")</f>
        <v>DESPERFECTOS MECÁNICOS</v>
      </c>
      <c r="K387" s="64" t="str">
        <f>IFERROR(__xludf.DUMMYFUNCTION("""COMPUTED_VALUE"""),"LLAMADA DE ATENCIÓN")</f>
        <v>LLAMADA DE ATENCIÓN</v>
      </c>
      <c r="L387" s="64" t="str">
        <f>IFERROR(__xludf.DUMMYFUNCTION("""COMPUTED_VALUE"""),"OPERATIVOS")</f>
        <v>OPERATIVOS</v>
      </c>
      <c r="M387" s="64" t="str">
        <f>IFERROR(__xludf.DUMMYFUNCTION("""COMPUTED_VALUE"""),"SANCIÓN")</f>
        <v>SANCIÓN</v>
      </c>
      <c r="N387" s="64" t="str">
        <f>IFERROR(__xludf.DUMMYFUNCTION("""COMPUTED_VALUE"""),"SISTEMA ELECTRICO")</f>
        <v>SISTEMA ELECTRICO</v>
      </c>
      <c r="O387" s="64" t="str">
        <f>IFERROR(__xludf.DUMMYFUNCTION("""COMPUTED_VALUE"""),"ASISTENCIA AL USUARIO")</f>
        <v>ASISTENCIA AL USUARIO</v>
      </c>
      <c r="P387" s="64" t="str">
        <f>IFERROR(__xludf.DUMMYFUNCTION("""COMPUTED_VALUE"""),"DOBLE REMOLQUE")</f>
        <v>DOBLE REMOLQUE</v>
      </c>
      <c r="Q387" s="64" t="str">
        <f>IFERROR(__xludf.DUMMYFUNCTION("""COMPUTED_VALUE"""),"SINAPRESE")</f>
        <v>SINAPRESE</v>
      </c>
      <c r="R387" s="64" t="str">
        <f>IFERROR(__xludf.DUMMYFUNCTION("""COMPUTED_VALUE"""),"APOYO ATLETISMO")</f>
        <v>APOYO ATLETISMO</v>
      </c>
      <c r="S387" s="64" t="str">
        <f>IFERROR(__xludf.DUMMYFUNCTION("""COMPUTED_VALUE"""),"APOYO A CICLISMO")</f>
        <v>APOYO A CICLISMO</v>
      </c>
      <c r="T387" s="64" t="str">
        <f>IFERROR(__xludf.DUMMYFUNCTION("""COMPUTED_VALUE"""),"DESCARGA DE BATERÍA")</f>
        <v>DESCARGA DE BATERÍA</v>
      </c>
      <c r="U387" s="64" t="str">
        <f>IFERROR(__xludf.DUMMYFUNCTION("""COMPUTED_VALUE"""),"PROBLEMAS DE SALUD")</f>
        <v>PROBLEMAS DE SALUD</v>
      </c>
      <c r="V387" s="64" t="str">
        <f>IFERROR(__xludf.DUMMYFUNCTION("""COMPUTED_VALUE"""),"OLVIDO LA LLAVE")</f>
        <v>OLVIDO LA LLAVE</v>
      </c>
      <c r="W387" s="64" t="str">
        <f>IFERROR(__xludf.DUMMYFUNCTION("""COMPUTED_VALUE"""),"CARGA SOBREDIMENSIONADA")</f>
        <v>CARGA SOBREDIMENSIONADA</v>
      </c>
      <c r="X387" s="64" t="str">
        <f>IFERROR(__xludf.DUMMYFUNCTION("""COMPUTED_VALUE"""),"VEHÍCULO ABANDONADO")</f>
        <v>VEHÍCULO ABANDONADO</v>
      </c>
      <c r="Y387" s="64" t="str">
        <f>IFERROR(__xludf.DUMMYFUNCTION("""COMPUTED_VALUE"""),"DESPRENDIMIENTO")</f>
        <v>DESPRENDIMIENTO</v>
      </c>
      <c r="Z387" s="64" t="str">
        <f>IFERROR(__xludf.DUMMYFUNCTION("""COMPUTED_VALUE"""),"CAÍDA DE POSTE")</f>
        <v>CAÍDA DE POSTE</v>
      </c>
      <c r="AA387" s="64" t="str">
        <f>IFERROR(__xludf.DUMMYFUNCTION("""COMPUTED_VALUE"""),"CAÍDA DE RAMA")</f>
        <v>CAÍDA DE RAMA</v>
      </c>
      <c r="AB387" s="64" t="str">
        <f>IFERROR(__xludf.DUMMYFUNCTION("""COMPUTED_VALUE"""),"OPERATIVO DGT")</f>
        <v>OPERATIVO DGT</v>
      </c>
      <c r="AC387" s="64" t="str">
        <f>IFERROR(__xludf.DUMMYFUNCTION("""COMPUTED_VALUE"""),"OPERATIVO PMT")</f>
        <v>OPERATIVO PMT</v>
      </c>
      <c r="AD387" s="64" t="str">
        <f>IFERROR(__xludf.DUMMYFUNCTION("""COMPUTED_VALUE"""),"APOYO A DIGEF")</f>
        <v>APOYO A DIGEF</v>
      </c>
      <c r="AE387" s="64" t="str">
        <f>IFERROR(__xludf.DUMMYFUNCTION("""COMPUTED_VALUE"""),"OPERATIVO PNC TRANSITO")</f>
        <v>OPERATIVO PNC TRANSITO</v>
      </c>
      <c r="AF387" s="64" t="str">
        <f>IFERROR(__xludf.DUMMYFUNCTION("""COMPUTED_VALUE"""),"SOBRECARGA ")</f>
        <v>SOBRECARGA </v>
      </c>
      <c r="AG387" s="64" t="str">
        <f>IFERROR(__xludf.DUMMYFUNCTION("""COMPUTED_VALUE"""),"OPERATIVO EN CONJUNTO")</f>
        <v>OPERATIVO EN CONJUNTO</v>
      </c>
      <c r="AH387" s="64" t="str">
        <f>IFERROR(__xludf.DUMMYFUNCTION("""COMPUTED_VALUE"""),"PUESTO DE ATENCION AL USUARIO")</f>
        <v>PUESTO DE ATENCION AL USUARIO</v>
      </c>
      <c r="AI387" s="64" t="str">
        <f>IFERROR(__xludf.DUMMYFUNCTION("""COMPUTED_VALUE"""),"INCENDIO EN RUTA")</f>
        <v>INCENDIO EN RUTA</v>
      </c>
      <c r="AJ387" s="64" t="str">
        <f>IFERROR(__xludf.DUMMYFUNCTION("""COMPUTED_VALUE"""),"APOYO ANTORCHA ")</f>
        <v>APOYO ANTORCHA </v>
      </c>
    </row>
    <row r="388">
      <c r="B388" s="64" t="s">
        <v>54</v>
      </c>
      <c r="C388" s="64" t="str">
        <f>IFERROR(__xludf.DUMMYFUNCTION(" TRANSPOSE( unique ( QUERY(DATOPRO,""select Col2 where Col1 = '""&amp;B388&amp;""'"")))"),"PINCHAZO")</f>
        <v>PINCHAZO</v>
      </c>
      <c r="D388" s="64" t="str">
        <f>IFERROR(__xludf.DUMMYFUNCTION("""COMPUTED_VALUE"""),"TRABAJOS DE CARRETERA")</f>
        <v>TRABAJOS DE CARRETERA</v>
      </c>
      <c r="E388" s="64" t="str">
        <f>IFERROR(__xludf.DUMMYFUNCTION("""COMPUTED_VALUE"""),"CONSIGNACIÓN")</f>
        <v>CONSIGNACIÓN</v>
      </c>
      <c r="F388" s="64" t="str">
        <f>IFERROR(__xludf.DUMMYFUNCTION("""COMPUTED_VALUE"""),"DERRAME")</f>
        <v>DERRAME</v>
      </c>
      <c r="G388" s="64" t="str">
        <f>IFERROR(__xludf.DUMMYFUNCTION("""COMPUTED_VALUE"""),"CALENTAMIENTO")</f>
        <v>CALENTAMIENTO</v>
      </c>
      <c r="H388" s="64" t="str">
        <f>IFERROR(__xludf.DUMMYFUNCTION("""COMPUTED_VALUE"""),"ESCOLTANDO")</f>
        <v>ESCOLTANDO</v>
      </c>
      <c r="I388" s="64" t="str">
        <f>IFERROR(__xludf.DUMMYFUNCTION("""COMPUTED_VALUE"""),"FALTA DE COMBUSTIBLE")</f>
        <v>FALTA DE COMBUSTIBLE</v>
      </c>
      <c r="J388" s="64" t="str">
        <f>IFERROR(__xludf.DUMMYFUNCTION("""COMPUTED_VALUE"""),"DESPERFECTOS MECÁNICOS")</f>
        <v>DESPERFECTOS MECÁNICOS</v>
      </c>
      <c r="K388" s="64" t="str">
        <f>IFERROR(__xludf.DUMMYFUNCTION("""COMPUTED_VALUE"""),"LLAMADA DE ATENCIÓN")</f>
        <v>LLAMADA DE ATENCIÓN</v>
      </c>
      <c r="L388" s="64" t="str">
        <f>IFERROR(__xludf.DUMMYFUNCTION("""COMPUTED_VALUE"""),"OPERATIVOS")</f>
        <v>OPERATIVOS</v>
      </c>
      <c r="M388" s="64" t="str">
        <f>IFERROR(__xludf.DUMMYFUNCTION("""COMPUTED_VALUE"""),"SANCIÓN")</f>
        <v>SANCIÓN</v>
      </c>
      <c r="N388" s="64" t="str">
        <f>IFERROR(__xludf.DUMMYFUNCTION("""COMPUTED_VALUE"""),"SISTEMA ELECTRICO")</f>
        <v>SISTEMA ELECTRICO</v>
      </c>
      <c r="O388" s="64" t="str">
        <f>IFERROR(__xludf.DUMMYFUNCTION("""COMPUTED_VALUE"""),"ASISTENCIA AL USUARIO")</f>
        <v>ASISTENCIA AL USUARIO</v>
      </c>
      <c r="P388" s="64" t="str">
        <f>IFERROR(__xludf.DUMMYFUNCTION("""COMPUTED_VALUE"""),"DOBLE REMOLQUE")</f>
        <v>DOBLE REMOLQUE</v>
      </c>
      <c r="Q388" s="64" t="str">
        <f>IFERROR(__xludf.DUMMYFUNCTION("""COMPUTED_VALUE"""),"SINAPRESE")</f>
        <v>SINAPRESE</v>
      </c>
      <c r="R388" s="64" t="str">
        <f>IFERROR(__xludf.DUMMYFUNCTION("""COMPUTED_VALUE"""),"APOYO ATLETISMO")</f>
        <v>APOYO ATLETISMO</v>
      </c>
      <c r="S388" s="64" t="str">
        <f>IFERROR(__xludf.DUMMYFUNCTION("""COMPUTED_VALUE"""),"APOYO A CICLISMO")</f>
        <v>APOYO A CICLISMO</v>
      </c>
      <c r="T388" s="64" t="str">
        <f>IFERROR(__xludf.DUMMYFUNCTION("""COMPUTED_VALUE"""),"DESCARGA DE BATERÍA")</f>
        <v>DESCARGA DE BATERÍA</v>
      </c>
      <c r="U388" s="64" t="str">
        <f>IFERROR(__xludf.DUMMYFUNCTION("""COMPUTED_VALUE"""),"PROBLEMAS DE SALUD")</f>
        <v>PROBLEMAS DE SALUD</v>
      </c>
      <c r="V388" s="64" t="str">
        <f>IFERROR(__xludf.DUMMYFUNCTION("""COMPUTED_VALUE"""),"OLVIDO LA LLAVE")</f>
        <v>OLVIDO LA LLAVE</v>
      </c>
      <c r="W388" s="64" t="str">
        <f>IFERROR(__xludf.DUMMYFUNCTION("""COMPUTED_VALUE"""),"CARGA SOBREDIMENSIONADA")</f>
        <v>CARGA SOBREDIMENSIONADA</v>
      </c>
      <c r="X388" s="64" t="str">
        <f>IFERROR(__xludf.DUMMYFUNCTION("""COMPUTED_VALUE"""),"VEHÍCULO ABANDONADO")</f>
        <v>VEHÍCULO ABANDONADO</v>
      </c>
      <c r="Y388" s="64" t="str">
        <f>IFERROR(__xludf.DUMMYFUNCTION("""COMPUTED_VALUE"""),"DESPRENDIMIENTO")</f>
        <v>DESPRENDIMIENTO</v>
      </c>
      <c r="Z388" s="64" t="str">
        <f>IFERROR(__xludf.DUMMYFUNCTION("""COMPUTED_VALUE"""),"CAÍDA DE POSTE")</f>
        <v>CAÍDA DE POSTE</v>
      </c>
      <c r="AA388" s="64" t="str">
        <f>IFERROR(__xludf.DUMMYFUNCTION("""COMPUTED_VALUE"""),"CAÍDA DE RAMA")</f>
        <v>CAÍDA DE RAMA</v>
      </c>
      <c r="AB388" s="64" t="str">
        <f>IFERROR(__xludf.DUMMYFUNCTION("""COMPUTED_VALUE"""),"OPERATIVO DGT")</f>
        <v>OPERATIVO DGT</v>
      </c>
      <c r="AC388" s="64" t="str">
        <f>IFERROR(__xludf.DUMMYFUNCTION("""COMPUTED_VALUE"""),"OPERATIVO PMT")</f>
        <v>OPERATIVO PMT</v>
      </c>
      <c r="AD388" s="64" t="str">
        <f>IFERROR(__xludf.DUMMYFUNCTION("""COMPUTED_VALUE"""),"APOYO A DIGEF")</f>
        <v>APOYO A DIGEF</v>
      </c>
      <c r="AE388" s="64" t="str">
        <f>IFERROR(__xludf.DUMMYFUNCTION("""COMPUTED_VALUE"""),"OPERATIVO PNC TRANSITO")</f>
        <v>OPERATIVO PNC TRANSITO</v>
      </c>
      <c r="AF388" s="64" t="str">
        <f>IFERROR(__xludf.DUMMYFUNCTION("""COMPUTED_VALUE"""),"SOBRECARGA ")</f>
        <v>SOBRECARGA </v>
      </c>
      <c r="AG388" s="64" t="str">
        <f>IFERROR(__xludf.DUMMYFUNCTION("""COMPUTED_VALUE"""),"OPERATIVO EN CONJUNTO")</f>
        <v>OPERATIVO EN CONJUNTO</v>
      </c>
      <c r="AH388" s="64" t="str">
        <f>IFERROR(__xludf.DUMMYFUNCTION("""COMPUTED_VALUE"""),"PUESTO DE ATENCION AL USUARIO")</f>
        <v>PUESTO DE ATENCION AL USUARIO</v>
      </c>
      <c r="AI388" s="64" t="str">
        <f>IFERROR(__xludf.DUMMYFUNCTION("""COMPUTED_VALUE"""),"INCENDIO EN RUTA")</f>
        <v>INCENDIO EN RUTA</v>
      </c>
      <c r="AJ388" s="64" t="str">
        <f>IFERROR(__xludf.DUMMYFUNCTION("""COMPUTED_VALUE"""),"APOYO ANTORCHA ")</f>
        <v>APOYO ANTORCHA </v>
      </c>
    </row>
    <row r="389">
      <c r="B389" s="64" t="s">
        <v>54</v>
      </c>
      <c r="C389" s="64" t="str">
        <f>IFERROR(__xludf.DUMMYFUNCTION(" TRANSPOSE( unique ( QUERY(DATOPRO,""select Col2 where Col1 = '""&amp;B389&amp;""'"")))"),"PINCHAZO")</f>
        <v>PINCHAZO</v>
      </c>
      <c r="D389" s="64" t="str">
        <f>IFERROR(__xludf.DUMMYFUNCTION("""COMPUTED_VALUE"""),"TRABAJOS DE CARRETERA")</f>
        <v>TRABAJOS DE CARRETERA</v>
      </c>
      <c r="E389" s="64" t="str">
        <f>IFERROR(__xludf.DUMMYFUNCTION("""COMPUTED_VALUE"""),"CONSIGNACIÓN")</f>
        <v>CONSIGNACIÓN</v>
      </c>
      <c r="F389" s="64" t="str">
        <f>IFERROR(__xludf.DUMMYFUNCTION("""COMPUTED_VALUE"""),"DERRAME")</f>
        <v>DERRAME</v>
      </c>
      <c r="G389" s="64" t="str">
        <f>IFERROR(__xludf.DUMMYFUNCTION("""COMPUTED_VALUE"""),"CALENTAMIENTO")</f>
        <v>CALENTAMIENTO</v>
      </c>
      <c r="H389" s="64" t="str">
        <f>IFERROR(__xludf.DUMMYFUNCTION("""COMPUTED_VALUE"""),"ESCOLTANDO")</f>
        <v>ESCOLTANDO</v>
      </c>
      <c r="I389" s="64" t="str">
        <f>IFERROR(__xludf.DUMMYFUNCTION("""COMPUTED_VALUE"""),"FALTA DE COMBUSTIBLE")</f>
        <v>FALTA DE COMBUSTIBLE</v>
      </c>
      <c r="J389" s="64" t="str">
        <f>IFERROR(__xludf.DUMMYFUNCTION("""COMPUTED_VALUE"""),"DESPERFECTOS MECÁNICOS")</f>
        <v>DESPERFECTOS MECÁNICOS</v>
      </c>
      <c r="K389" s="64" t="str">
        <f>IFERROR(__xludf.DUMMYFUNCTION("""COMPUTED_VALUE"""),"LLAMADA DE ATENCIÓN")</f>
        <v>LLAMADA DE ATENCIÓN</v>
      </c>
      <c r="L389" s="64" t="str">
        <f>IFERROR(__xludf.DUMMYFUNCTION("""COMPUTED_VALUE"""),"OPERATIVOS")</f>
        <v>OPERATIVOS</v>
      </c>
      <c r="M389" s="64" t="str">
        <f>IFERROR(__xludf.DUMMYFUNCTION("""COMPUTED_VALUE"""),"SANCIÓN")</f>
        <v>SANCIÓN</v>
      </c>
      <c r="N389" s="64" t="str">
        <f>IFERROR(__xludf.DUMMYFUNCTION("""COMPUTED_VALUE"""),"SISTEMA ELECTRICO")</f>
        <v>SISTEMA ELECTRICO</v>
      </c>
      <c r="O389" s="64" t="str">
        <f>IFERROR(__xludf.DUMMYFUNCTION("""COMPUTED_VALUE"""),"ASISTENCIA AL USUARIO")</f>
        <v>ASISTENCIA AL USUARIO</v>
      </c>
      <c r="P389" s="64" t="str">
        <f>IFERROR(__xludf.DUMMYFUNCTION("""COMPUTED_VALUE"""),"DOBLE REMOLQUE")</f>
        <v>DOBLE REMOLQUE</v>
      </c>
      <c r="Q389" s="64" t="str">
        <f>IFERROR(__xludf.DUMMYFUNCTION("""COMPUTED_VALUE"""),"SINAPRESE")</f>
        <v>SINAPRESE</v>
      </c>
      <c r="R389" s="64" t="str">
        <f>IFERROR(__xludf.DUMMYFUNCTION("""COMPUTED_VALUE"""),"APOYO ATLETISMO")</f>
        <v>APOYO ATLETISMO</v>
      </c>
      <c r="S389" s="64" t="str">
        <f>IFERROR(__xludf.DUMMYFUNCTION("""COMPUTED_VALUE"""),"APOYO A CICLISMO")</f>
        <v>APOYO A CICLISMO</v>
      </c>
      <c r="T389" s="64" t="str">
        <f>IFERROR(__xludf.DUMMYFUNCTION("""COMPUTED_VALUE"""),"DESCARGA DE BATERÍA")</f>
        <v>DESCARGA DE BATERÍA</v>
      </c>
      <c r="U389" s="64" t="str">
        <f>IFERROR(__xludf.DUMMYFUNCTION("""COMPUTED_VALUE"""),"PROBLEMAS DE SALUD")</f>
        <v>PROBLEMAS DE SALUD</v>
      </c>
      <c r="V389" s="64" t="str">
        <f>IFERROR(__xludf.DUMMYFUNCTION("""COMPUTED_VALUE"""),"OLVIDO LA LLAVE")</f>
        <v>OLVIDO LA LLAVE</v>
      </c>
      <c r="W389" s="64" t="str">
        <f>IFERROR(__xludf.DUMMYFUNCTION("""COMPUTED_VALUE"""),"CARGA SOBREDIMENSIONADA")</f>
        <v>CARGA SOBREDIMENSIONADA</v>
      </c>
      <c r="X389" s="64" t="str">
        <f>IFERROR(__xludf.DUMMYFUNCTION("""COMPUTED_VALUE"""),"VEHÍCULO ABANDONADO")</f>
        <v>VEHÍCULO ABANDONADO</v>
      </c>
      <c r="Y389" s="64" t="str">
        <f>IFERROR(__xludf.DUMMYFUNCTION("""COMPUTED_VALUE"""),"DESPRENDIMIENTO")</f>
        <v>DESPRENDIMIENTO</v>
      </c>
      <c r="Z389" s="64" t="str">
        <f>IFERROR(__xludf.DUMMYFUNCTION("""COMPUTED_VALUE"""),"CAÍDA DE POSTE")</f>
        <v>CAÍDA DE POSTE</v>
      </c>
      <c r="AA389" s="64" t="str">
        <f>IFERROR(__xludf.DUMMYFUNCTION("""COMPUTED_VALUE"""),"CAÍDA DE RAMA")</f>
        <v>CAÍDA DE RAMA</v>
      </c>
      <c r="AB389" s="64" t="str">
        <f>IFERROR(__xludf.DUMMYFUNCTION("""COMPUTED_VALUE"""),"OPERATIVO DGT")</f>
        <v>OPERATIVO DGT</v>
      </c>
      <c r="AC389" s="64" t="str">
        <f>IFERROR(__xludf.DUMMYFUNCTION("""COMPUTED_VALUE"""),"OPERATIVO PMT")</f>
        <v>OPERATIVO PMT</v>
      </c>
      <c r="AD389" s="64" t="str">
        <f>IFERROR(__xludf.DUMMYFUNCTION("""COMPUTED_VALUE"""),"APOYO A DIGEF")</f>
        <v>APOYO A DIGEF</v>
      </c>
      <c r="AE389" s="64" t="str">
        <f>IFERROR(__xludf.DUMMYFUNCTION("""COMPUTED_VALUE"""),"OPERATIVO PNC TRANSITO")</f>
        <v>OPERATIVO PNC TRANSITO</v>
      </c>
      <c r="AF389" s="64" t="str">
        <f>IFERROR(__xludf.DUMMYFUNCTION("""COMPUTED_VALUE"""),"SOBRECARGA ")</f>
        <v>SOBRECARGA </v>
      </c>
      <c r="AG389" s="64" t="str">
        <f>IFERROR(__xludf.DUMMYFUNCTION("""COMPUTED_VALUE"""),"OPERATIVO EN CONJUNTO")</f>
        <v>OPERATIVO EN CONJUNTO</v>
      </c>
      <c r="AH389" s="64" t="str">
        <f>IFERROR(__xludf.DUMMYFUNCTION("""COMPUTED_VALUE"""),"PUESTO DE ATENCION AL USUARIO")</f>
        <v>PUESTO DE ATENCION AL USUARIO</v>
      </c>
      <c r="AI389" s="64" t="str">
        <f>IFERROR(__xludf.DUMMYFUNCTION("""COMPUTED_VALUE"""),"INCENDIO EN RUTA")</f>
        <v>INCENDIO EN RUTA</v>
      </c>
      <c r="AJ389" s="64" t="str">
        <f>IFERROR(__xludf.DUMMYFUNCTION("""COMPUTED_VALUE"""),"APOYO ANTORCHA ")</f>
        <v>APOYO ANTORCHA </v>
      </c>
    </row>
    <row r="390">
      <c r="B390" s="64" t="s">
        <v>54</v>
      </c>
      <c r="C390" s="64" t="str">
        <f>IFERROR(__xludf.DUMMYFUNCTION(" TRANSPOSE( unique ( QUERY(DATOPRO,""select Col2 where Col1 = '""&amp;B390&amp;""'"")))"),"PINCHAZO")</f>
        <v>PINCHAZO</v>
      </c>
      <c r="D390" s="64" t="str">
        <f>IFERROR(__xludf.DUMMYFUNCTION("""COMPUTED_VALUE"""),"TRABAJOS DE CARRETERA")</f>
        <v>TRABAJOS DE CARRETERA</v>
      </c>
      <c r="E390" s="64" t="str">
        <f>IFERROR(__xludf.DUMMYFUNCTION("""COMPUTED_VALUE"""),"CONSIGNACIÓN")</f>
        <v>CONSIGNACIÓN</v>
      </c>
      <c r="F390" s="64" t="str">
        <f>IFERROR(__xludf.DUMMYFUNCTION("""COMPUTED_VALUE"""),"DERRAME")</f>
        <v>DERRAME</v>
      </c>
      <c r="G390" s="64" t="str">
        <f>IFERROR(__xludf.DUMMYFUNCTION("""COMPUTED_VALUE"""),"CALENTAMIENTO")</f>
        <v>CALENTAMIENTO</v>
      </c>
      <c r="H390" s="64" t="str">
        <f>IFERROR(__xludf.DUMMYFUNCTION("""COMPUTED_VALUE"""),"ESCOLTANDO")</f>
        <v>ESCOLTANDO</v>
      </c>
      <c r="I390" s="64" t="str">
        <f>IFERROR(__xludf.DUMMYFUNCTION("""COMPUTED_VALUE"""),"FALTA DE COMBUSTIBLE")</f>
        <v>FALTA DE COMBUSTIBLE</v>
      </c>
      <c r="J390" s="64" t="str">
        <f>IFERROR(__xludf.DUMMYFUNCTION("""COMPUTED_VALUE"""),"DESPERFECTOS MECÁNICOS")</f>
        <v>DESPERFECTOS MECÁNICOS</v>
      </c>
      <c r="K390" s="64" t="str">
        <f>IFERROR(__xludf.DUMMYFUNCTION("""COMPUTED_VALUE"""),"LLAMADA DE ATENCIÓN")</f>
        <v>LLAMADA DE ATENCIÓN</v>
      </c>
      <c r="L390" s="64" t="str">
        <f>IFERROR(__xludf.DUMMYFUNCTION("""COMPUTED_VALUE"""),"OPERATIVOS")</f>
        <v>OPERATIVOS</v>
      </c>
      <c r="M390" s="64" t="str">
        <f>IFERROR(__xludf.DUMMYFUNCTION("""COMPUTED_VALUE"""),"SANCIÓN")</f>
        <v>SANCIÓN</v>
      </c>
      <c r="N390" s="64" t="str">
        <f>IFERROR(__xludf.DUMMYFUNCTION("""COMPUTED_VALUE"""),"SISTEMA ELECTRICO")</f>
        <v>SISTEMA ELECTRICO</v>
      </c>
      <c r="O390" s="64" t="str">
        <f>IFERROR(__xludf.DUMMYFUNCTION("""COMPUTED_VALUE"""),"ASISTENCIA AL USUARIO")</f>
        <v>ASISTENCIA AL USUARIO</v>
      </c>
      <c r="P390" s="64" t="str">
        <f>IFERROR(__xludf.DUMMYFUNCTION("""COMPUTED_VALUE"""),"DOBLE REMOLQUE")</f>
        <v>DOBLE REMOLQUE</v>
      </c>
      <c r="Q390" s="64" t="str">
        <f>IFERROR(__xludf.DUMMYFUNCTION("""COMPUTED_VALUE"""),"SINAPRESE")</f>
        <v>SINAPRESE</v>
      </c>
      <c r="R390" s="64" t="str">
        <f>IFERROR(__xludf.DUMMYFUNCTION("""COMPUTED_VALUE"""),"APOYO ATLETISMO")</f>
        <v>APOYO ATLETISMO</v>
      </c>
      <c r="S390" s="64" t="str">
        <f>IFERROR(__xludf.DUMMYFUNCTION("""COMPUTED_VALUE"""),"APOYO A CICLISMO")</f>
        <v>APOYO A CICLISMO</v>
      </c>
      <c r="T390" s="64" t="str">
        <f>IFERROR(__xludf.DUMMYFUNCTION("""COMPUTED_VALUE"""),"DESCARGA DE BATERÍA")</f>
        <v>DESCARGA DE BATERÍA</v>
      </c>
      <c r="U390" s="64" t="str">
        <f>IFERROR(__xludf.DUMMYFUNCTION("""COMPUTED_VALUE"""),"PROBLEMAS DE SALUD")</f>
        <v>PROBLEMAS DE SALUD</v>
      </c>
      <c r="V390" s="64" t="str">
        <f>IFERROR(__xludf.DUMMYFUNCTION("""COMPUTED_VALUE"""),"OLVIDO LA LLAVE")</f>
        <v>OLVIDO LA LLAVE</v>
      </c>
      <c r="W390" s="64" t="str">
        <f>IFERROR(__xludf.DUMMYFUNCTION("""COMPUTED_VALUE"""),"CARGA SOBREDIMENSIONADA")</f>
        <v>CARGA SOBREDIMENSIONADA</v>
      </c>
      <c r="X390" s="64" t="str">
        <f>IFERROR(__xludf.DUMMYFUNCTION("""COMPUTED_VALUE"""),"VEHÍCULO ABANDONADO")</f>
        <v>VEHÍCULO ABANDONADO</v>
      </c>
      <c r="Y390" s="64" t="str">
        <f>IFERROR(__xludf.DUMMYFUNCTION("""COMPUTED_VALUE"""),"DESPRENDIMIENTO")</f>
        <v>DESPRENDIMIENTO</v>
      </c>
      <c r="Z390" s="64" t="str">
        <f>IFERROR(__xludf.DUMMYFUNCTION("""COMPUTED_VALUE"""),"CAÍDA DE POSTE")</f>
        <v>CAÍDA DE POSTE</v>
      </c>
      <c r="AA390" s="64" t="str">
        <f>IFERROR(__xludf.DUMMYFUNCTION("""COMPUTED_VALUE"""),"CAÍDA DE RAMA")</f>
        <v>CAÍDA DE RAMA</v>
      </c>
      <c r="AB390" s="64" t="str">
        <f>IFERROR(__xludf.DUMMYFUNCTION("""COMPUTED_VALUE"""),"OPERATIVO DGT")</f>
        <v>OPERATIVO DGT</v>
      </c>
      <c r="AC390" s="64" t="str">
        <f>IFERROR(__xludf.DUMMYFUNCTION("""COMPUTED_VALUE"""),"OPERATIVO PMT")</f>
        <v>OPERATIVO PMT</v>
      </c>
      <c r="AD390" s="64" t="str">
        <f>IFERROR(__xludf.DUMMYFUNCTION("""COMPUTED_VALUE"""),"APOYO A DIGEF")</f>
        <v>APOYO A DIGEF</v>
      </c>
      <c r="AE390" s="64" t="str">
        <f>IFERROR(__xludf.DUMMYFUNCTION("""COMPUTED_VALUE"""),"OPERATIVO PNC TRANSITO")</f>
        <v>OPERATIVO PNC TRANSITO</v>
      </c>
      <c r="AF390" s="64" t="str">
        <f>IFERROR(__xludf.DUMMYFUNCTION("""COMPUTED_VALUE"""),"SOBRECARGA ")</f>
        <v>SOBRECARGA </v>
      </c>
      <c r="AG390" s="64" t="str">
        <f>IFERROR(__xludf.DUMMYFUNCTION("""COMPUTED_VALUE"""),"OPERATIVO EN CONJUNTO")</f>
        <v>OPERATIVO EN CONJUNTO</v>
      </c>
      <c r="AH390" s="64" t="str">
        <f>IFERROR(__xludf.DUMMYFUNCTION("""COMPUTED_VALUE"""),"PUESTO DE ATENCION AL USUARIO")</f>
        <v>PUESTO DE ATENCION AL USUARIO</v>
      </c>
      <c r="AI390" s="64" t="str">
        <f>IFERROR(__xludf.DUMMYFUNCTION("""COMPUTED_VALUE"""),"INCENDIO EN RUTA")</f>
        <v>INCENDIO EN RUTA</v>
      </c>
      <c r="AJ390" s="64" t="str">
        <f>IFERROR(__xludf.DUMMYFUNCTION("""COMPUTED_VALUE"""),"APOYO ANTORCHA ")</f>
        <v>APOYO ANTORCHA </v>
      </c>
    </row>
    <row r="391">
      <c r="B391" s="64" t="s">
        <v>54</v>
      </c>
      <c r="C391" s="64" t="str">
        <f>IFERROR(__xludf.DUMMYFUNCTION(" TRANSPOSE( unique ( QUERY(DATOPRO,""select Col2 where Col1 = '""&amp;B391&amp;""'"")))"),"PINCHAZO")</f>
        <v>PINCHAZO</v>
      </c>
      <c r="D391" s="64" t="str">
        <f>IFERROR(__xludf.DUMMYFUNCTION("""COMPUTED_VALUE"""),"TRABAJOS DE CARRETERA")</f>
        <v>TRABAJOS DE CARRETERA</v>
      </c>
      <c r="E391" s="64" t="str">
        <f>IFERROR(__xludf.DUMMYFUNCTION("""COMPUTED_VALUE"""),"CONSIGNACIÓN")</f>
        <v>CONSIGNACIÓN</v>
      </c>
      <c r="F391" s="64" t="str">
        <f>IFERROR(__xludf.DUMMYFUNCTION("""COMPUTED_VALUE"""),"DERRAME")</f>
        <v>DERRAME</v>
      </c>
      <c r="G391" s="64" t="str">
        <f>IFERROR(__xludf.DUMMYFUNCTION("""COMPUTED_VALUE"""),"CALENTAMIENTO")</f>
        <v>CALENTAMIENTO</v>
      </c>
      <c r="H391" s="64" t="str">
        <f>IFERROR(__xludf.DUMMYFUNCTION("""COMPUTED_VALUE"""),"ESCOLTANDO")</f>
        <v>ESCOLTANDO</v>
      </c>
      <c r="I391" s="64" t="str">
        <f>IFERROR(__xludf.DUMMYFUNCTION("""COMPUTED_VALUE"""),"FALTA DE COMBUSTIBLE")</f>
        <v>FALTA DE COMBUSTIBLE</v>
      </c>
      <c r="J391" s="64" t="str">
        <f>IFERROR(__xludf.DUMMYFUNCTION("""COMPUTED_VALUE"""),"DESPERFECTOS MECÁNICOS")</f>
        <v>DESPERFECTOS MECÁNICOS</v>
      </c>
      <c r="K391" s="64" t="str">
        <f>IFERROR(__xludf.DUMMYFUNCTION("""COMPUTED_VALUE"""),"LLAMADA DE ATENCIÓN")</f>
        <v>LLAMADA DE ATENCIÓN</v>
      </c>
      <c r="L391" s="64" t="str">
        <f>IFERROR(__xludf.DUMMYFUNCTION("""COMPUTED_VALUE"""),"OPERATIVOS")</f>
        <v>OPERATIVOS</v>
      </c>
      <c r="M391" s="64" t="str">
        <f>IFERROR(__xludf.DUMMYFUNCTION("""COMPUTED_VALUE"""),"SANCIÓN")</f>
        <v>SANCIÓN</v>
      </c>
      <c r="N391" s="64" t="str">
        <f>IFERROR(__xludf.DUMMYFUNCTION("""COMPUTED_VALUE"""),"SISTEMA ELECTRICO")</f>
        <v>SISTEMA ELECTRICO</v>
      </c>
      <c r="O391" s="64" t="str">
        <f>IFERROR(__xludf.DUMMYFUNCTION("""COMPUTED_VALUE"""),"ASISTENCIA AL USUARIO")</f>
        <v>ASISTENCIA AL USUARIO</v>
      </c>
      <c r="P391" s="64" t="str">
        <f>IFERROR(__xludf.DUMMYFUNCTION("""COMPUTED_VALUE"""),"DOBLE REMOLQUE")</f>
        <v>DOBLE REMOLQUE</v>
      </c>
      <c r="Q391" s="64" t="str">
        <f>IFERROR(__xludf.DUMMYFUNCTION("""COMPUTED_VALUE"""),"SINAPRESE")</f>
        <v>SINAPRESE</v>
      </c>
      <c r="R391" s="64" t="str">
        <f>IFERROR(__xludf.DUMMYFUNCTION("""COMPUTED_VALUE"""),"APOYO ATLETISMO")</f>
        <v>APOYO ATLETISMO</v>
      </c>
      <c r="S391" s="64" t="str">
        <f>IFERROR(__xludf.DUMMYFUNCTION("""COMPUTED_VALUE"""),"APOYO A CICLISMO")</f>
        <v>APOYO A CICLISMO</v>
      </c>
      <c r="T391" s="64" t="str">
        <f>IFERROR(__xludf.DUMMYFUNCTION("""COMPUTED_VALUE"""),"DESCARGA DE BATERÍA")</f>
        <v>DESCARGA DE BATERÍA</v>
      </c>
      <c r="U391" s="64" t="str">
        <f>IFERROR(__xludf.DUMMYFUNCTION("""COMPUTED_VALUE"""),"PROBLEMAS DE SALUD")</f>
        <v>PROBLEMAS DE SALUD</v>
      </c>
      <c r="V391" s="64" t="str">
        <f>IFERROR(__xludf.DUMMYFUNCTION("""COMPUTED_VALUE"""),"OLVIDO LA LLAVE")</f>
        <v>OLVIDO LA LLAVE</v>
      </c>
      <c r="W391" s="64" t="str">
        <f>IFERROR(__xludf.DUMMYFUNCTION("""COMPUTED_VALUE"""),"CARGA SOBREDIMENSIONADA")</f>
        <v>CARGA SOBREDIMENSIONADA</v>
      </c>
      <c r="X391" s="64" t="str">
        <f>IFERROR(__xludf.DUMMYFUNCTION("""COMPUTED_VALUE"""),"VEHÍCULO ABANDONADO")</f>
        <v>VEHÍCULO ABANDONADO</v>
      </c>
      <c r="Y391" s="64" t="str">
        <f>IFERROR(__xludf.DUMMYFUNCTION("""COMPUTED_VALUE"""),"DESPRENDIMIENTO")</f>
        <v>DESPRENDIMIENTO</v>
      </c>
      <c r="Z391" s="64" t="str">
        <f>IFERROR(__xludf.DUMMYFUNCTION("""COMPUTED_VALUE"""),"CAÍDA DE POSTE")</f>
        <v>CAÍDA DE POSTE</v>
      </c>
      <c r="AA391" s="64" t="str">
        <f>IFERROR(__xludf.DUMMYFUNCTION("""COMPUTED_VALUE"""),"CAÍDA DE RAMA")</f>
        <v>CAÍDA DE RAMA</v>
      </c>
      <c r="AB391" s="64" t="str">
        <f>IFERROR(__xludf.DUMMYFUNCTION("""COMPUTED_VALUE"""),"OPERATIVO DGT")</f>
        <v>OPERATIVO DGT</v>
      </c>
      <c r="AC391" s="64" t="str">
        <f>IFERROR(__xludf.DUMMYFUNCTION("""COMPUTED_VALUE"""),"OPERATIVO PMT")</f>
        <v>OPERATIVO PMT</v>
      </c>
      <c r="AD391" s="64" t="str">
        <f>IFERROR(__xludf.DUMMYFUNCTION("""COMPUTED_VALUE"""),"APOYO A DIGEF")</f>
        <v>APOYO A DIGEF</v>
      </c>
      <c r="AE391" s="64" t="str">
        <f>IFERROR(__xludf.DUMMYFUNCTION("""COMPUTED_VALUE"""),"OPERATIVO PNC TRANSITO")</f>
        <v>OPERATIVO PNC TRANSITO</v>
      </c>
      <c r="AF391" s="64" t="str">
        <f>IFERROR(__xludf.DUMMYFUNCTION("""COMPUTED_VALUE"""),"SOBRECARGA ")</f>
        <v>SOBRECARGA </v>
      </c>
      <c r="AG391" s="64" t="str">
        <f>IFERROR(__xludf.DUMMYFUNCTION("""COMPUTED_VALUE"""),"OPERATIVO EN CONJUNTO")</f>
        <v>OPERATIVO EN CONJUNTO</v>
      </c>
      <c r="AH391" s="64" t="str">
        <f>IFERROR(__xludf.DUMMYFUNCTION("""COMPUTED_VALUE"""),"PUESTO DE ATENCION AL USUARIO")</f>
        <v>PUESTO DE ATENCION AL USUARIO</v>
      </c>
      <c r="AI391" s="64" t="str">
        <f>IFERROR(__xludf.DUMMYFUNCTION("""COMPUTED_VALUE"""),"INCENDIO EN RUTA")</f>
        <v>INCENDIO EN RUTA</v>
      </c>
      <c r="AJ391" s="64" t="str">
        <f>IFERROR(__xludf.DUMMYFUNCTION("""COMPUTED_VALUE"""),"APOYO ANTORCHA ")</f>
        <v>APOYO ANTORCHA </v>
      </c>
    </row>
    <row r="392">
      <c r="B392" s="64" t="s">
        <v>54</v>
      </c>
      <c r="C392" s="64" t="str">
        <f>IFERROR(__xludf.DUMMYFUNCTION(" TRANSPOSE( unique ( QUERY(DATOPRO,""select Col2 where Col1 = '""&amp;B392&amp;""'"")))"),"PINCHAZO")</f>
        <v>PINCHAZO</v>
      </c>
      <c r="D392" s="64" t="str">
        <f>IFERROR(__xludf.DUMMYFUNCTION("""COMPUTED_VALUE"""),"TRABAJOS DE CARRETERA")</f>
        <v>TRABAJOS DE CARRETERA</v>
      </c>
      <c r="E392" s="64" t="str">
        <f>IFERROR(__xludf.DUMMYFUNCTION("""COMPUTED_VALUE"""),"CONSIGNACIÓN")</f>
        <v>CONSIGNACIÓN</v>
      </c>
      <c r="F392" s="64" t="str">
        <f>IFERROR(__xludf.DUMMYFUNCTION("""COMPUTED_VALUE"""),"DERRAME")</f>
        <v>DERRAME</v>
      </c>
      <c r="G392" s="64" t="str">
        <f>IFERROR(__xludf.DUMMYFUNCTION("""COMPUTED_VALUE"""),"CALENTAMIENTO")</f>
        <v>CALENTAMIENTO</v>
      </c>
      <c r="H392" s="64" t="str">
        <f>IFERROR(__xludf.DUMMYFUNCTION("""COMPUTED_VALUE"""),"ESCOLTANDO")</f>
        <v>ESCOLTANDO</v>
      </c>
      <c r="I392" s="64" t="str">
        <f>IFERROR(__xludf.DUMMYFUNCTION("""COMPUTED_VALUE"""),"FALTA DE COMBUSTIBLE")</f>
        <v>FALTA DE COMBUSTIBLE</v>
      </c>
      <c r="J392" s="64" t="str">
        <f>IFERROR(__xludf.DUMMYFUNCTION("""COMPUTED_VALUE"""),"DESPERFECTOS MECÁNICOS")</f>
        <v>DESPERFECTOS MECÁNICOS</v>
      </c>
      <c r="K392" s="64" t="str">
        <f>IFERROR(__xludf.DUMMYFUNCTION("""COMPUTED_VALUE"""),"LLAMADA DE ATENCIÓN")</f>
        <v>LLAMADA DE ATENCIÓN</v>
      </c>
      <c r="L392" s="64" t="str">
        <f>IFERROR(__xludf.DUMMYFUNCTION("""COMPUTED_VALUE"""),"OPERATIVOS")</f>
        <v>OPERATIVOS</v>
      </c>
      <c r="M392" s="64" t="str">
        <f>IFERROR(__xludf.DUMMYFUNCTION("""COMPUTED_VALUE"""),"SANCIÓN")</f>
        <v>SANCIÓN</v>
      </c>
      <c r="N392" s="64" t="str">
        <f>IFERROR(__xludf.DUMMYFUNCTION("""COMPUTED_VALUE"""),"SISTEMA ELECTRICO")</f>
        <v>SISTEMA ELECTRICO</v>
      </c>
      <c r="O392" s="64" t="str">
        <f>IFERROR(__xludf.DUMMYFUNCTION("""COMPUTED_VALUE"""),"ASISTENCIA AL USUARIO")</f>
        <v>ASISTENCIA AL USUARIO</v>
      </c>
      <c r="P392" s="64" t="str">
        <f>IFERROR(__xludf.DUMMYFUNCTION("""COMPUTED_VALUE"""),"DOBLE REMOLQUE")</f>
        <v>DOBLE REMOLQUE</v>
      </c>
      <c r="Q392" s="64" t="str">
        <f>IFERROR(__xludf.DUMMYFUNCTION("""COMPUTED_VALUE"""),"SINAPRESE")</f>
        <v>SINAPRESE</v>
      </c>
      <c r="R392" s="64" t="str">
        <f>IFERROR(__xludf.DUMMYFUNCTION("""COMPUTED_VALUE"""),"APOYO ATLETISMO")</f>
        <v>APOYO ATLETISMO</v>
      </c>
      <c r="S392" s="64" t="str">
        <f>IFERROR(__xludf.DUMMYFUNCTION("""COMPUTED_VALUE"""),"APOYO A CICLISMO")</f>
        <v>APOYO A CICLISMO</v>
      </c>
      <c r="T392" s="64" t="str">
        <f>IFERROR(__xludf.DUMMYFUNCTION("""COMPUTED_VALUE"""),"DESCARGA DE BATERÍA")</f>
        <v>DESCARGA DE BATERÍA</v>
      </c>
      <c r="U392" s="64" t="str">
        <f>IFERROR(__xludf.DUMMYFUNCTION("""COMPUTED_VALUE"""),"PROBLEMAS DE SALUD")</f>
        <v>PROBLEMAS DE SALUD</v>
      </c>
      <c r="V392" s="64" t="str">
        <f>IFERROR(__xludf.DUMMYFUNCTION("""COMPUTED_VALUE"""),"OLVIDO LA LLAVE")</f>
        <v>OLVIDO LA LLAVE</v>
      </c>
      <c r="W392" s="64" t="str">
        <f>IFERROR(__xludf.DUMMYFUNCTION("""COMPUTED_VALUE"""),"CARGA SOBREDIMENSIONADA")</f>
        <v>CARGA SOBREDIMENSIONADA</v>
      </c>
      <c r="X392" s="64" t="str">
        <f>IFERROR(__xludf.DUMMYFUNCTION("""COMPUTED_VALUE"""),"VEHÍCULO ABANDONADO")</f>
        <v>VEHÍCULO ABANDONADO</v>
      </c>
      <c r="Y392" s="64" t="str">
        <f>IFERROR(__xludf.DUMMYFUNCTION("""COMPUTED_VALUE"""),"DESPRENDIMIENTO")</f>
        <v>DESPRENDIMIENTO</v>
      </c>
      <c r="Z392" s="64" t="str">
        <f>IFERROR(__xludf.DUMMYFUNCTION("""COMPUTED_VALUE"""),"CAÍDA DE POSTE")</f>
        <v>CAÍDA DE POSTE</v>
      </c>
      <c r="AA392" s="64" t="str">
        <f>IFERROR(__xludf.DUMMYFUNCTION("""COMPUTED_VALUE"""),"CAÍDA DE RAMA")</f>
        <v>CAÍDA DE RAMA</v>
      </c>
      <c r="AB392" s="64" t="str">
        <f>IFERROR(__xludf.DUMMYFUNCTION("""COMPUTED_VALUE"""),"OPERATIVO DGT")</f>
        <v>OPERATIVO DGT</v>
      </c>
      <c r="AC392" s="64" t="str">
        <f>IFERROR(__xludf.DUMMYFUNCTION("""COMPUTED_VALUE"""),"OPERATIVO PMT")</f>
        <v>OPERATIVO PMT</v>
      </c>
      <c r="AD392" s="64" t="str">
        <f>IFERROR(__xludf.DUMMYFUNCTION("""COMPUTED_VALUE"""),"APOYO A DIGEF")</f>
        <v>APOYO A DIGEF</v>
      </c>
      <c r="AE392" s="64" t="str">
        <f>IFERROR(__xludf.DUMMYFUNCTION("""COMPUTED_VALUE"""),"OPERATIVO PNC TRANSITO")</f>
        <v>OPERATIVO PNC TRANSITO</v>
      </c>
      <c r="AF392" s="64" t="str">
        <f>IFERROR(__xludf.DUMMYFUNCTION("""COMPUTED_VALUE"""),"SOBRECARGA ")</f>
        <v>SOBRECARGA </v>
      </c>
      <c r="AG392" s="64" t="str">
        <f>IFERROR(__xludf.DUMMYFUNCTION("""COMPUTED_VALUE"""),"OPERATIVO EN CONJUNTO")</f>
        <v>OPERATIVO EN CONJUNTO</v>
      </c>
      <c r="AH392" s="64" t="str">
        <f>IFERROR(__xludf.DUMMYFUNCTION("""COMPUTED_VALUE"""),"PUESTO DE ATENCION AL USUARIO")</f>
        <v>PUESTO DE ATENCION AL USUARIO</v>
      </c>
      <c r="AI392" s="64" t="str">
        <f>IFERROR(__xludf.DUMMYFUNCTION("""COMPUTED_VALUE"""),"INCENDIO EN RUTA")</f>
        <v>INCENDIO EN RUTA</v>
      </c>
      <c r="AJ392" s="64" t="str">
        <f>IFERROR(__xludf.DUMMYFUNCTION("""COMPUTED_VALUE"""),"APOYO ANTORCHA ")</f>
        <v>APOYO ANTORCHA </v>
      </c>
    </row>
    <row r="393">
      <c r="B393" s="64" t="s">
        <v>54</v>
      </c>
      <c r="C393" s="64" t="str">
        <f>IFERROR(__xludf.DUMMYFUNCTION(" TRANSPOSE( unique ( QUERY(DATOPRO,""select Col2 where Col1 = '""&amp;B393&amp;""'"")))"),"PINCHAZO")</f>
        <v>PINCHAZO</v>
      </c>
      <c r="D393" s="64" t="str">
        <f>IFERROR(__xludf.DUMMYFUNCTION("""COMPUTED_VALUE"""),"TRABAJOS DE CARRETERA")</f>
        <v>TRABAJOS DE CARRETERA</v>
      </c>
      <c r="E393" s="64" t="str">
        <f>IFERROR(__xludf.DUMMYFUNCTION("""COMPUTED_VALUE"""),"CONSIGNACIÓN")</f>
        <v>CONSIGNACIÓN</v>
      </c>
      <c r="F393" s="64" t="str">
        <f>IFERROR(__xludf.DUMMYFUNCTION("""COMPUTED_VALUE"""),"DERRAME")</f>
        <v>DERRAME</v>
      </c>
      <c r="G393" s="64" t="str">
        <f>IFERROR(__xludf.DUMMYFUNCTION("""COMPUTED_VALUE"""),"CALENTAMIENTO")</f>
        <v>CALENTAMIENTO</v>
      </c>
      <c r="H393" s="64" t="str">
        <f>IFERROR(__xludf.DUMMYFUNCTION("""COMPUTED_VALUE"""),"ESCOLTANDO")</f>
        <v>ESCOLTANDO</v>
      </c>
      <c r="I393" s="64" t="str">
        <f>IFERROR(__xludf.DUMMYFUNCTION("""COMPUTED_VALUE"""),"FALTA DE COMBUSTIBLE")</f>
        <v>FALTA DE COMBUSTIBLE</v>
      </c>
      <c r="J393" s="64" t="str">
        <f>IFERROR(__xludf.DUMMYFUNCTION("""COMPUTED_VALUE"""),"DESPERFECTOS MECÁNICOS")</f>
        <v>DESPERFECTOS MECÁNICOS</v>
      </c>
      <c r="K393" s="64" t="str">
        <f>IFERROR(__xludf.DUMMYFUNCTION("""COMPUTED_VALUE"""),"LLAMADA DE ATENCIÓN")</f>
        <v>LLAMADA DE ATENCIÓN</v>
      </c>
      <c r="L393" s="64" t="str">
        <f>IFERROR(__xludf.DUMMYFUNCTION("""COMPUTED_VALUE"""),"OPERATIVOS")</f>
        <v>OPERATIVOS</v>
      </c>
      <c r="M393" s="64" t="str">
        <f>IFERROR(__xludf.DUMMYFUNCTION("""COMPUTED_VALUE"""),"SANCIÓN")</f>
        <v>SANCIÓN</v>
      </c>
      <c r="N393" s="64" t="str">
        <f>IFERROR(__xludf.DUMMYFUNCTION("""COMPUTED_VALUE"""),"SISTEMA ELECTRICO")</f>
        <v>SISTEMA ELECTRICO</v>
      </c>
      <c r="O393" s="64" t="str">
        <f>IFERROR(__xludf.DUMMYFUNCTION("""COMPUTED_VALUE"""),"ASISTENCIA AL USUARIO")</f>
        <v>ASISTENCIA AL USUARIO</v>
      </c>
      <c r="P393" s="64" t="str">
        <f>IFERROR(__xludf.DUMMYFUNCTION("""COMPUTED_VALUE"""),"DOBLE REMOLQUE")</f>
        <v>DOBLE REMOLQUE</v>
      </c>
      <c r="Q393" s="64" t="str">
        <f>IFERROR(__xludf.DUMMYFUNCTION("""COMPUTED_VALUE"""),"SINAPRESE")</f>
        <v>SINAPRESE</v>
      </c>
      <c r="R393" s="64" t="str">
        <f>IFERROR(__xludf.DUMMYFUNCTION("""COMPUTED_VALUE"""),"APOYO ATLETISMO")</f>
        <v>APOYO ATLETISMO</v>
      </c>
      <c r="S393" s="64" t="str">
        <f>IFERROR(__xludf.DUMMYFUNCTION("""COMPUTED_VALUE"""),"APOYO A CICLISMO")</f>
        <v>APOYO A CICLISMO</v>
      </c>
      <c r="T393" s="64" t="str">
        <f>IFERROR(__xludf.DUMMYFUNCTION("""COMPUTED_VALUE"""),"DESCARGA DE BATERÍA")</f>
        <v>DESCARGA DE BATERÍA</v>
      </c>
      <c r="U393" s="64" t="str">
        <f>IFERROR(__xludf.DUMMYFUNCTION("""COMPUTED_VALUE"""),"PROBLEMAS DE SALUD")</f>
        <v>PROBLEMAS DE SALUD</v>
      </c>
      <c r="V393" s="64" t="str">
        <f>IFERROR(__xludf.DUMMYFUNCTION("""COMPUTED_VALUE"""),"OLVIDO LA LLAVE")</f>
        <v>OLVIDO LA LLAVE</v>
      </c>
      <c r="W393" s="64" t="str">
        <f>IFERROR(__xludf.DUMMYFUNCTION("""COMPUTED_VALUE"""),"CARGA SOBREDIMENSIONADA")</f>
        <v>CARGA SOBREDIMENSIONADA</v>
      </c>
      <c r="X393" s="64" t="str">
        <f>IFERROR(__xludf.DUMMYFUNCTION("""COMPUTED_VALUE"""),"VEHÍCULO ABANDONADO")</f>
        <v>VEHÍCULO ABANDONADO</v>
      </c>
      <c r="Y393" s="64" t="str">
        <f>IFERROR(__xludf.DUMMYFUNCTION("""COMPUTED_VALUE"""),"DESPRENDIMIENTO")</f>
        <v>DESPRENDIMIENTO</v>
      </c>
      <c r="Z393" s="64" t="str">
        <f>IFERROR(__xludf.DUMMYFUNCTION("""COMPUTED_VALUE"""),"CAÍDA DE POSTE")</f>
        <v>CAÍDA DE POSTE</v>
      </c>
      <c r="AA393" s="64" t="str">
        <f>IFERROR(__xludf.DUMMYFUNCTION("""COMPUTED_VALUE"""),"CAÍDA DE RAMA")</f>
        <v>CAÍDA DE RAMA</v>
      </c>
      <c r="AB393" s="64" t="str">
        <f>IFERROR(__xludf.DUMMYFUNCTION("""COMPUTED_VALUE"""),"OPERATIVO DGT")</f>
        <v>OPERATIVO DGT</v>
      </c>
      <c r="AC393" s="64" t="str">
        <f>IFERROR(__xludf.DUMMYFUNCTION("""COMPUTED_VALUE"""),"OPERATIVO PMT")</f>
        <v>OPERATIVO PMT</v>
      </c>
      <c r="AD393" s="64" t="str">
        <f>IFERROR(__xludf.DUMMYFUNCTION("""COMPUTED_VALUE"""),"APOYO A DIGEF")</f>
        <v>APOYO A DIGEF</v>
      </c>
      <c r="AE393" s="64" t="str">
        <f>IFERROR(__xludf.DUMMYFUNCTION("""COMPUTED_VALUE"""),"OPERATIVO PNC TRANSITO")</f>
        <v>OPERATIVO PNC TRANSITO</v>
      </c>
      <c r="AF393" s="64" t="str">
        <f>IFERROR(__xludf.DUMMYFUNCTION("""COMPUTED_VALUE"""),"SOBRECARGA ")</f>
        <v>SOBRECARGA </v>
      </c>
      <c r="AG393" s="64" t="str">
        <f>IFERROR(__xludf.DUMMYFUNCTION("""COMPUTED_VALUE"""),"OPERATIVO EN CONJUNTO")</f>
        <v>OPERATIVO EN CONJUNTO</v>
      </c>
      <c r="AH393" s="64" t="str">
        <f>IFERROR(__xludf.DUMMYFUNCTION("""COMPUTED_VALUE"""),"PUESTO DE ATENCION AL USUARIO")</f>
        <v>PUESTO DE ATENCION AL USUARIO</v>
      </c>
      <c r="AI393" s="64" t="str">
        <f>IFERROR(__xludf.DUMMYFUNCTION("""COMPUTED_VALUE"""),"INCENDIO EN RUTA")</f>
        <v>INCENDIO EN RUTA</v>
      </c>
      <c r="AJ393" s="64" t="str">
        <f>IFERROR(__xludf.DUMMYFUNCTION("""COMPUTED_VALUE"""),"APOYO ANTORCHA ")</f>
        <v>APOYO ANTORCHA </v>
      </c>
    </row>
    <row r="394">
      <c r="B394" s="64" t="s">
        <v>54</v>
      </c>
      <c r="C394" s="64" t="str">
        <f>IFERROR(__xludf.DUMMYFUNCTION(" TRANSPOSE( unique ( QUERY(DATOPRO,""select Col2 where Col1 = '""&amp;B394&amp;""'"")))"),"PINCHAZO")</f>
        <v>PINCHAZO</v>
      </c>
      <c r="D394" s="64" t="str">
        <f>IFERROR(__xludf.DUMMYFUNCTION("""COMPUTED_VALUE"""),"TRABAJOS DE CARRETERA")</f>
        <v>TRABAJOS DE CARRETERA</v>
      </c>
      <c r="E394" s="64" t="str">
        <f>IFERROR(__xludf.DUMMYFUNCTION("""COMPUTED_VALUE"""),"CONSIGNACIÓN")</f>
        <v>CONSIGNACIÓN</v>
      </c>
      <c r="F394" s="64" t="str">
        <f>IFERROR(__xludf.DUMMYFUNCTION("""COMPUTED_VALUE"""),"DERRAME")</f>
        <v>DERRAME</v>
      </c>
      <c r="G394" s="64" t="str">
        <f>IFERROR(__xludf.DUMMYFUNCTION("""COMPUTED_VALUE"""),"CALENTAMIENTO")</f>
        <v>CALENTAMIENTO</v>
      </c>
      <c r="H394" s="64" t="str">
        <f>IFERROR(__xludf.DUMMYFUNCTION("""COMPUTED_VALUE"""),"ESCOLTANDO")</f>
        <v>ESCOLTANDO</v>
      </c>
      <c r="I394" s="64" t="str">
        <f>IFERROR(__xludf.DUMMYFUNCTION("""COMPUTED_VALUE"""),"FALTA DE COMBUSTIBLE")</f>
        <v>FALTA DE COMBUSTIBLE</v>
      </c>
      <c r="J394" s="64" t="str">
        <f>IFERROR(__xludf.DUMMYFUNCTION("""COMPUTED_VALUE"""),"DESPERFECTOS MECÁNICOS")</f>
        <v>DESPERFECTOS MECÁNICOS</v>
      </c>
      <c r="K394" s="64" t="str">
        <f>IFERROR(__xludf.DUMMYFUNCTION("""COMPUTED_VALUE"""),"LLAMADA DE ATENCIÓN")</f>
        <v>LLAMADA DE ATENCIÓN</v>
      </c>
      <c r="L394" s="64" t="str">
        <f>IFERROR(__xludf.DUMMYFUNCTION("""COMPUTED_VALUE"""),"OPERATIVOS")</f>
        <v>OPERATIVOS</v>
      </c>
      <c r="M394" s="64" t="str">
        <f>IFERROR(__xludf.DUMMYFUNCTION("""COMPUTED_VALUE"""),"SANCIÓN")</f>
        <v>SANCIÓN</v>
      </c>
      <c r="N394" s="64" t="str">
        <f>IFERROR(__xludf.DUMMYFUNCTION("""COMPUTED_VALUE"""),"SISTEMA ELECTRICO")</f>
        <v>SISTEMA ELECTRICO</v>
      </c>
      <c r="O394" s="64" t="str">
        <f>IFERROR(__xludf.DUMMYFUNCTION("""COMPUTED_VALUE"""),"ASISTENCIA AL USUARIO")</f>
        <v>ASISTENCIA AL USUARIO</v>
      </c>
      <c r="P394" s="64" t="str">
        <f>IFERROR(__xludf.DUMMYFUNCTION("""COMPUTED_VALUE"""),"DOBLE REMOLQUE")</f>
        <v>DOBLE REMOLQUE</v>
      </c>
      <c r="Q394" s="64" t="str">
        <f>IFERROR(__xludf.DUMMYFUNCTION("""COMPUTED_VALUE"""),"SINAPRESE")</f>
        <v>SINAPRESE</v>
      </c>
      <c r="R394" s="64" t="str">
        <f>IFERROR(__xludf.DUMMYFUNCTION("""COMPUTED_VALUE"""),"APOYO ATLETISMO")</f>
        <v>APOYO ATLETISMO</v>
      </c>
      <c r="S394" s="64" t="str">
        <f>IFERROR(__xludf.DUMMYFUNCTION("""COMPUTED_VALUE"""),"APOYO A CICLISMO")</f>
        <v>APOYO A CICLISMO</v>
      </c>
      <c r="T394" s="64" t="str">
        <f>IFERROR(__xludf.DUMMYFUNCTION("""COMPUTED_VALUE"""),"DESCARGA DE BATERÍA")</f>
        <v>DESCARGA DE BATERÍA</v>
      </c>
      <c r="U394" s="64" t="str">
        <f>IFERROR(__xludf.DUMMYFUNCTION("""COMPUTED_VALUE"""),"PROBLEMAS DE SALUD")</f>
        <v>PROBLEMAS DE SALUD</v>
      </c>
      <c r="V394" s="64" t="str">
        <f>IFERROR(__xludf.DUMMYFUNCTION("""COMPUTED_VALUE"""),"OLVIDO LA LLAVE")</f>
        <v>OLVIDO LA LLAVE</v>
      </c>
      <c r="W394" s="64" t="str">
        <f>IFERROR(__xludf.DUMMYFUNCTION("""COMPUTED_VALUE"""),"CARGA SOBREDIMENSIONADA")</f>
        <v>CARGA SOBREDIMENSIONADA</v>
      </c>
      <c r="X394" s="64" t="str">
        <f>IFERROR(__xludf.DUMMYFUNCTION("""COMPUTED_VALUE"""),"VEHÍCULO ABANDONADO")</f>
        <v>VEHÍCULO ABANDONADO</v>
      </c>
      <c r="Y394" s="64" t="str">
        <f>IFERROR(__xludf.DUMMYFUNCTION("""COMPUTED_VALUE"""),"DESPRENDIMIENTO")</f>
        <v>DESPRENDIMIENTO</v>
      </c>
      <c r="Z394" s="64" t="str">
        <f>IFERROR(__xludf.DUMMYFUNCTION("""COMPUTED_VALUE"""),"CAÍDA DE POSTE")</f>
        <v>CAÍDA DE POSTE</v>
      </c>
      <c r="AA394" s="64" t="str">
        <f>IFERROR(__xludf.DUMMYFUNCTION("""COMPUTED_VALUE"""),"CAÍDA DE RAMA")</f>
        <v>CAÍDA DE RAMA</v>
      </c>
      <c r="AB394" s="64" t="str">
        <f>IFERROR(__xludf.DUMMYFUNCTION("""COMPUTED_VALUE"""),"OPERATIVO DGT")</f>
        <v>OPERATIVO DGT</v>
      </c>
      <c r="AC394" s="64" t="str">
        <f>IFERROR(__xludf.DUMMYFUNCTION("""COMPUTED_VALUE"""),"OPERATIVO PMT")</f>
        <v>OPERATIVO PMT</v>
      </c>
      <c r="AD394" s="64" t="str">
        <f>IFERROR(__xludf.DUMMYFUNCTION("""COMPUTED_VALUE"""),"APOYO A DIGEF")</f>
        <v>APOYO A DIGEF</v>
      </c>
      <c r="AE394" s="64" t="str">
        <f>IFERROR(__xludf.DUMMYFUNCTION("""COMPUTED_VALUE"""),"OPERATIVO PNC TRANSITO")</f>
        <v>OPERATIVO PNC TRANSITO</v>
      </c>
      <c r="AF394" s="64" t="str">
        <f>IFERROR(__xludf.DUMMYFUNCTION("""COMPUTED_VALUE"""),"SOBRECARGA ")</f>
        <v>SOBRECARGA </v>
      </c>
      <c r="AG394" s="64" t="str">
        <f>IFERROR(__xludf.DUMMYFUNCTION("""COMPUTED_VALUE"""),"OPERATIVO EN CONJUNTO")</f>
        <v>OPERATIVO EN CONJUNTO</v>
      </c>
      <c r="AH394" s="64" t="str">
        <f>IFERROR(__xludf.DUMMYFUNCTION("""COMPUTED_VALUE"""),"PUESTO DE ATENCION AL USUARIO")</f>
        <v>PUESTO DE ATENCION AL USUARIO</v>
      </c>
      <c r="AI394" s="64" t="str">
        <f>IFERROR(__xludf.DUMMYFUNCTION("""COMPUTED_VALUE"""),"INCENDIO EN RUTA")</f>
        <v>INCENDIO EN RUTA</v>
      </c>
      <c r="AJ394" s="64" t="str">
        <f>IFERROR(__xludf.DUMMYFUNCTION("""COMPUTED_VALUE"""),"APOYO ANTORCHA ")</f>
        <v>APOYO ANTORCHA </v>
      </c>
    </row>
    <row r="395">
      <c r="B395" s="64" t="s">
        <v>54</v>
      </c>
      <c r="C395" s="64" t="str">
        <f>IFERROR(__xludf.DUMMYFUNCTION(" TRANSPOSE( unique ( QUERY(DATOPRO,""select Col2 where Col1 = '""&amp;B395&amp;""'"")))"),"PINCHAZO")</f>
        <v>PINCHAZO</v>
      </c>
      <c r="D395" s="64" t="str">
        <f>IFERROR(__xludf.DUMMYFUNCTION("""COMPUTED_VALUE"""),"TRABAJOS DE CARRETERA")</f>
        <v>TRABAJOS DE CARRETERA</v>
      </c>
      <c r="E395" s="64" t="str">
        <f>IFERROR(__xludf.DUMMYFUNCTION("""COMPUTED_VALUE"""),"CONSIGNACIÓN")</f>
        <v>CONSIGNACIÓN</v>
      </c>
      <c r="F395" s="64" t="str">
        <f>IFERROR(__xludf.DUMMYFUNCTION("""COMPUTED_VALUE"""),"DERRAME")</f>
        <v>DERRAME</v>
      </c>
      <c r="G395" s="64" t="str">
        <f>IFERROR(__xludf.DUMMYFUNCTION("""COMPUTED_VALUE"""),"CALENTAMIENTO")</f>
        <v>CALENTAMIENTO</v>
      </c>
      <c r="H395" s="64" t="str">
        <f>IFERROR(__xludf.DUMMYFUNCTION("""COMPUTED_VALUE"""),"ESCOLTANDO")</f>
        <v>ESCOLTANDO</v>
      </c>
      <c r="I395" s="64" t="str">
        <f>IFERROR(__xludf.DUMMYFUNCTION("""COMPUTED_VALUE"""),"FALTA DE COMBUSTIBLE")</f>
        <v>FALTA DE COMBUSTIBLE</v>
      </c>
      <c r="J395" s="64" t="str">
        <f>IFERROR(__xludf.DUMMYFUNCTION("""COMPUTED_VALUE"""),"DESPERFECTOS MECÁNICOS")</f>
        <v>DESPERFECTOS MECÁNICOS</v>
      </c>
      <c r="K395" s="64" t="str">
        <f>IFERROR(__xludf.DUMMYFUNCTION("""COMPUTED_VALUE"""),"LLAMADA DE ATENCIÓN")</f>
        <v>LLAMADA DE ATENCIÓN</v>
      </c>
      <c r="L395" s="64" t="str">
        <f>IFERROR(__xludf.DUMMYFUNCTION("""COMPUTED_VALUE"""),"OPERATIVOS")</f>
        <v>OPERATIVOS</v>
      </c>
      <c r="M395" s="64" t="str">
        <f>IFERROR(__xludf.DUMMYFUNCTION("""COMPUTED_VALUE"""),"SANCIÓN")</f>
        <v>SANCIÓN</v>
      </c>
      <c r="N395" s="64" t="str">
        <f>IFERROR(__xludf.DUMMYFUNCTION("""COMPUTED_VALUE"""),"SISTEMA ELECTRICO")</f>
        <v>SISTEMA ELECTRICO</v>
      </c>
      <c r="O395" s="64" t="str">
        <f>IFERROR(__xludf.DUMMYFUNCTION("""COMPUTED_VALUE"""),"ASISTENCIA AL USUARIO")</f>
        <v>ASISTENCIA AL USUARIO</v>
      </c>
      <c r="P395" s="64" t="str">
        <f>IFERROR(__xludf.DUMMYFUNCTION("""COMPUTED_VALUE"""),"DOBLE REMOLQUE")</f>
        <v>DOBLE REMOLQUE</v>
      </c>
      <c r="Q395" s="64" t="str">
        <f>IFERROR(__xludf.DUMMYFUNCTION("""COMPUTED_VALUE"""),"SINAPRESE")</f>
        <v>SINAPRESE</v>
      </c>
      <c r="R395" s="64" t="str">
        <f>IFERROR(__xludf.DUMMYFUNCTION("""COMPUTED_VALUE"""),"APOYO ATLETISMO")</f>
        <v>APOYO ATLETISMO</v>
      </c>
      <c r="S395" s="64" t="str">
        <f>IFERROR(__xludf.DUMMYFUNCTION("""COMPUTED_VALUE"""),"APOYO A CICLISMO")</f>
        <v>APOYO A CICLISMO</v>
      </c>
      <c r="T395" s="64" t="str">
        <f>IFERROR(__xludf.DUMMYFUNCTION("""COMPUTED_VALUE"""),"DESCARGA DE BATERÍA")</f>
        <v>DESCARGA DE BATERÍA</v>
      </c>
      <c r="U395" s="64" t="str">
        <f>IFERROR(__xludf.DUMMYFUNCTION("""COMPUTED_VALUE"""),"PROBLEMAS DE SALUD")</f>
        <v>PROBLEMAS DE SALUD</v>
      </c>
      <c r="V395" s="64" t="str">
        <f>IFERROR(__xludf.DUMMYFUNCTION("""COMPUTED_VALUE"""),"OLVIDO LA LLAVE")</f>
        <v>OLVIDO LA LLAVE</v>
      </c>
      <c r="W395" s="64" t="str">
        <f>IFERROR(__xludf.DUMMYFUNCTION("""COMPUTED_VALUE"""),"CARGA SOBREDIMENSIONADA")</f>
        <v>CARGA SOBREDIMENSIONADA</v>
      </c>
      <c r="X395" s="64" t="str">
        <f>IFERROR(__xludf.DUMMYFUNCTION("""COMPUTED_VALUE"""),"VEHÍCULO ABANDONADO")</f>
        <v>VEHÍCULO ABANDONADO</v>
      </c>
      <c r="Y395" s="64" t="str">
        <f>IFERROR(__xludf.DUMMYFUNCTION("""COMPUTED_VALUE"""),"DESPRENDIMIENTO")</f>
        <v>DESPRENDIMIENTO</v>
      </c>
      <c r="Z395" s="64" t="str">
        <f>IFERROR(__xludf.DUMMYFUNCTION("""COMPUTED_VALUE"""),"CAÍDA DE POSTE")</f>
        <v>CAÍDA DE POSTE</v>
      </c>
      <c r="AA395" s="64" t="str">
        <f>IFERROR(__xludf.DUMMYFUNCTION("""COMPUTED_VALUE"""),"CAÍDA DE RAMA")</f>
        <v>CAÍDA DE RAMA</v>
      </c>
      <c r="AB395" s="64" t="str">
        <f>IFERROR(__xludf.DUMMYFUNCTION("""COMPUTED_VALUE"""),"OPERATIVO DGT")</f>
        <v>OPERATIVO DGT</v>
      </c>
      <c r="AC395" s="64" t="str">
        <f>IFERROR(__xludf.DUMMYFUNCTION("""COMPUTED_VALUE"""),"OPERATIVO PMT")</f>
        <v>OPERATIVO PMT</v>
      </c>
      <c r="AD395" s="64" t="str">
        <f>IFERROR(__xludf.DUMMYFUNCTION("""COMPUTED_VALUE"""),"APOYO A DIGEF")</f>
        <v>APOYO A DIGEF</v>
      </c>
      <c r="AE395" s="64" t="str">
        <f>IFERROR(__xludf.DUMMYFUNCTION("""COMPUTED_VALUE"""),"OPERATIVO PNC TRANSITO")</f>
        <v>OPERATIVO PNC TRANSITO</v>
      </c>
      <c r="AF395" s="64" t="str">
        <f>IFERROR(__xludf.DUMMYFUNCTION("""COMPUTED_VALUE"""),"SOBRECARGA ")</f>
        <v>SOBRECARGA </v>
      </c>
      <c r="AG395" s="64" t="str">
        <f>IFERROR(__xludf.DUMMYFUNCTION("""COMPUTED_VALUE"""),"OPERATIVO EN CONJUNTO")</f>
        <v>OPERATIVO EN CONJUNTO</v>
      </c>
      <c r="AH395" s="64" t="str">
        <f>IFERROR(__xludf.DUMMYFUNCTION("""COMPUTED_VALUE"""),"PUESTO DE ATENCION AL USUARIO")</f>
        <v>PUESTO DE ATENCION AL USUARIO</v>
      </c>
      <c r="AI395" s="64" t="str">
        <f>IFERROR(__xludf.DUMMYFUNCTION("""COMPUTED_VALUE"""),"INCENDIO EN RUTA")</f>
        <v>INCENDIO EN RUTA</v>
      </c>
      <c r="AJ395" s="64" t="str">
        <f>IFERROR(__xludf.DUMMYFUNCTION("""COMPUTED_VALUE"""),"APOYO ANTORCHA ")</f>
        <v>APOYO ANTORCHA </v>
      </c>
    </row>
    <row r="396">
      <c r="B396" s="64" t="s">
        <v>38</v>
      </c>
      <c r="C396" s="64" t="str">
        <f>IFERROR(__xludf.DUMMYFUNCTION(" TRANSPOSE( unique ( QUERY(DATOPRO,""select Col2 where Col1 = '""&amp;B396&amp;""'"")))"),"ATAQUE ARMADO")</f>
        <v>ATAQUE ARMADO</v>
      </c>
      <c r="D396" s="64" t="str">
        <f>IFERROR(__xludf.DUMMYFUNCTION("""COMPUTED_VALUE"""),"DESBALANCE DE CARGA")</f>
        <v>DESBALANCE DE CARGA</v>
      </c>
      <c r="E396" s="64" t="str">
        <f>IFERROR(__xludf.DUMMYFUNCTION("""COMPUTED_VALUE"""),"PERSONA FALLECIDA")</f>
        <v>PERSONA FALLECIDA</v>
      </c>
      <c r="F396" s="64" t="str">
        <f>IFERROR(__xludf.DUMMYFUNCTION("""COMPUTED_VALUE"""),"DESPRENDIMIENTO DE NEUMATICO")</f>
        <v>DESPRENDIMIENTO DE NEUMATICO</v>
      </c>
      <c r="G396" s="64" t="str">
        <f>IFERROR(__xludf.DUMMYFUNCTION("""COMPUTED_VALUE"""),"SALIDA DE PISTA")</f>
        <v>SALIDA DE PISTA</v>
      </c>
      <c r="H396" s="64" t="str">
        <f>IFERROR(__xludf.DUMMYFUNCTION("""COMPUTED_VALUE"""),"DESPRENDIMIENTO DE CONTENEDOR")</f>
        <v>DESPRENDIMIENTO DE CONTENEDOR</v>
      </c>
      <c r="I396" s="64" t="str">
        <f>IFERROR(__xludf.DUMMYFUNCTION("""COMPUTED_VALUE"""),"CAÍDA DE CARGA")</f>
        <v>CAÍDA DE CARGA</v>
      </c>
      <c r="J396" s="64" t="str">
        <f>IFERROR(__xludf.DUMMYFUNCTION("""COMPUTED_VALUE"""),"CHOQUE")</f>
        <v>CHOQUE</v>
      </c>
      <c r="K396" s="64" t="str">
        <f>IFERROR(__xludf.DUMMYFUNCTION("""COMPUTED_VALUE"""),"COLISIÓN")</f>
        <v>COLISIÓN</v>
      </c>
      <c r="L396" s="64" t="str">
        <f>IFERROR(__xludf.DUMMYFUNCTION("""COMPUTED_VALUE"""),"COLISIÓN MÚLTIPLE")</f>
        <v>COLISIÓN MÚLTIPLE</v>
      </c>
      <c r="M396" s="64" t="str">
        <f>IFERROR(__xludf.DUMMYFUNCTION("""COMPUTED_VALUE"""),"DERRAPE")</f>
        <v>DERRAPE</v>
      </c>
      <c r="N396" s="64" t="str">
        <f>IFERROR(__xludf.DUMMYFUNCTION("""COMPUTED_VALUE"""),"VEHÍCULO INCENDIADO")</f>
        <v>VEHÍCULO INCENDIADO</v>
      </c>
      <c r="O396" s="64" t="str">
        <f>IFERROR(__xludf.DUMMYFUNCTION("""COMPUTED_VALUE"""),"VUELCO")</f>
        <v>VUELCO</v>
      </c>
      <c r="P396" s="64" t="str">
        <f>IFERROR(__xludf.DUMMYFUNCTION("""COMPUTED_VALUE"""),"DESPRENDIMIENTO")</f>
        <v>DESPRENDIMIENTO</v>
      </c>
      <c r="Q396" s="64" t="str">
        <f>IFERROR(__xludf.DUMMYFUNCTION("""COMPUTED_VALUE"""),"CAÍDA DE ÁRBOL")</f>
        <v>CAÍDA DE ÁRBOL</v>
      </c>
      <c r="R396" s="64" t="str">
        <f>IFERROR(__xludf.DUMMYFUNCTION("""COMPUTED_VALUE"""),"DESPRENDIMIENTO DE EJE")</f>
        <v>DESPRENDIMIENTO DE EJE</v>
      </c>
      <c r="S396" s="64" t="str">
        <f>IFERROR(__xludf.DUMMYFUNCTION("""COMPUTED_VALUE"""),"PERSONA ATROPELLADA")</f>
        <v>PERSONA ATROPELLADA</v>
      </c>
    </row>
    <row r="397">
      <c r="B397" s="64" t="s">
        <v>54</v>
      </c>
      <c r="C397" s="64" t="str">
        <f>IFERROR(__xludf.DUMMYFUNCTION(" TRANSPOSE( unique ( QUERY(DATOPRO,""select Col2 where Col1 = '""&amp;B397&amp;""'"")))"),"PINCHAZO")</f>
        <v>PINCHAZO</v>
      </c>
      <c r="D397" s="64" t="str">
        <f>IFERROR(__xludf.DUMMYFUNCTION("""COMPUTED_VALUE"""),"TRABAJOS DE CARRETERA")</f>
        <v>TRABAJOS DE CARRETERA</v>
      </c>
      <c r="E397" s="64" t="str">
        <f>IFERROR(__xludf.DUMMYFUNCTION("""COMPUTED_VALUE"""),"CONSIGNACIÓN")</f>
        <v>CONSIGNACIÓN</v>
      </c>
      <c r="F397" s="64" t="str">
        <f>IFERROR(__xludf.DUMMYFUNCTION("""COMPUTED_VALUE"""),"DERRAME")</f>
        <v>DERRAME</v>
      </c>
      <c r="G397" s="64" t="str">
        <f>IFERROR(__xludf.DUMMYFUNCTION("""COMPUTED_VALUE"""),"CALENTAMIENTO")</f>
        <v>CALENTAMIENTO</v>
      </c>
      <c r="H397" s="64" t="str">
        <f>IFERROR(__xludf.DUMMYFUNCTION("""COMPUTED_VALUE"""),"ESCOLTANDO")</f>
        <v>ESCOLTANDO</v>
      </c>
      <c r="I397" s="64" t="str">
        <f>IFERROR(__xludf.DUMMYFUNCTION("""COMPUTED_VALUE"""),"FALTA DE COMBUSTIBLE")</f>
        <v>FALTA DE COMBUSTIBLE</v>
      </c>
      <c r="J397" s="64" t="str">
        <f>IFERROR(__xludf.DUMMYFUNCTION("""COMPUTED_VALUE"""),"DESPERFECTOS MECÁNICOS")</f>
        <v>DESPERFECTOS MECÁNICOS</v>
      </c>
      <c r="K397" s="64" t="str">
        <f>IFERROR(__xludf.DUMMYFUNCTION("""COMPUTED_VALUE"""),"LLAMADA DE ATENCIÓN")</f>
        <v>LLAMADA DE ATENCIÓN</v>
      </c>
      <c r="L397" s="64" t="str">
        <f>IFERROR(__xludf.DUMMYFUNCTION("""COMPUTED_VALUE"""),"OPERATIVOS")</f>
        <v>OPERATIVOS</v>
      </c>
      <c r="M397" s="64" t="str">
        <f>IFERROR(__xludf.DUMMYFUNCTION("""COMPUTED_VALUE"""),"SANCIÓN")</f>
        <v>SANCIÓN</v>
      </c>
      <c r="N397" s="64" t="str">
        <f>IFERROR(__xludf.DUMMYFUNCTION("""COMPUTED_VALUE"""),"SISTEMA ELECTRICO")</f>
        <v>SISTEMA ELECTRICO</v>
      </c>
      <c r="O397" s="64" t="str">
        <f>IFERROR(__xludf.DUMMYFUNCTION("""COMPUTED_VALUE"""),"ASISTENCIA AL USUARIO")</f>
        <v>ASISTENCIA AL USUARIO</v>
      </c>
      <c r="P397" s="64" t="str">
        <f>IFERROR(__xludf.DUMMYFUNCTION("""COMPUTED_VALUE"""),"DOBLE REMOLQUE")</f>
        <v>DOBLE REMOLQUE</v>
      </c>
      <c r="Q397" s="64" t="str">
        <f>IFERROR(__xludf.DUMMYFUNCTION("""COMPUTED_VALUE"""),"SINAPRESE")</f>
        <v>SINAPRESE</v>
      </c>
      <c r="R397" s="64" t="str">
        <f>IFERROR(__xludf.DUMMYFUNCTION("""COMPUTED_VALUE"""),"APOYO ATLETISMO")</f>
        <v>APOYO ATLETISMO</v>
      </c>
      <c r="S397" s="64" t="str">
        <f>IFERROR(__xludf.DUMMYFUNCTION("""COMPUTED_VALUE"""),"APOYO A CICLISMO")</f>
        <v>APOYO A CICLISMO</v>
      </c>
      <c r="T397" s="64" t="str">
        <f>IFERROR(__xludf.DUMMYFUNCTION("""COMPUTED_VALUE"""),"DESCARGA DE BATERÍA")</f>
        <v>DESCARGA DE BATERÍA</v>
      </c>
      <c r="U397" s="64" t="str">
        <f>IFERROR(__xludf.DUMMYFUNCTION("""COMPUTED_VALUE"""),"PROBLEMAS DE SALUD")</f>
        <v>PROBLEMAS DE SALUD</v>
      </c>
      <c r="V397" s="64" t="str">
        <f>IFERROR(__xludf.DUMMYFUNCTION("""COMPUTED_VALUE"""),"OLVIDO LA LLAVE")</f>
        <v>OLVIDO LA LLAVE</v>
      </c>
      <c r="W397" s="64" t="str">
        <f>IFERROR(__xludf.DUMMYFUNCTION("""COMPUTED_VALUE"""),"CARGA SOBREDIMENSIONADA")</f>
        <v>CARGA SOBREDIMENSIONADA</v>
      </c>
      <c r="X397" s="64" t="str">
        <f>IFERROR(__xludf.DUMMYFUNCTION("""COMPUTED_VALUE"""),"VEHÍCULO ABANDONADO")</f>
        <v>VEHÍCULO ABANDONADO</v>
      </c>
      <c r="Y397" s="64" t="str">
        <f>IFERROR(__xludf.DUMMYFUNCTION("""COMPUTED_VALUE"""),"DESPRENDIMIENTO")</f>
        <v>DESPRENDIMIENTO</v>
      </c>
      <c r="Z397" s="64" t="str">
        <f>IFERROR(__xludf.DUMMYFUNCTION("""COMPUTED_VALUE"""),"CAÍDA DE POSTE")</f>
        <v>CAÍDA DE POSTE</v>
      </c>
      <c r="AA397" s="64" t="str">
        <f>IFERROR(__xludf.DUMMYFUNCTION("""COMPUTED_VALUE"""),"CAÍDA DE RAMA")</f>
        <v>CAÍDA DE RAMA</v>
      </c>
      <c r="AB397" s="64" t="str">
        <f>IFERROR(__xludf.DUMMYFUNCTION("""COMPUTED_VALUE"""),"OPERATIVO DGT")</f>
        <v>OPERATIVO DGT</v>
      </c>
      <c r="AC397" s="64" t="str">
        <f>IFERROR(__xludf.DUMMYFUNCTION("""COMPUTED_VALUE"""),"OPERATIVO PMT")</f>
        <v>OPERATIVO PMT</v>
      </c>
      <c r="AD397" s="64" t="str">
        <f>IFERROR(__xludf.DUMMYFUNCTION("""COMPUTED_VALUE"""),"APOYO A DIGEF")</f>
        <v>APOYO A DIGEF</v>
      </c>
      <c r="AE397" s="64" t="str">
        <f>IFERROR(__xludf.DUMMYFUNCTION("""COMPUTED_VALUE"""),"OPERATIVO PNC TRANSITO")</f>
        <v>OPERATIVO PNC TRANSITO</v>
      </c>
      <c r="AF397" s="64" t="str">
        <f>IFERROR(__xludf.DUMMYFUNCTION("""COMPUTED_VALUE"""),"SOBRECARGA ")</f>
        <v>SOBRECARGA </v>
      </c>
      <c r="AG397" s="64" t="str">
        <f>IFERROR(__xludf.DUMMYFUNCTION("""COMPUTED_VALUE"""),"OPERATIVO EN CONJUNTO")</f>
        <v>OPERATIVO EN CONJUNTO</v>
      </c>
      <c r="AH397" s="64" t="str">
        <f>IFERROR(__xludf.DUMMYFUNCTION("""COMPUTED_VALUE"""),"PUESTO DE ATENCION AL USUARIO")</f>
        <v>PUESTO DE ATENCION AL USUARIO</v>
      </c>
      <c r="AI397" s="64" t="str">
        <f>IFERROR(__xludf.DUMMYFUNCTION("""COMPUTED_VALUE"""),"INCENDIO EN RUTA")</f>
        <v>INCENDIO EN RUTA</v>
      </c>
      <c r="AJ397" s="64" t="str">
        <f>IFERROR(__xludf.DUMMYFUNCTION("""COMPUTED_VALUE"""),"APOYO ANTORCHA ")</f>
        <v>APOYO ANTORCHA </v>
      </c>
    </row>
    <row r="398">
      <c r="B398" s="64" t="s">
        <v>38</v>
      </c>
      <c r="C398" s="64" t="str">
        <f>IFERROR(__xludf.DUMMYFUNCTION(" TRANSPOSE( unique ( QUERY(DATOPRO,""select Col2 where Col1 = '""&amp;B398&amp;""'"")))"),"ATAQUE ARMADO")</f>
        <v>ATAQUE ARMADO</v>
      </c>
      <c r="D398" s="64" t="str">
        <f>IFERROR(__xludf.DUMMYFUNCTION("""COMPUTED_VALUE"""),"DESBALANCE DE CARGA")</f>
        <v>DESBALANCE DE CARGA</v>
      </c>
      <c r="E398" s="64" t="str">
        <f>IFERROR(__xludf.DUMMYFUNCTION("""COMPUTED_VALUE"""),"PERSONA FALLECIDA")</f>
        <v>PERSONA FALLECIDA</v>
      </c>
      <c r="F398" s="64" t="str">
        <f>IFERROR(__xludf.DUMMYFUNCTION("""COMPUTED_VALUE"""),"DESPRENDIMIENTO DE NEUMATICO")</f>
        <v>DESPRENDIMIENTO DE NEUMATICO</v>
      </c>
      <c r="G398" s="64" t="str">
        <f>IFERROR(__xludf.DUMMYFUNCTION("""COMPUTED_VALUE"""),"SALIDA DE PISTA")</f>
        <v>SALIDA DE PISTA</v>
      </c>
      <c r="H398" s="64" t="str">
        <f>IFERROR(__xludf.DUMMYFUNCTION("""COMPUTED_VALUE"""),"DESPRENDIMIENTO DE CONTENEDOR")</f>
        <v>DESPRENDIMIENTO DE CONTENEDOR</v>
      </c>
      <c r="I398" s="64" t="str">
        <f>IFERROR(__xludf.DUMMYFUNCTION("""COMPUTED_VALUE"""),"CAÍDA DE CARGA")</f>
        <v>CAÍDA DE CARGA</v>
      </c>
      <c r="J398" s="64" t="str">
        <f>IFERROR(__xludf.DUMMYFUNCTION("""COMPUTED_VALUE"""),"CHOQUE")</f>
        <v>CHOQUE</v>
      </c>
      <c r="K398" s="64" t="str">
        <f>IFERROR(__xludf.DUMMYFUNCTION("""COMPUTED_VALUE"""),"COLISIÓN")</f>
        <v>COLISIÓN</v>
      </c>
      <c r="L398" s="64" t="str">
        <f>IFERROR(__xludf.DUMMYFUNCTION("""COMPUTED_VALUE"""),"COLISIÓN MÚLTIPLE")</f>
        <v>COLISIÓN MÚLTIPLE</v>
      </c>
      <c r="M398" s="64" t="str">
        <f>IFERROR(__xludf.DUMMYFUNCTION("""COMPUTED_VALUE"""),"DERRAPE")</f>
        <v>DERRAPE</v>
      </c>
      <c r="N398" s="64" t="str">
        <f>IFERROR(__xludf.DUMMYFUNCTION("""COMPUTED_VALUE"""),"VEHÍCULO INCENDIADO")</f>
        <v>VEHÍCULO INCENDIADO</v>
      </c>
      <c r="O398" s="64" t="str">
        <f>IFERROR(__xludf.DUMMYFUNCTION("""COMPUTED_VALUE"""),"VUELCO")</f>
        <v>VUELCO</v>
      </c>
      <c r="P398" s="64" t="str">
        <f>IFERROR(__xludf.DUMMYFUNCTION("""COMPUTED_VALUE"""),"DESPRENDIMIENTO")</f>
        <v>DESPRENDIMIENTO</v>
      </c>
      <c r="Q398" s="64" t="str">
        <f>IFERROR(__xludf.DUMMYFUNCTION("""COMPUTED_VALUE"""),"CAÍDA DE ÁRBOL")</f>
        <v>CAÍDA DE ÁRBOL</v>
      </c>
      <c r="R398" s="64" t="str">
        <f>IFERROR(__xludf.DUMMYFUNCTION("""COMPUTED_VALUE"""),"DESPRENDIMIENTO DE EJE")</f>
        <v>DESPRENDIMIENTO DE EJE</v>
      </c>
      <c r="S398" s="64" t="str">
        <f>IFERROR(__xludf.DUMMYFUNCTION("""COMPUTED_VALUE"""),"PERSONA ATROPELLADA")</f>
        <v>PERSONA ATROPELLADA</v>
      </c>
    </row>
    <row r="399">
      <c r="B399" s="64" t="s">
        <v>54</v>
      </c>
      <c r="C399" s="64" t="str">
        <f>IFERROR(__xludf.DUMMYFUNCTION(" TRANSPOSE( unique ( QUERY(DATOPRO,""select Col2 where Col1 = '""&amp;B399&amp;""'"")))"),"PINCHAZO")</f>
        <v>PINCHAZO</v>
      </c>
      <c r="D399" s="64" t="str">
        <f>IFERROR(__xludf.DUMMYFUNCTION("""COMPUTED_VALUE"""),"TRABAJOS DE CARRETERA")</f>
        <v>TRABAJOS DE CARRETERA</v>
      </c>
      <c r="E399" s="64" t="str">
        <f>IFERROR(__xludf.DUMMYFUNCTION("""COMPUTED_VALUE"""),"CONSIGNACIÓN")</f>
        <v>CONSIGNACIÓN</v>
      </c>
      <c r="F399" s="64" t="str">
        <f>IFERROR(__xludf.DUMMYFUNCTION("""COMPUTED_VALUE"""),"DERRAME")</f>
        <v>DERRAME</v>
      </c>
      <c r="G399" s="64" t="str">
        <f>IFERROR(__xludf.DUMMYFUNCTION("""COMPUTED_VALUE"""),"CALENTAMIENTO")</f>
        <v>CALENTAMIENTO</v>
      </c>
      <c r="H399" s="64" t="str">
        <f>IFERROR(__xludf.DUMMYFUNCTION("""COMPUTED_VALUE"""),"ESCOLTANDO")</f>
        <v>ESCOLTANDO</v>
      </c>
      <c r="I399" s="64" t="str">
        <f>IFERROR(__xludf.DUMMYFUNCTION("""COMPUTED_VALUE"""),"FALTA DE COMBUSTIBLE")</f>
        <v>FALTA DE COMBUSTIBLE</v>
      </c>
      <c r="J399" s="64" t="str">
        <f>IFERROR(__xludf.DUMMYFUNCTION("""COMPUTED_VALUE"""),"DESPERFECTOS MECÁNICOS")</f>
        <v>DESPERFECTOS MECÁNICOS</v>
      </c>
      <c r="K399" s="64" t="str">
        <f>IFERROR(__xludf.DUMMYFUNCTION("""COMPUTED_VALUE"""),"LLAMADA DE ATENCIÓN")</f>
        <v>LLAMADA DE ATENCIÓN</v>
      </c>
      <c r="L399" s="64" t="str">
        <f>IFERROR(__xludf.DUMMYFUNCTION("""COMPUTED_VALUE"""),"OPERATIVOS")</f>
        <v>OPERATIVOS</v>
      </c>
      <c r="M399" s="64" t="str">
        <f>IFERROR(__xludf.DUMMYFUNCTION("""COMPUTED_VALUE"""),"SANCIÓN")</f>
        <v>SANCIÓN</v>
      </c>
      <c r="N399" s="64" t="str">
        <f>IFERROR(__xludf.DUMMYFUNCTION("""COMPUTED_VALUE"""),"SISTEMA ELECTRICO")</f>
        <v>SISTEMA ELECTRICO</v>
      </c>
      <c r="O399" s="64" t="str">
        <f>IFERROR(__xludf.DUMMYFUNCTION("""COMPUTED_VALUE"""),"ASISTENCIA AL USUARIO")</f>
        <v>ASISTENCIA AL USUARIO</v>
      </c>
      <c r="P399" s="64" t="str">
        <f>IFERROR(__xludf.DUMMYFUNCTION("""COMPUTED_VALUE"""),"DOBLE REMOLQUE")</f>
        <v>DOBLE REMOLQUE</v>
      </c>
      <c r="Q399" s="64" t="str">
        <f>IFERROR(__xludf.DUMMYFUNCTION("""COMPUTED_VALUE"""),"SINAPRESE")</f>
        <v>SINAPRESE</v>
      </c>
      <c r="R399" s="64" t="str">
        <f>IFERROR(__xludf.DUMMYFUNCTION("""COMPUTED_VALUE"""),"APOYO ATLETISMO")</f>
        <v>APOYO ATLETISMO</v>
      </c>
      <c r="S399" s="64" t="str">
        <f>IFERROR(__xludf.DUMMYFUNCTION("""COMPUTED_VALUE"""),"APOYO A CICLISMO")</f>
        <v>APOYO A CICLISMO</v>
      </c>
      <c r="T399" s="64" t="str">
        <f>IFERROR(__xludf.DUMMYFUNCTION("""COMPUTED_VALUE"""),"DESCARGA DE BATERÍA")</f>
        <v>DESCARGA DE BATERÍA</v>
      </c>
      <c r="U399" s="64" t="str">
        <f>IFERROR(__xludf.DUMMYFUNCTION("""COMPUTED_VALUE"""),"PROBLEMAS DE SALUD")</f>
        <v>PROBLEMAS DE SALUD</v>
      </c>
      <c r="V399" s="64" t="str">
        <f>IFERROR(__xludf.DUMMYFUNCTION("""COMPUTED_VALUE"""),"OLVIDO LA LLAVE")</f>
        <v>OLVIDO LA LLAVE</v>
      </c>
      <c r="W399" s="64" t="str">
        <f>IFERROR(__xludf.DUMMYFUNCTION("""COMPUTED_VALUE"""),"CARGA SOBREDIMENSIONADA")</f>
        <v>CARGA SOBREDIMENSIONADA</v>
      </c>
      <c r="X399" s="64" t="str">
        <f>IFERROR(__xludf.DUMMYFUNCTION("""COMPUTED_VALUE"""),"VEHÍCULO ABANDONADO")</f>
        <v>VEHÍCULO ABANDONADO</v>
      </c>
      <c r="Y399" s="64" t="str">
        <f>IFERROR(__xludf.DUMMYFUNCTION("""COMPUTED_VALUE"""),"DESPRENDIMIENTO")</f>
        <v>DESPRENDIMIENTO</v>
      </c>
      <c r="Z399" s="64" t="str">
        <f>IFERROR(__xludf.DUMMYFUNCTION("""COMPUTED_VALUE"""),"CAÍDA DE POSTE")</f>
        <v>CAÍDA DE POSTE</v>
      </c>
      <c r="AA399" s="64" t="str">
        <f>IFERROR(__xludf.DUMMYFUNCTION("""COMPUTED_VALUE"""),"CAÍDA DE RAMA")</f>
        <v>CAÍDA DE RAMA</v>
      </c>
      <c r="AB399" s="64" t="str">
        <f>IFERROR(__xludf.DUMMYFUNCTION("""COMPUTED_VALUE"""),"OPERATIVO DGT")</f>
        <v>OPERATIVO DGT</v>
      </c>
      <c r="AC399" s="64" t="str">
        <f>IFERROR(__xludf.DUMMYFUNCTION("""COMPUTED_VALUE"""),"OPERATIVO PMT")</f>
        <v>OPERATIVO PMT</v>
      </c>
      <c r="AD399" s="64" t="str">
        <f>IFERROR(__xludf.DUMMYFUNCTION("""COMPUTED_VALUE"""),"APOYO A DIGEF")</f>
        <v>APOYO A DIGEF</v>
      </c>
      <c r="AE399" s="64" t="str">
        <f>IFERROR(__xludf.DUMMYFUNCTION("""COMPUTED_VALUE"""),"OPERATIVO PNC TRANSITO")</f>
        <v>OPERATIVO PNC TRANSITO</v>
      </c>
      <c r="AF399" s="64" t="str">
        <f>IFERROR(__xludf.DUMMYFUNCTION("""COMPUTED_VALUE"""),"SOBRECARGA ")</f>
        <v>SOBRECARGA </v>
      </c>
      <c r="AG399" s="64" t="str">
        <f>IFERROR(__xludf.DUMMYFUNCTION("""COMPUTED_VALUE"""),"OPERATIVO EN CONJUNTO")</f>
        <v>OPERATIVO EN CONJUNTO</v>
      </c>
      <c r="AH399" s="64" t="str">
        <f>IFERROR(__xludf.DUMMYFUNCTION("""COMPUTED_VALUE"""),"PUESTO DE ATENCION AL USUARIO")</f>
        <v>PUESTO DE ATENCION AL USUARIO</v>
      </c>
      <c r="AI399" s="64" t="str">
        <f>IFERROR(__xludf.DUMMYFUNCTION("""COMPUTED_VALUE"""),"INCENDIO EN RUTA")</f>
        <v>INCENDIO EN RUTA</v>
      </c>
      <c r="AJ399" s="64" t="str">
        <f>IFERROR(__xludf.DUMMYFUNCTION("""COMPUTED_VALUE"""),"APOYO ANTORCHA ")</f>
        <v>APOYO ANTORCHA </v>
      </c>
    </row>
    <row r="400">
      <c r="B400" s="64"/>
      <c r="C400" s="64" t="str">
        <f>IFERROR(__xludf.DUMMYFUNCTION(" TRANSPOSE( unique ( QUERY(DATOPRO,""select Col2 where Col1 = '""&amp;B400&amp;""'"")))"),"")</f>
        <v/>
      </c>
    </row>
    <row r="401">
      <c r="B401" s="64" t="s">
        <v>38</v>
      </c>
      <c r="C401" s="64" t="str">
        <f>IFERROR(__xludf.DUMMYFUNCTION(" TRANSPOSE( unique ( QUERY(DATOPRO,""select Col2 where Col1 = '""&amp;B401&amp;""'"")))"),"ATAQUE ARMADO")</f>
        <v>ATAQUE ARMADO</v>
      </c>
      <c r="D401" s="64" t="str">
        <f>IFERROR(__xludf.DUMMYFUNCTION("""COMPUTED_VALUE"""),"DESBALANCE DE CARGA")</f>
        <v>DESBALANCE DE CARGA</v>
      </c>
      <c r="E401" s="64" t="str">
        <f>IFERROR(__xludf.DUMMYFUNCTION("""COMPUTED_VALUE"""),"PERSONA FALLECIDA")</f>
        <v>PERSONA FALLECIDA</v>
      </c>
      <c r="F401" s="64" t="str">
        <f>IFERROR(__xludf.DUMMYFUNCTION("""COMPUTED_VALUE"""),"DESPRENDIMIENTO DE NEUMATICO")</f>
        <v>DESPRENDIMIENTO DE NEUMATICO</v>
      </c>
      <c r="G401" s="64" t="str">
        <f>IFERROR(__xludf.DUMMYFUNCTION("""COMPUTED_VALUE"""),"SALIDA DE PISTA")</f>
        <v>SALIDA DE PISTA</v>
      </c>
      <c r="H401" s="64" t="str">
        <f>IFERROR(__xludf.DUMMYFUNCTION("""COMPUTED_VALUE"""),"DESPRENDIMIENTO DE CONTENEDOR")</f>
        <v>DESPRENDIMIENTO DE CONTENEDOR</v>
      </c>
      <c r="I401" s="64" t="str">
        <f>IFERROR(__xludf.DUMMYFUNCTION("""COMPUTED_VALUE"""),"CAÍDA DE CARGA")</f>
        <v>CAÍDA DE CARGA</v>
      </c>
      <c r="J401" s="64" t="str">
        <f>IFERROR(__xludf.DUMMYFUNCTION("""COMPUTED_VALUE"""),"CHOQUE")</f>
        <v>CHOQUE</v>
      </c>
      <c r="K401" s="64" t="str">
        <f>IFERROR(__xludf.DUMMYFUNCTION("""COMPUTED_VALUE"""),"COLISIÓN")</f>
        <v>COLISIÓN</v>
      </c>
      <c r="L401" s="64" t="str">
        <f>IFERROR(__xludf.DUMMYFUNCTION("""COMPUTED_VALUE"""),"COLISIÓN MÚLTIPLE")</f>
        <v>COLISIÓN MÚLTIPLE</v>
      </c>
      <c r="M401" s="64" t="str">
        <f>IFERROR(__xludf.DUMMYFUNCTION("""COMPUTED_VALUE"""),"DERRAPE")</f>
        <v>DERRAPE</v>
      </c>
      <c r="N401" s="64" t="str">
        <f>IFERROR(__xludf.DUMMYFUNCTION("""COMPUTED_VALUE"""),"VEHÍCULO INCENDIADO")</f>
        <v>VEHÍCULO INCENDIADO</v>
      </c>
      <c r="O401" s="64" t="str">
        <f>IFERROR(__xludf.DUMMYFUNCTION("""COMPUTED_VALUE"""),"VUELCO")</f>
        <v>VUELCO</v>
      </c>
      <c r="P401" s="64" t="str">
        <f>IFERROR(__xludf.DUMMYFUNCTION("""COMPUTED_VALUE"""),"DESPRENDIMIENTO")</f>
        <v>DESPRENDIMIENTO</v>
      </c>
      <c r="Q401" s="64" t="str">
        <f>IFERROR(__xludf.DUMMYFUNCTION("""COMPUTED_VALUE"""),"CAÍDA DE ÁRBOL")</f>
        <v>CAÍDA DE ÁRBOL</v>
      </c>
      <c r="R401" s="64" t="str">
        <f>IFERROR(__xludf.DUMMYFUNCTION("""COMPUTED_VALUE"""),"DESPRENDIMIENTO DE EJE")</f>
        <v>DESPRENDIMIENTO DE EJE</v>
      </c>
      <c r="S401" s="64" t="str">
        <f>IFERROR(__xludf.DUMMYFUNCTION("""COMPUTED_VALUE"""),"PERSONA ATROPELLADA")</f>
        <v>PERSONA ATROPELLADA</v>
      </c>
    </row>
    <row r="402">
      <c r="B402" s="64" t="s">
        <v>54</v>
      </c>
      <c r="C402" s="64" t="str">
        <f>IFERROR(__xludf.DUMMYFUNCTION(" TRANSPOSE( unique ( QUERY(DATOPRO,""select Col2 where Col1 = '""&amp;B402&amp;""'"")))"),"PINCHAZO")</f>
        <v>PINCHAZO</v>
      </c>
      <c r="D402" s="64" t="str">
        <f>IFERROR(__xludf.DUMMYFUNCTION("""COMPUTED_VALUE"""),"TRABAJOS DE CARRETERA")</f>
        <v>TRABAJOS DE CARRETERA</v>
      </c>
      <c r="E402" s="64" t="str">
        <f>IFERROR(__xludf.DUMMYFUNCTION("""COMPUTED_VALUE"""),"CONSIGNACIÓN")</f>
        <v>CONSIGNACIÓN</v>
      </c>
      <c r="F402" s="64" t="str">
        <f>IFERROR(__xludf.DUMMYFUNCTION("""COMPUTED_VALUE"""),"DERRAME")</f>
        <v>DERRAME</v>
      </c>
      <c r="G402" s="64" t="str">
        <f>IFERROR(__xludf.DUMMYFUNCTION("""COMPUTED_VALUE"""),"CALENTAMIENTO")</f>
        <v>CALENTAMIENTO</v>
      </c>
      <c r="H402" s="64" t="str">
        <f>IFERROR(__xludf.DUMMYFUNCTION("""COMPUTED_VALUE"""),"ESCOLTANDO")</f>
        <v>ESCOLTANDO</v>
      </c>
      <c r="I402" s="64" t="str">
        <f>IFERROR(__xludf.DUMMYFUNCTION("""COMPUTED_VALUE"""),"FALTA DE COMBUSTIBLE")</f>
        <v>FALTA DE COMBUSTIBLE</v>
      </c>
      <c r="J402" s="64" t="str">
        <f>IFERROR(__xludf.DUMMYFUNCTION("""COMPUTED_VALUE"""),"DESPERFECTOS MECÁNICOS")</f>
        <v>DESPERFECTOS MECÁNICOS</v>
      </c>
      <c r="K402" s="64" t="str">
        <f>IFERROR(__xludf.DUMMYFUNCTION("""COMPUTED_VALUE"""),"LLAMADA DE ATENCIÓN")</f>
        <v>LLAMADA DE ATENCIÓN</v>
      </c>
      <c r="L402" s="64" t="str">
        <f>IFERROR(__xludf.DUMMYFUNCTION("""COMPUTED_VALUE"""),"OPERATIVOS")</f>
        <v>OPERATIVOS</v>
      </c>
      <c r="M402" s="64" t="str">
        <f>IFERROR(__xludf.DUMMYFUNCTION("""COMPUTED_VALUE"""),"SANCIÓN")</f>
        <v>SANCIÓN</v>
      </c>
      <c r="N402" s="64" t="str">
        <f>IFERROR(__xludf.DUMMYFUNCTION("""COMPUTED_VALUE"""),"SISTEMA ELECTRICO")</f>
        <v>SISTEMA ELECTRICO</v>
      </c>
      <c r="O402" s="64" t="str">
        <f>IFERROR(__xludf.DUMMYFUNCTION("""COMPUTED_VALUE"""),"ASISTENCIA AL USUARIO")</f>
        <v>ASISTENCIA AL USUARIO</v>
      </c>
      <c r="P402" s="64" t="str">
        <f>IFERROR(__xludf.DUMMYFUNCTION("""COMPUTED_VALUE"""),"DOBLE REMOLQUE")</f>
        <v>DOBLE REMOLQUE</v>
      </c>
      <c r="Q402" s="64" t="str">
        <f>IFERROR(__xludf.DUMMYFUNCTION("""COMPUTED_VALUE"""),"SINAPRESE")</f>
        <v>SINAPRESE</v>
      </c>
      <c r="R402" s="64" t="str">
        <f>IFERROR(__xludf.DUMMYFUNCTION("""COMPUTED_VALUE"""),"APOYO ATLETISMO")</f>
        <v>APOYO ATLETISMO</v>
      </c>
      <c r="S402" s="64" t="str">
        <f>IFERROR(__xludf.DUMMYFUNCTION("""COMPUTED_VALUE"""),"APOYO A CICLISMO")</f>
        <v>APOYO A CICLISMO</v>
      </c>
      <c r="T402" s="64" t="str">
        <f>IFERROR(__xludf.DUMMYFUNCTION("""COMPUTED_VALUE"""),"DESCARGA DE BATERÍA")</f>
        <v>DESCARGA DE BATERÍA</v>
      </c>
      <c r="U402" s="64" t="str">
        <f>IFERROR(__xludf.DUMMYFUNCTION("""COMPUTED_VALUE"""),"PROBLEMAS DE SALUD")</f>
        <v>PROBLEMAS DE SALUD</v>
      </c>
      <c r="V402" s="64" t="str">
        <f>IFERROR(__xludf.DUMMYFUNCTION("""COMPUTED_VALUE"""),"OLVIDO LA LLAVE")</f>
        <v>OLVIDO LA LLAVE</v>
      </c>
      <c r="W402" s="64" t="str">
        <f>IFERROR(__xludf.DUMMYFUNCTION("""COMPUTED_VALUE"""),"CARGA SOBREDIMENSIONADA")</f>
        <v>CARGA SOBREDIMENSIONADA</v>
      </c>
      <c r="X402" s="64" t="str">
        <f>IFERROR(__xludf.DUMMYFUNCTION("""COMPUTED_VALUE"""),"VEHÍCULO ABANDONADO")</f>
        <v>VEHÍCULO ABANDONADO</v>
      </c>
      <c r="Y402" s="64" t="str">
        <f>IFERROR(__xludf.DUMMYFUNCTION("""COMPUTED_VALUE"""),"DESPRENDIMIENTO")</f>
        <v>DESPRENDIMIENTO</v>
      </c>
      <c r="Z402" s="64" t="str">
        <f>IFERROR(__xludf.DUMMYFUNCTION("""COMPUTED_VALUE"""),"CAÍDA DE POSTE")</f>
        <v>CAÍDA DE POSTE</v>
      </c>
      <c r="AA402" s="64" t="str">
        <f>IFERROR(__xludf.DUMMYFUNCTION("""COMPUTED_VALUE"""),"CAÍDA DE RAMA")</f>
        <v>CAÍDA DE RAMA</v>
      </c>
      <c r="AB402" s="64" t="str">
        <f>IFERROR(__xludf.DUMMYFUNCTION("""COMPUTED_VALUE"""),"OPERATIVO DGT")</f>
        <v>OPERATIVO DGT</v>
      </c>
      <c r="AC402" s="64" t="str">
        <f>IFERROR(__xludf.DUMMYFUNCTION("""COMPUTED_VALUE"""),"OPERATIVO PMT")</f>
        <v>OPERATIVO PMT</v>
      </c>
      <c r="AD402" s="64" t="str">
        <f>IFERROR(__xludf.DUMMYFUNCTION("""COMPUTED_VALUE"""),"APOYO A DIGEF")</f>
        <v>APOYO A DIGEF</v>
      </c>
      <c r="AE402" s="64" t="str">
        <f>IFERROR(__xludf.DUMMYFUNCTION("""COMPUTED_VALUE"""),"OPERATIVO PNC TRANSITO")</f>
        <v>OPERATIVO PNC TRANSITO</v>
      </c>
      <c r="AF402" s="64" t="str">
        <f>IFERROR(__xludf.DUMMYFUNCTION("""COMPUTED_VALUE"""),"SOBRECARGA ")</f>
        <v>SOBRECARGA </v>
      </c>
      <c r="AG402" s="64" t="str">
        <f>IFERROR(__xludf.DUMMYFUNCTION("""COMPUTED_VALUE"""),"OPERATIVO EN CONJUNTO")</f>
        <v>OPERATIVO EN CONJUNTO</v>
      </c>
      <c r="AH402" s="64" t="str">
        <f>IFERROR(__xludf.DUMMYFUNCTION("""COMPUTED_VALUE"""),"PUESTO DE ATENCION AL USUARIO")</f>
        <v>PUESTO DE ATENCION AL USUARIO</v>
      </c>
      <c r="AI402" s="64" t="str">
        <f>IFERROR(__xludf.DUMMYFUNCTION("""COMPUTED_VALUE"""),"INCENDIO EN RUTA")</f>
        <v>INCENDIO EN RUTA</v>
      </c>
      <c r="AJ402" s="64" t="str">
        <f>IFERROR(__xludf.DUMMYFUNCTION("""COMPUTED_VALUE"""),"APOYO ANTORCHA ")</f>
        <v>APOYO ANTORCHA </v>
      </c>
    </row>
    <row r="403">
      <c r="B403" s="64" t="s">
        <v>54</v>
      </c>
      <c r="C403" s="64" t="str">
        <f>IFERROR(__xludf.DUMMYFUNCTION(" TRANSPOSE( unique ( QUERY(DATOPRO,""select Col2 where Col1 = '""&amp;B403&amp;""'"")))"),"PINCHAZO")</f>
        <v>PINCHAZO</v>
      </c>
      <c r="D403" s="64" t="str">
        <f>IFERROR(__xludf.DUMMYFUNCTION("""COMPUTED_VALUE"""),"TRABAJOS DE CARRETERA")</f>
        <v>TRABAJOS DE CARRETERA</v>
      </c>
      <c r="E403" s="64" t="str">
        <f>IFERROR(__xludf.DUMMYFUNCTION("""COMPUTED_VALUE"""),"CONSIGNACIÓN")</f>
        <v>CONSIGNACIÓN</v>
      </c>
      <c r="F403" s="64" t="str">
        <f>IFERROR(__xludf.DUMMYFUNCTION("""COMPUTED_VALUE"""),"DERRAME")</f>
        <v>DERRAME</v>
      </c>
      <c r="G403" s="64" t="str">
        <f>IFERROR(__xludf.DUMMYFUNCTION("""COMPUTED_VALUE"""),"CALENTAMIENTO")</f>
        <v>CALENTAMIENTO</v>
      </c>
      <c r="H403" s="64" t="str">
        <f>IFERROR(__xludf.DUMMYFUNCTION("""COMPUTED_VALUE"""),"ESCOLTANDO")</f>
        <v>ESCOLTANDO</v>
      </c>
      <c r="I403" s="64" t="str">
        <f>IFERROR(__xludf.DUMMYFUNCTION("""COMPUTED_VALUE"""),"FALTA DE COMBUSTIBLE")</f>
        <v>FALTA DE COMBUSTIBLE</v>
      </c>
      <c r="J403" s="64" t="str">
        <f>IFERROR(__xludf.DUMMYFUNCTION("""COMPUTED_VALUE"""),"DESPERFECTOS MECÁNICOS")</f>
        <v>DESPERFECTOS MECÁNICOS</v>
      </c>
      <c r="K403" s="64" t="str">
        <f>IFERROR(__xludf.DUMMYFUNCTION("""COMPUTED_VALUE"""),"LLAMADA DE ATENCIÓN")</f>
        <v>LLAMADA DE ATENCIÓN</v>
      </c>
      <c r="L403" s="64" t="str">
        <f>IFERROR(__xludf.DUMMYFUNCTION("""COMPUTED_VALUE"""),"OPERATIVOS")</f>
        <v>OPERATIVOS</v>
      </c>
      <c r="M403" s="64" t="str">
        <f>IFERROR(__xludf.DUMMYFUNCTION("""COMPUTED_VALUE"""),"SANCIÓN")</f>
        <v>SANCIÓN</v>
      </c>
      <c r="N403" s="64" t="str">
        <f>IFERROR(__xludf.DUMMYFUNCTION("""COMPUTED_VALUE"""),"SISTEMA ELECTRICO")</f>
        <v>SISTEMA ELECTRICO</v>
      </c>
      <c r="O403" s="64" t="str">
        <f>IFERROR(__xludf.DUMMYFUNCTION("""COMPUTED_VALUE"""),"ASISTENCIA AL USUARIO")</f>
        <v>ASISTENCIA AL USUARIO</v>
      </c>
      <c r="P403" s="64" t="str">
        <f>IFERROR(__xludf.DUMMYFUNCTION("""COMPUTED_VALUE"""),"DOBLE REMOLQUE")</f>
        <v>DOBLE REMOLQUE</v>
      </c>
      <c r="Q403" s="64" t="str">
        <f>IFERROR(__xludf.DUMMYFUNCTION("""COMPUTED_VALUE"""),"SINAPRESE")</f>
        <v>SINAPRESE</v>
      </c>
      <c r="R403" s="64" t="str">
        <f>IFERROR(__xludf.DUMMYFUNCTION("""COMPUTED_VALUE"""),"APOYO ATLETISMO")</f>
        <v>APOYO ATLETISMO</v>
      </c>
      <c r="S403" s="64" t="str">
        <f>IFERROR(__xludf.DUMMYFUNCTION("""COMPUTED_VALUE"""),"APOYO A CICLISMO")</f>
        <v>APOYO A CICLISMO</v>
      </c>
      <c r="T403" s="64" t="str">
        <f>IFERROR(__xludf.DUMMYFUNCTION("""COMPUTED_VALUE"""),"DESCARGA DE BATERÍA")</f>
        <v>DESCARGA DE BATERÍA</v>
      </c>
      <c r="U403" s="64" t="str">
        <f>IFERROR(__xludf.DUMMYFUNCTION("""COMPUTED_VALUE"""),"PROBLEMAS DE SALUD")</f>
        <v>PROBLEMAS DE SALUD</v>
      </c>
      <c r="V403" s="64" t="str">
        <f>IFERROR(__xludf.DUMMYFUNCTION("""COMPUTED_VALUE"""),"OLVIDO LA LLAVE")</f>
        <v>OLVIDO LA LLAVE</v>
      </c>
      <c r="W403" s="64" t="str">
        <f>IFERROR(__xludf.DUMMYFUNCTION("""COMPUTED_VALUE"""),"CARGA SOBREDIMENSIONADA")</f>
        <v>CARGA SOBREDIMENSIONADA</v>
      </c>
      <c r="X403" s="64" t="str">
        <f>IFERROR(__xludf.DUMMYFUNCTION("""COMPUTED_VALUE"""),"VEHÍCULO ABANDONADO")</f>
        <v>VEHÍCULO ABANDONADO</v>
      </c>
      <c r="Y403" s="64" t="str">
        <f>IFERROR(__xludf.DUMMYFUNCTION("""COMPUTED_VALUE"""),"DESPRENDIMIENTO")</f>
        <v>DESPRENDIMIENTO</v>
      </c>
      <c r="Z403" s="64" t="str">
        <f>IFERROR(__xludf.DUMMYFUNCTION("""COMPUTED_VALUE"""),"CAÍDA DE POSTE")</f>
        <v>CAÍDA DE POSTE</v>
      </c>
      <c r="AA403" s="64" t="str">
        <f>IFERROR(__xludf.DUMMYFUNCTION("""COMPUTED_VALUE"""),"CAÍDA DE RAMA")</f>
        <v>CAÍDA DE RAMA</v>
      </c>
      <c r="AB403" s="64" t="str">
        <f>IFERROR(__xludf.DUMMYFUNCTION("""COMPUTED_VALUE"""),"OPERATIVO DGT")</f>
        <v>OPERATIVO DGT</v>
      </c>
      <c r="AC403" s="64" t="str">
        <f>IFERROR(__xludf.DUMMYFUNCTION("""COMPUTED_VALUE"""),"OPERATIVO PMT")</f>
        <v>OPERATIVO PMT</v>
      </c>
      <c r="AD403" s="64" t="str">
        <f>IFERROR(__xludf.DUMMYFUNCTION("""COMPUTED_VALUE"""),"APOYO A DIGEF")</f>
        <v>APOYO A DIGEF</v>
      </c>
      <c r="AE403" s="64" t="str">
        <f>IFERROR(__xludf.DUMMYFUNCTION("""COMPUTED_VALUE"""),"OPERATIVO PNC TRANSITO")</f>
        <v>OPERATIVO PNC TRANSITO</v>
      </c>
      <c r="AF403" s="64" t="str">
        <f>IFERROR(__xludf.DUMMYFUNCTION("""COMPUTED_VALUE"""),"SOBRECARGA ")</f>
        <v>SOBRECARGA </v>
      </c>
      <c r="AG403" s="64" t="str">
        <f>IFERROR(__xludf.DUMMYFUNCTION("""COMPUTED_VALUE"""),"OPERATIVO EN CONJUNTO")</f>
        <v>OPERATIVO EN CONJUNTO</v>
      </c>
      <c r="AH403" s="64" t="str">
        <f>IFERROR(__xludf.DUMMYFUNCTION("""COMPUTED_VALUE"""),"PUESTO DE ATENCION AL USUARIO")</f>
        <v>PUESTO DE ATENCION AL USUARIO</v>
      </c>
      <c r="AI403" s="64" t="str">
        <f>IFERROR(__xludf.DUMMYFUNCTION("""COMPUTED_VALUE"""),"INCENDIO EN RUTA")</f>
        <v>INCENDIO EN RUTA</v>
      </c>
      <c r="AJ403" s="64" t="str">
        <f>IFERROR(__xludf.DUMMYFUNCTION("""COMPUTED_VALUE"""),"APOYO ANTORCHA ")</f>
        <v>APOYO ANTORCHA </v>
      </c>
    </row>
    <row r="404">
      <c r="B404" s="64" t="s">
        <v>38</v>
      </c>
      <c r="C404" s="64" t="str">
        <f>IFERROR(__xludf.DUMMYFUNCTION(" TRANSPOSE( unique ( QUERY(DATOPRO,""select Col2 where Col1 = '""&amp;B404&amp;""'"")))"),"ATAQUE ARMADO")</f>
        <v>ATAQUE ARMADO</v>
      </c>
      <c r="D404" s="64" t="str">
        <f>IFERROR(__xludf.DUMMYFUNCTION("""COMPUTED_VALUE"""),"DESBALANCE DE CARGA")</f>
        <v>DESBALANCE DE CARGA</v>
      </c>
      <c r="E404" s="64" t="str">
        <f>IFERROR(__xludf.DUMMYFUNCTION("""COMPUTED_VALUE"""),"PERSONA FALLECIDA")</f>
        <v>PERSONA FALLECIDA</v>
      </c>
      <c r="F404" s="64" t="str">
        <f>IFERROR(__xludf.DUMMYFUNCTION("""COMPUTED_VALUE"""),"DESPRENDIMIENTO DE NEUMATICO")</f>
        <v>DESPRENDIMIENTO DE NEUMATICO</v>
      </c>
      <c r="G404" s="64" t="str">
        <f>IFERROR(__xludf.DUMMYFUNCTION("""COMPUTED_VALUE"""),"SALIDA DE PISTA")</f>
        <v>SALIDA DE PISTA</v>
      </c>
      <c r="H404" s="64" t="str">
        <f>IFERROR(__xludf.DUMMYFUNCTION("""COMPUTED_VALUE"""),"DESPRENDIMIENTO DE CONTENEDOR")</f>
        <v>DESPRENDIMIENTO DE CONTENEDOR</v>
      </c>
      <c r="I404" s="64" t="str">
        <f>IFERROR(__xludf.DUMMYFUNCTION("""COMPUTED_VALUE"""),"CAÍDA DE CARGA")</f>
        <v>CAÍDA DE CARGA</v>
      </c>
      <c r="J404" s="64" t="str">
        <f>IFERROR(__xludf.DUMMYFUNCTION("""COMPUTED_VALUE"""),"CHOQUE")</f>
        <v>CHOQUE</v>
      </c>
      <c r="K404" s="64" t="str">
        <f>IFERROR(__xludf.DUMMYFUNCTION("""COMPUTED_VALUE"""),"COLISIÓN")</f>
        <v>COLISIÓN</v>
      </c>
      <c r="L404" s="64" t="str">
        <f>IFERROR(__xludf.DUMMYFUNCTION("""COMPUTED_VALUE"""),"COLISIÓN MÚLTIPLE")</f>
        <v>COLISIÓN MÚLTIPLE</v>
      </c>
      <c r="M404" s="64" t="str">
        <f>IFERROR(__xludf.DUMMYFUNCTION("""COMPUTED_VALUE"""),"DERRAPE")</f>
        <v>DERRAPE</v>
      </c>
      <c r="N404" s="64" t="str">
        <f>IFERROR(__xludf.DUMMYFUNCTION("""COMPUTED_VALUE"""),"VEHÍCULO INCENDIADO")</f>
        <v>VEHÍCULO INCENDIADO</v>
      </c>
      <c r="O404" s="64" t="str">
        <f>IFERROR(__xludf.DUMMYFUNCTION("""COMPUTED_VALUE"""),"VUELCO")</f>
        <v>VUELCO</v>
      </c>
      <c r="P404" s="64" t="str">
        <f>IFERROR(__xludf.DUMMYFUNCTION("""COMPUTED_VALUE"""),"DESPRENDIMIENTO")</f>
        <v>DESPRENDIMIENTO</v>
      </c>
      <c r="Q404" s="64" t="str">
        <f>IFERROR(__xludf.DUMMYFUNCTION("""COMPUTED_VALUE"""),"CAÍDA DE ÁRBOL")</f>
        <v>CAÍDA DE ÁRBOL</v>
      </c>
      <c r="R404" s="64" t="str">
        <f>IFERROR(__xludf.DUMMYFUNCTION("""COMPUTED_VALUE"""),"DESPRENDIMIENTO DE EJE")</f>
        <v>DESPRENDIMIENTO DE EJE</v>
      </c>
      <c r="S404" s="64" t="str">
        <f>IFERROR(__xludf.DUMMYFUNCTION("""COMPUTED_VALUE"""),"PERSONA ATROPELLADA")</f>
        <v>PERSONA ATROPELLADA</v>
      </c>
    </row>
    <row r="405">
      <c r="B405" s="64" t="s">
        <v>38</v>
      </c>
      <c r="C405" s="64" t="str">
        <f>IFERROR(__xludf.DUMMYFUNCTION(" TRANSPOSE( unique ( QUERY(DATOPRO,""select Col2 where Col1 = '""&amp;B405&amp;""'"")))"),"ATAQUE ARMADO")</f>
        <v>ATAQUE ARMADO</v>
      </c>
      <c r="D405" s="64" t="str">
        <f>IFERROR(__xludf.DUMMYFUNCTION("""COMPUTED_VALUE"""),"DESBALANCE DE CARGA")</f>
        <v>DESBALANCE DE CARGA</v>
      </c>
      <c r="E405" s="64" t="str">
        <f>IFERROR(__xludf.DUMMYFUNCTION("""COMPUTED_VALUE"""),"PERSONA FALLECIDA")</f>
        <v>PERSONA FALLECIDA</v>
      </c>
      <c r="F405" s="64" t="str">
        <f>IFERROR(__xludf.DUMMYFUNCTION("""COMPUTED_VALUE"""),"DESPRENDIMIENTO DE NEUMATICO")</f>
        <v>DESPRENDIMIENTO DE NEUMATICO</v>
      </c>
      <c r="G405" s="64" t="str">
        <f>IFERROR(__xludf.DUMMYFUNCTION("""COMPUTED_VALUE"""),"SALIDA DE PISTA")</f>
        <v>SALIDA DE PISTA</v>
      </c>
      <c r="H405" s="64" t="str">
        <f>IFERROR(__xludf.DUMMYFUNCTION("""COMPUTED_VALUE"""),"DESPRENDIMIENTO DE CONTENEDOR")</f>
        <v>DESPRENDIMIENTO DE CONTENEDOR</v>
      </c>
      <c r="I405" s="64" t="str">
        <f>IFERROR(__xludf.DUMMYFUNCTION("""COMPUTED_VALUE"""),"CAÍDA DE CARGA")</f>
        <v>CAÍDA DE CARGA</v>
      </c>
      <c r="J405" s="64" t="str">
        <f>IFERROR(__xludf.DUMMYFUNCTION("""COMPUTED_VALUE"""),"CHOQUE")</f>
        <v>CHOQUE</v>
      </c>
      <c r="K405" s="64" t="str">
        <f>IFERROR(__xludf.DUMMYFUNCTION("""COMPUTED_VALUE"""),"COLISIÓN")</f>
        <v>COLISIÓN</v>
      </c>
      <c r="L405" s="64" t="str">
        <f>IFERROR(__xludf.DUMMYFUNCTION("""COMPUTED_VALUE"""),"COLISIÓN MÚLTIPLE")</f>
        <v>COLISIÓN MÚLTIPLE</v>
      </c>
      <c r="M405" s="64" t="str">
        <f>IFERROR(__xludf.DUMMYFUNCTION("""COMPUTED_VALUE"""),"DERRAPE")</f>
        <v>DERRAPE</v>
      </c>
      <c r="N405" s="64" t="str">
        <f>IFERROR(__xludf.DUMMYFUNCTION("""COMPUTED_VALUE"""),"VEHÍCULO INCENDIADO")</f>
        <v>VEHÍCULO INCENDIADO</v>
      </c>
      <c r="O405" s="64" t="str">
        <f>IFERROR(__xludf.DUMMYFUNCTION("""COMPUTED_VALUE"""),"VUELCO")</f>
        <v>VUELCO</v>
      </c>
      <c r="P405" s="64" t="str">
        <f>IFERROR(__xludf.DUMMYFUNCTION("""COMPUTED_VALUE"""),"DESPRENDIMIENTO")</f>
        <v>DESPRENDIMIENTO</v>
      </c>
      <c r="Q405" s="64" t="str">
        <f>IFERROR(__xludf.DUMMYFUNCTION("""COMPUTED_VALUE"""),"CAÍDA DE ÁRBOL")</f>
        <v>CAÍDA DE ÁRBOL</v>
      </c>
      <c r="R405" s="64" t="str">
        <f>IFERROR(__xludf.DUMMYFUNCTION("""COMPUTED_VALUE"""),"DESPRENDIMIENTO DE EJE")</f>
        <v>DESPRENDIMIENTO DE EJE</v>
      </c>
      <c r="S405" s="64" t="str">
        <f>IFERROR(__xludf.DUMMYFUNCTION("""COMPUTED_VALUE"""),"PERSONA ATROPELLADA")</f>
        <v>PERSONA ATROPELLADA</v>
      </c>
    </row>
    <row r="406">
      <c r="B406" s="64"/>
      <c r="C406" s="64" t="str">
        <f>IFERROR(__xludf.DUMMYFUNCTION(" TRANSPOSE( unique ( QUERY(DATOPRO,""select Col2 where Col1 = '""&amp;B406&amp;""'"")))"),"")</f>
        <v/>
      </c>
    </row>
    <row r="407">
      <c r="B407" s="64" t="s">
        <v>38</v>
      </c>
      <c r="C407" s="64" t="str">
        <f>IFERROR(__xludf.DUMMYFUNCTION(" TRANSPOSE( unique ( QUERY(DATOPRO,""select Col2 where Col1 = '""&amp;B407&amp;""'"")))"),"ATAQUE ARMADO")</f>
        <v>ATAQUE ARMADO</v>
      </c>
      <c r="D407" s="64" t="str">
        <f>IFERROR(__xludf.DUMMYFUNCTION("""COMPUTED_VALUE"""),"DESBALANCE DE CARGA")</f>
        <v>DESBALANCE DE CARGA</v>
      </c>
      <c r="E407" s="64" t="str">
        <f>IFERROR(__xludf.DUMMYFUNCTION("""COMPUTED_VALUE"""),"PERSONA FALLECIDA")</f>
        <v>PERSONA FALLECIDA</v>
      </c>
      <c r="F407" s="64" t="str">
        <f>IFERROR(__xludf.DUMMYFUNCTION("""COMPUTED_VALUE"""),"DESPRENDIMIENTO DE NEUMATICO")</f>
        <v>DESPRENDIMIENTO DE NEUMATICO</v>
      </c>
      <c r="G407" s="64" t="str">
        <f>IFERROR(__xludf.DUMMYFUNCTION("""COMPUTED_VALUE"""),"SALIDA DE PISTA")</f>
        <v>SALIDA DE PISTA</v>
      </c>
      <c r="H407" s="64" t="str">
        <f>IFERROR(__xludf.DUMMYFUNCTION("""COMPUTED_VALUE"""),"DESPRENDIMIENTO DE CONTENEDOR")</f>
        <v>DESPRENDIMIENTO DE CONTENEDOR</v>
      </c>
      <c r="I407" s="64" t="str">
        <f>IFERROR(__xludf.DUMMYFUNCTION("""COMPUTED_VALUE"""),"CAÍDA DE CARGA")</f>
        <v>CAÍDA DE CARGA</v>
      </c>
      <c r="J407" s="64" t="str">
        <f>IFERROR(__xludf.DUMMYFUNCTION("""COMPUTED_VALUE"""),"CHOQUE")</f>
        <v>CHOQUE</v>
      </c>
      <c r="K407" s="64" t="str">
        <f>IFERROR(__xludf.DUMMYFUNCTION("""COMPUTED_VALUE"""),"COLISIÓN")</f>
        <v>COLISIÓN</v>
      </c>
      <c r="L407" s="64" t="str">
        <f>IFERROR(__xludf.DUMMYFUNCTION("""COMPUTED_VALUE"""),"COLISIÓN MÚLTIPLE")</f>
        <v>COLISIÓN MÚLTIPLE</v>
      </c>
      <c r="M407" s="64" t="str">
        <f>IFERROR(__xludf.DUMMYFUNCTION("""COMPUTED_VALUE"""),"DERRAPE")</f>
        <v>DERRAPE</v>
      </c>
      <c r="N407" s="64" t="str">
        <f>IFERROR(__xludf.DUMMYFUNCTION("""COMPUTED_VALUE"""),"VEHÍCULO INCENDIADO")</f>
        <v>VEHÍCULO INCENDIADO</v>
      </c>
      <c r="O407" s="64" t="str">
        <f>IFERROR(__xludf.DUMMYFUNCTION("""COMPUTED_VALUE"""),"VUELCO")</f>
        <v>VUELCO</v>
      </c>
      <c r="P407" s="64" t="str">
        <f>IFERROR(__xludf.DUMMYFUNCTION("""COMPUTED_VALUE"""),"DESPRENDIMIENTO")</f>
        <v>DESPRENDIMIENTO</v>
      </c>
      <c r="Q407" s="64" t="str">
        <f>IFERROR(__xludf.DUMMYFUNCTION("""COMPUTED_VALUE"""),"CAÍDA DE ÁRBOL")</f>
        <v>CAÍDA DE ÁRBOL</v>
      </c>
      <c r="R407" s="64" t="str">
        <f>IFERROR(__xludf.DUMMYFUNCTION("""COMPUTED_VALUE"""),"DESPRENDIMIENTO DE EJE")</f>
        <v>DESPRENDIMIENTO DE EJE</v>
      </c>
      <c r="S407" s="64" t="str">
        <f>IFERROR(__xludf.DUMMYFUNCTION("""COMPUTED_VALUE"""),"PERSONA ATROPELLADA")</f>
        <v>PERSONA ATROPELLADA</v>
      </c>
    </row>
    <row r="408">
      <c r="B408" s="64" t="s">
        <v>38</v>
      </c>
      <c r="C408" s="64" t="str">
        <f>IFERROR(__xludf.DUMMYFUNCTION(" TRANSPOSE( unique ( QUERY(DATOPRO,""select Col2 where Col1 = '""&amp;B408&amp;""'"")))"),"ATAQUE ARMADO")</f>
        <v>ATAQUE ARMADO</v>
      </c>
      <c r="D408" s="64" t="str">
        <f>IFERROR(__xludf.DUMMYFUNCTION("""COMPUTED_VALUE"""),"DESBALANCE DE CARGA")</f>
        <v>DESBALANCE DE CARGA</v>
      </c>
      <c r="E408" s="64" t="str">
        <f>IFERROR(__xludf.DUMMYFUNCTION("""COMPUTED_VALUE"""),"PERSONA FALLECIDA")</f>
        <v>PERSONA FALLECIDA</v>
      </c>
      <c r="F408" s="64" t="str">
        <f>IFERROR(__xludf.DUMMYFUNCTION("""COMPUTED_VALUE"""),"DESPRENDIMIENTO DE NEUMATICO")</f>
        <v>DESPRENDIMIENTO DE NEUMATICO</v>
      </c>
      <c r="G408" s="64" t="str">
        <f>IFERROR(__xludf.DUMMYFUNCTION("""COMPUTED_VALUE"""),"SALIDA DE PISTA")</f>
        <v>SALIDA DE PISTA</v>
      </c>
      <c r="H408" s="64" t="str">
        <f>IFERROR(__xludf.DUMMYFUNCTION("""COMPUTED_VALUE"""),"DESPRENDIMIENTO DE CONTENEDOR")</f>
        <v>DESPRENDIMIENTO DE CONTENEDOR</v>
      </c>
      <c r="I408" s="64" t="str">
        <f>IFERROR(__xludf.DUMMYFUNCTION("""COMPUTED_VALUE"""),"CAÍDA DE CARGA")</f>
        <v>CAÍDA DE CARGA</v>
      </c>
      <c r="J408" s="64" t="str">
        <f>IFERROR(__xludf.DUMMYFUNCTION("""COMPUTED_VALUE"""),"CHOQUE")</f>
        <v>CHOQUE</v>
      </c>
      <c r="K408" s="64" t="str">
        <f>IFERROR(__xludf.DUMMYFUNCTION("""COMPUTED_VALUE"""),"COLISIÓN")</f>
        <v>COLISIÓN</v>
      </c>
      <c r="L408" s="64" t="str">
        <f>IFERROR(__xludf.DUMMYFUNCTION("""COMPUTED_VALUE"""),"COLISIÓN MÚLTIPLE")</f>
        <v>COLISIÓN MÚLTIPLE</v>
      </c>
      <c r="M408" s="64" t="str">
        <f>IFERROR(__xludf.DUMMYFUNCTION("""COMPUTED_VALUE"""),"DERRAPE")</f>
        <v>DERRAPE</v>
      </c>
      <c r="N408" s="64" t="str">
        <f>IFERROR(__xludf.DUMMYFUNCTION("""COMPUTED_VALUE"""),"VEHÍCULO INCENDIADO")</f>
        <v>VEHÍCULO INCENDIADO</v>
      </c>
      <c r="O408" s="64" t="str">
        <f>IFERROR(__xludf.DUMMYFUNCTION("""COMPUTED_VALUE"""),"VUELCO")</f>
        <v>VUELCO</v>
      </c>
      <c r="P408" s="64" t="str">
        <f>IFERROR(__xludf.DUMMYFUNCTION("""COMPUTED_VALUE"""),"DESPRENDIMIENTO")</f>
        <v>DESPRENDIMIENTO</v>
      </c>
      <c r="Q408" s="64" t="str">
        <f>IFERROR(__xludf.DUMMYFUNCTION("""COMPUTED_VALUE"""),"CAÍDA DE ÁRBOL")</f>
        <v>CAÍDA DE ÁRBOL</v>
      </c>
      <c r="R408" s="64" t="str">
        <f>IFERROR(__xludf.DUMMYFUNCTION("""COMPUTED_VALUE"""),"DESPRENDIMIENTO DE EJE")</f>
        <v>DESPRENDIMIENTO DE EJE</v>
      </c>
      <c r="S408" s="64" t="str">
        <f>IFERROR(__xludf.DUMMYFUNCTION("""COMPUTED_VALUE"""),"PERSONA ATROPELLADA")</f>
        <v>PERSONA ATROPELLADA</v>
      </c>
    </row>
    <row r="409">
      <c r="B409" s="64" t="s">
        <v>38</v>
      </c>
      <c r="C409" s="64" t="str">
        <f>IFERROR(__xludf.DUMMYFUNCTION(" TRANSPOSE( unique ( QUERY(DATOPRO,""select Col2 where Col1 = '""&amp;B409&amp;""'"")))"),"ATAQUE ARMADO")</f>
        <v>ATAQUE ARMADO</v>
      </c>
      <c r="D409" s="64" t="str">
        <f>IFERROR(__xludf.DUMMYFUNCTION("""COMPUTED_VALUE"""),"DESBALANCE DE CARGA")</f>
        <v>DESBALANCE DE CARGA</v>
      </c>
      <c r="E409" s="64" t="str">
        <f>IFERROR(__xludf.DUMMYFUNCTION("""COMPUTED_VALUE"""),"PERSONA FALLECIDA")</f>
        <v>PERSONA FALLECIDA</v>
      </c>
      <c r="F409" s="64" t="str">
        <f>IFERROR(__xludf.DUMMYFUNCTION("""COMPUTED_VALUE"""),"DESPRENDIMIENTO DE NEUMATICO")</f>
        <v>DESPRENDIMIENTO DE NEUMATICO</v>
      </c>
      <c r="G409" s="64" t="str">
        <f>IFERROR(__xludf.DUMMYFUNCTION("""COMPUTED_VALUE"""),"SALIDA DE PISTA")</f>
        <v>SALIDA DE PISTA</v>
      </c>
      <c r="H409" s="64" t="str">
        <f>IFERROR(__xludf.DUMMYFUNCTION("""COMPUTED_VALUE"""),"DESPRENDIMIENTO DE CONTENEDOR")</f>
        <v>DESPRENDIMIENTO DE CONTENEDOR</v>
      </c>
      <c r="I409" s="64" t="str">
        <f>IFERROR(__xludf.DUMMYFUNCTION("""COMPUTED_VALUE"""),"CAÍDA DE CARGA")</f>
        <v>CAÍDA DE CARGA</v>
      </c>
      <c r="J409" s="64" t="str">
        <f>IFERROR(__xludf.DUMMYFUNCTION("""COMPUTED_VALUE"""),"CHOQUE")</f>
        <v>CHOQUE</v>
      </c>
      <c r="K409" s="64" t="str">
        <f>IFERROR(__xludf.DUMMYFUNCTION("""COMPUTED_VALUE"""),"COLISIÓN")</f>
        <v>COLISIÓN</v>
      </c>
      <c r="L409" s="64" t="str">
        <f>IFERROR(__xludf.DUMMYFUNCTION("""COMPUTED_VALUE"""),"COLISIÓN MÚLTIPLE")</f>
        <v>COLISIÓN MÚLTIPLE</v>
      </c>
      <c r="M409" s="64" t="str">
        <f>IFERROR(__xludf.DUMMYFUNCTION("""COMPUTED_VALUE"""),"DERRAPE")</f>
        <v>DERRAPE</v>
      </c>
      <c r="N409" s="64" t="str">
        <f>IFERROR(__xludf.DUMMYFUNCTION("""COMPUTED_VALUE"""),"VEHÍCULO INCENDIADO")</f>
        <v>VEHÍCULO INCENDIADO</v>
      </c>
      <c r="O409" s="64" t="str">
        <f>IFERROR(__xludf.DUMMYFUNCTION("""COMPUTED_VALUE"""),"VUELCO")</f>
        <v>VUELCO</v>
      </c>
      <c r="P409" s="64" t="str">
        <f>IFERROR(__xludf.DUMMYFUNCTION("""COMPUTED_VALUE"""),"DESPRENDIMIENTO")</f>
        <v>DESPRENDIMIENTO</v>
      </c>
      <c r="Q409" s="64" t="str">
        <f>IFERROR(__xludf.DUMMYFUNCTION("""COMPUTED_VALUE"""),"CAÍDA DE ÁRBOL")</f>
        <v>CAÍDA DE ÁRBOL</v>
      </c>
      <c r="R409" s="64" t="str">
        <f>IFERROR(__xludf.DUMMYFUNCTION("""COMPUTED_VALUE"""),"DESPRENDIMIENTO DE EJE")</f>
        <v>DESPRENDIMIENTO DE EJE</v>
      </c>
      <c r="S409" s="64" t="str">
        <f>IFERROR(__xludf.DUMMYFUNCTION("""COMPUTED_VALUE"""),"PERSONA ATROPELLADA")</f>
        <v>PERSONA ATROPELLADA</v>
      </c>
    </row>
    <row r="410">
      <c r="B410" s="64" t="s">
        <v>38</v>
      </c>
      <c r="C410" s="64" t="str">
        <f>IFERROR(__xludf.DUMMYFUNCTION(" TRANSPOSE( unique ( QUERY(DATOPRO,""select Col2 where Col1 = '""&amp;B410&amp;""'"")))"),"ATAQUE ARMADO")</f>
        <v>ATAQUE ARMADO</v>
      </c>
      <c r="D410" s="64" t="str">
        <f>IFERROR(__xludf.DUMMYFUNCTION("""COMPUTED_VALUE"""),"DESBALANCE DE CARGA")</f>
        <v>DESBALANCE DE CARGA</v>
      </c>
      <c r="E410" s="64" t="str">
        <f>IFERROR(__xludf.DUMMYFUNCTION("""COMPUTED_VALUE"""),"PERSONA FALLECIDA")</f>
        <v>PERSONA FALLECIDA</v>
      </c>
      <c r="F410" s="64" t="str">
        <f>IFERROR(__xludf.DUMMYFUNCTION("""COMPUTED_VALUE"""),"DESPRENDIMIENTO DE NEUMATICO")</f>
        <v>DESPRENDIMIENTO DE NEUMATICO</v>
      </c>
      <c r="G410" s="64" t="str">
        <f>IFERROR(__xludf.DUMMYFUNCTION("""COMPUTED_VALUE"""),"SALIDA DE PISTA")</f>
        <v>SALIDA DE PISTA</v>
      </c>
      <c r="H410" s="64" t="str">
        <f>IFERROR(__xludf.DUMMYFUNCTION("""COMPUTED_VALUE"""),"DESPRENDIMIENTO DE CONTENEDOR")</f>
        <v>DESPRENDIMIENTO DE CONTENEDOR</v>
      </c>
      <c r="I410" s="64" t="str">
        <f>IFERROR(__xludf.DUMMYFUNCTION("""COMPUTED_VALUE"""),"CAÍDA DE CARGA")</f>
        <v>CAÍDA DE CARGA</v>
      </c>
      <c r="J410" s="64" t="str">
        <f>IFERROR(__xludf.DUMMYFUNCTION("""COMPUTED_VALUE"""),"CHOQUE")</f>
        <v>CHOQUE</v>
      </c>
      <c r="K410" s="64" t="str">
        <f>IFERROR(__xludf.DUMMYFUNCTION("""COMPUTED_VALUE"""),"COLISIÓN")</f>
        <v>COLISIÓN</v>
      </c>
      <c r="L410" s="64" t="str">
        <f>IFERROR(__xludf.DUMMYFUNCTION("""COMPUTED_VALUE"""),"COLISIÓN MÚLTIPLE")</f>
        <v>COLISIÓN MÚLTIPLE</v>
      </c>
      <c r="M410" s="64" t="str">
        <f>IFERROR(__xludf.DUMMYFUNCTION("""COMPUTED_VALUE"""),"DERRAPE")</f>
        <v>DERRAPE</v>
      </c>
      <c r="N410" s="64" t="str">
        <f>IFERROR(__xludf.DUMMYFUNCTION("""COMPUTED_VALUE"""),"VEHÍCULO INCENDIADO")</f>
        <v>VEHÍCULO INCENDIADO</v>
      </c>
      <c r="O410" s="64" t="str">
        <f>IFERROR(__xludf.DUMMYFUNCTION("""COMPUTED_VALUE"""),"VUELCO")</f>
        <v>VUELCO</v>
      </c>
      <c r="P410" s="64" t="str">
        <f>IFERROR(__xludf.DUMMYFUNCTION("""COMPUTED_VALUE"""),"DESPRENDIMIENTO")</f>
        <v>DESPRENDIMIENTO</v>
      </c>
      <c r="Q410" s="64" t="str">
        <f>IFERROR(__xludf.DUMMYFUNCTION("""COMPUTED_VALUE"""),"CAÍDA DE ÁRBOL")</f>
        <v>CAÍDA DE ÁRBOL</v>
      </c>
      <c r="R410" s="64" t="str">
        <f>IFERROR(__xludf.DUMMYFUNCTION("""COMPUTED_VALUE"""),"DESPRENDIMIENTO DE EJE")</f>
        <v>DESPRENDIMIENTO DE EJE</v>
      </c>
      <c r="S410" s="64" t="str">
        <f>IFERROR(__xludf.DUMMYFUNCTION("""COMPUTED_VALUE"""),"PERSONA ATROPELLADA")</f>
        <v>PERSONA ATROPELLADA</v>
      </c>
    </row>
    <row r="411">
      <c r="B411" s="64" t="s">
        <v>38</v>
      </c>
      <c r="C411" s="64" t="str">
        <f>IFERROR(__xludf.DUMMYFUNCTION(" TRANSPOSE( unique ( QUERY(DATOPRO,""select Col2 where Col1 = '""&amp;B411&amp;""'"")))"),"ATAQUE ARMADO")</f>
        <v>ATAQUE ARMADO</v>
      </c>
      <c r="D411" s="64" t="str">
        <f>IFERROR(__xludf.DUMMYFUNCTION("""COMPUTED_VALUE"""),"DESBALANCE DE CARGA")</f>
        <v>DESBALANCE DE CARGA</v>
      </c>
      <c r="E411" s="64" t="str">
        <f>IFERROR(__xludf.DUMMYFUNCTION("""COMPUTED_VALUE"""),"PERSONA FALLECIDA")</f>
        <v>PERSONA FALLECIDA</v>
      </c>
      <c r="F411" s="64" t="str">
        <f>IFERROR(__xludf.DUMMYFUNCTION("""COMPUTED_VALUE"""),"DESPRENDIMIENTO DE NEUMATICO")</f>
        <v>DESPRENDIMIENTO DE NEUMATICO</v>
      </c>
      <c r="G411" s="64" t="str">
        <f>IFERROR(__xludf.DUMMYFUNCTION("""COMPUTED_VALUE"""),"SALIDA DE PISTA")</f>
        <v>SALIDA DE PISTA</v>
      </c>
      <c r="H411" s="64" t="str">
        <f>IFERROR(__xludf.DUMMYFUNCTION("""COMPUTED_VALUE"""),"DESPRENDIMIENTO DE CONTENEDOR")</f>
        <v>DESPRENDIMIENTO DE CONTENEDOR</v>
      </c>
      <c r="I411" s="64" t="str">
        <f>IFERROR(__xludf.DUMMYFUNCTION("""COMPUTED_VALUE"""),"CAÍDA DE CARGA")</f>
        <v>CAÍDA DE CARGA</v>
      </c>
      <c r="J411" s="64" t="str">
        <f>IFERROR(__xludf.DUMMYFUNCTION("""COMPUTED_VALUE"""),"CHOQUE")</f>
        <v>CHOQUE</v>
      </c>
      <c r="K411" s="64" t="str">
        <f>IFERROR(__xludf.DUMMYFUNCTION("""COMPUTED_VALUE"""),"COLISIÓN")</f>
        <v>COLISIÓN</v>
      </c>
      <c r="L411" s="64" t="str">
        <f>IFERROR(__xludf.DUMMYFUNCTION("""COMPUTED_VALUE"""),"COLISIÓN MÚLTIPLE")</f>
        <v>COLISIÓN MÚLTIPLE</v>
      </c>
      <c r="M411" s="64" t="str">
        <f>IFERROR(__xludf.DUMMYFUNCTION("""COMPUTED_VALUE"""),"DERRAPE")</f>
        <v>DERRAPE</v>
      </c>
      <c r="N411" s="64" t="str">
        <f>IFERROR(__xludf.DUMMYFUNCTION("""COMPUTED_VALUE"""),"VEHÍCULO INCENDIADO")</f>
        <v>VEHÍCULO INCENDIADO</v>
      </c>
      <c r="O411" s="64" t="str">
        <f>IFERROR(__xludf.DUMMYFUNCTION("""COMPUTED_VALUE"""),"VUELCO")</f>
        <v>VUELCO</v>
      </c>
      <c r="P411" s="64" t="str">
        <f>IFERROR(__xludf.DUMMYFUNCTION("""COMPUTED_VALUE"""),"DESPRENDIMIENTO")</f>
        <v>DESPRENDIMIENTO</v>
      </c>
      <c r="Q411" s="64" t="str">
        <f>IFERROR(__xludf.DUMMYFUNCTION("""COMPUTED_VALUE"""),"CAÍDA DE ÁRBOL")</f>
        <v>CAÍDA DE ÁRBOL</v>
      </c>
      <c r="R411" s="64" t="str">
        <f>IFERROR(__xludf.DUMMYFUNCTION("""COMPUTED_VALUE"""),"DESPRENDIMIENTO DE EJE")</f>
        <v>DESPRENDIMIENTO DE EJE</v>
      </c>
      <c r="S411" s="64" t="str">
        <f>IFERROR(__xludf.DUMMYFUNCTION("""COMPUTED_VALUE"""),"PERSONA ATROPELLADA")</f>
        <v>PERSONA ATROPELLADA</v>
      </c>
    </row>
    <row r="412">
      <c r="B412" s="64" t="s">
        <v>54</v>
      </c>
      <c r="C412" s="64" t="str">
        <f>IFERROR(__xludf.DUMMYFUNCTION(" TRANSPOSE( unique ( QUERY(DATOPRO,""select Col2 where Col1 = '""&amp;B412&amp;""'"")))"),"PINCHAZO")</f>
        <v>PINCHAZO</v>
      </c>
      <c r="D412" s="64" t="str">
        <f>IFERROR(__xludf.DUMMYFUNCTION("""COMPUTED_VALUE"""),"TRABAJOS DE CARRETERA")</f>
        <v>TRABAJOS DE CARRETERA</v>
      </c>
      <c r="E412" s="64" t="str">
        <f>IFERROR(__xludf.DUMMYFUNCTION("""COMPUTED_VALUE"""),"CONSIGNACIÓN")</f>
        <v>CONSIGNACIÓN</v>
      </c>
      <c r="F412" s="64" t="str">
        <f>IFERROR(__xludf.DUMMYFUNCTION("""COMPUTED_VALUE"""),"DERRAME")</f>
        <v>DERRAME</v>
      </c>
      <c r="G412" s="64" t="str">
        <f>IFERROR(__xludf.DUMMYFUNCTION("""COMPUTED_VALUE"""),"CALENTAMIENTO")</f>
        <v>CALENTAMIENTO</v>
      </c>
      <c r="H412" s="64" t="str">
        <f>IFERROR(__xludf.DUMMYFUNCTION("""COMPUTED_VALUE"""),"ESCOLTANDO")</f>
        <v>ESCOLTANDO</v>
      </c>
      <c r="I412" s="64" t="str">
        <f>IFERROR(__xludf.DUMMYFUNCTION("""COMPUTED_VALUE"""),"FALTA DE COMBUSTIBLE")</f>
        <v>FALTA DE COMBUSTIBLE</v>
      </c>
      <c r="J412" s="64" t="str">
        <f>IFERROR(__xludf.DUMMYFUNCTION("""COMPUTED_VALUE"""),"DESPERFECTOS MECÁNICOS")</f>
        <v>DESPERFECTOS MECÁNICOS</v>
      </c>
      <c r="K412" s="64" t="str">
        <f>IFERROR(__xludf.DUMMYFUNCTION("""COMPUTED_VALUE"""),"LLAMADA DE ATENCIÓN")</f>
        <v>LLAMADA DE ATENCIÓN</v>
      </c>
      <c r="L412" s="64" t="str">
        <f>IFERROR(__xludf.DUMMYFUNCTION("""COMPUTED_VALUE"""),"OPERATIVOS")</f>
        <v>OPERATIVOS</v>
      </c>
      <c r="M412" s="64" t="str">
        <f>IFERROR(__xludf.DUMMYFUNCTION("""COMPUTED_VALUE"""),"SANCIÓN")</f>
        <v>SANCIÓN</v>
      </c>
      <c r="N412" s="64" t="str">
        <f>IFERROR(__xludf.DUMMYFUNCTION("""COMPUTED_VALUE"""),"SISTEMA ELECTRICO")</f>
        <v>SISTEMA ELECTRICO</v>
      </c>
      <c r="O412" s="64" t="str">
        <f>IFERROR(__xludf.DUMMYFUNCTION("""COMPUTED_VALUE"""),"ASISTENCIA AL USUARIO")</f>
        <v>ASISTENCIA AL USUARIO</v>
      </c>
      <c r="P412" s="64" t="str">
        <f>IFERROR(__xludf.DUMMYFUNCTION("""COMPUTED_VALUE"""),"DOBLE REMOLQUE")</f>
        <v>DOBLE REMOLQUE</v>
      </c>
      <c r="Q412" s="64" t="str">
        <f>IFERROR(__xludf.DUMMYFUNCTION("""COMPUTED_VALUE"""),"SINAPRESE")</f>
        <v>SINAPRESE</v>
      </c>
      <c r="R412" s="64" t="str">
        <f>IFERROR(__xludf.DUMMYFUNCTION("""COMPUTED_VALUE"""),"APOYO ATLETISMO")</f>
        <v>APOYO ATLETISMO</v>
      </c>
      <c r="S412" s="64" t="str">
        <f>IFERROR(__xludf.DUMMYFUNCTION("""COMPUTED_VALUE"""),"APOYO A CICLISMO")</f>
        <v>APOYO A CICLISMO</v>
      </c>
      <c r="T412" s="64" t="str">
        <f>IFERROR(__xludf.DUMMYFUNCTION("""COMPUTED_VALUE"""),"DESCARGA DE BATERÍA")</f>
        <v>DESCARGA DE BATERÍA</v>
      </c>
      <c r="U412" s="64" t="str">
        <f>IFERROR(__xludf.DUMMYFUNCTION("""COMPUTED_VALUE"""),"PROBLEMAS DE SALUD")</f>
        <v>PROBLEMAS DE SALUD</v>
      </c>
      <c r="V412" s="64" t="str">
        <f>IFERROR(__xludf.DUMMYFUNCTION("""COMPUTED_VALUE"""),"OLVIDO LA LLAVE")</f>
        <v>OLVIDO LA LLAVE</v>
      </c>
      <c r="W412" s="64" t="str">
        <f>IFERROR(__xludf.DUMMYFUNCTION("""COMPUTED_VALUE"""),"CARGA SOBREDIMENSIONADA")</f>
        <v>CARGA SOBREDIMENSIONADA</v>
      </c>
      <c r="X412" s="64" t="str">
        <f>IFERROR(__xludf.DUMMYFUNCTION("""COMPUTED_VALUE"""),"VEHÍCULO ABANDONADO")</f>
        <v>VEHÍCULO ABANDONADO</v>
      </c>
      <c r="Y412" s="64" t="str">
        <f>IFERROR(__xludf.DUMMYFUNCTION("""COMPUTED_VALUE"""),"DESPRENDIMIENTO")</f>
        <v>DESPRENDIMIENTO</v>
      </c>
      <c r="Z412" s="64" t="str">
        <f>IFERROR(__xludf.DUMMYFUNCTION("""COMPUTED_VALUE"""),"CAÍDA DE POSTE")</f>
        <v>CAÍDA DE POSTE</v>
      </c>
      <c r="AA412" s="64" t="str">
        <f>IFERROR(__xludf.DUMMYFUNCTION("""COMPUTED_VALUE"""),"CAÍDA DE RAMA")</f>
        <v>CAÍDA DE RAMA</v>
      </c>
      <c r="AB412" s="64" t="str">
        <f>IFERROR(__xludf.DUMMYFUNCTION("""COMPUTED_VALUE"""),"OPERATIVO DGT")</f>
        <v>OPERATIVO DGT</v>
      </c>
      <c r="AC412" s="64" t="str">
        <f>IFERROR(__xludf.DUMMYFUNCTION("""COMPUTED_VALUE"""),"OPERATIVO PMT")</f>
        <v>OPERATIVO PMT</v>
      </c>
      <c r="AD412" s="64" t="str">
        <f>IFERROR(__xludf.DUMMYFUNCTION("""COMPUTED_VALUE"""),"APOYO A DIGEF")</f>
        <v>APOYO A DIGEF</v>
      </c>
      <c r="AE412" s="64" t="str">
        <f>IFERROR(__xludf.DUMMYFUNCTION("""COMPUTED_VALUE"""),"OPERATIVO PNC TRANSITO")</f>
        <v>OPERATIVO PNC TRANSITO</v>
      </c>
      <c r="AF412" s="64" t="str">
        <f>IFERROR(__xludf.DUMMYFUNCTION("""COMPUTED_VALUE"""),"SOBRECARGA ")</f>
        <v>SOBRECARGA </v>
      </c>
      <c r="AG412" s="64" t="str">
        <f>IFERROR(__xludf.DUMMYFUNCTION("""COMPUTED_VALUE"""),"OPERATIVO EN CONJUNTO")</f>
        <v>OPERATIVO EN CONJUNTO</v>
      </c>
      <c r="AH412" s="64" t="str">
        <f>IFERROR(__xludf.DUMMYFUNCTION("""COMPUTED_VALUE"""),"PUESTO DE ATENCION AL USUARIO")</f>
        <v>PUESTO DE ATENCION AL USUARIO</v>
      </c>
      <c r="AI412" s="64" t="str">
        <f>IFERROR(__xludf.DUMMYFUNCTION("""COMPUTED_VALUE"""),"INCENDIO EN RUTA")</f>
        <v>INCENDIO EN RUTA</v>
      </c>
      <c r="AJ412" s="64" t="str">
        <f>IFERROR(__xludf.DUMMYFUNCTION("""COMPUTED_VALUE"""),"APOYO ANTORCHA ")</f>
        <v>APOYO ANTORCHA </v>
      </c>
    </row>
    <row r="413">
      <c r="B413" s="64" t="s">
        <v>54</v>
      </c>
      <c r="C413" s="64" t="str">
        <f>IFERROR(__xludf.DUMMYFUNCTION(" TRANSPOSE( unique ( QUERY(DATOPRO,""select Col2 where Col1 = '""&amp;B413&amp;""'"")))"),"PINCHAZO")</f>
        <v>PINCHAZO</v>
      </c>
      <c r="D413" s="64" t="str">
        <f>IFERROR(__xludf.DUMMYFUNCTION("""COMPUTED_VALUE"""),"TRABAJOS DE CARRETERA")</f>
        <v>TRABAJOS DE CARRETERA</v>
      </c>
      <c r="E413" s="64" t="str">
        <f>IFERROR(__xludf.DUMMYFUNCTION("""COMPUTED_VALUE"""),"CONSIGNACIÓN")</f>
        <v>CONSIGNACIÓN</v>
      </c>
      <c r="F413" s="64" t="str">
        <f>IFERROR(__xludf.DUMMYFUNCTION("""COMPUTED_VALUE"""),"DERRAME")</f>
        <v>DERRAME</v>
      </c>
      <c r="G413" s="64" t="str">
        <f>IFERROR(__xludf.DUMMYFUNCTION("""COMPUTED_VALUE"""),"CALENTAMIENTO")</f>
        <v>CALENTAMIENTO</v>
      </c>
      <c r="H413" s="64" t="str">
        <f>IFERROR(__xludf.DUMMYFUNCTION("""COMPUTED_VALUE"""),"ESCOLTANDO")</f>
        <v>ESCOLTANDO</v>
      </c>
      <c r="I413" s="64" t="str">
        <f>IFERROR(__xludf.DUMMYFUNCTION("""COMPUTED_VALUE"""),"FALTA DE COMBUSTIBLE")</f>
        <v>FALTA DE COMBUSTIBLE</v>
      </c>
      <c r="J413" s="64" t="str">
        <f>IFERROR(__xludf.DUMMYFUNCTION("""COMPUTED_VALUE"""),"DESPERFECTOS MECÁNICOS")</f>
        <v>DESPERFECTOS MECÁNICOS</v>
      </c>
      <c r="K413" s="64" t="str">
        <f>IFERROR(__xludf.DUMMYFUNCTION("""COMPUTED_VALUE"""),"LLAMADA DE ATENCIÓN")</f>
        <v>LLAMADA DE ATENCIÓN</v>
      </c>
      <c r="L413" s="64" t="str">
        <f>IFERROR(__xludf.DUMMYFUNCTION("""COMPUTED_VALUE"""),"OPERATIVOS")</f>
        <v>OPERATIVOS</v>
      </c>
      <c r="M413" s="64" t="str">
        <f>IFERROR(__xludf.DUMMYFUNCTION("""COMPUTED_VALUE"""),"SANCIÓN")</f>
        <v>SANCIÓN</v>
      </c>
      <c r="N413" s="64" t="str">
        <f>IFERROR(__xludf.DUMMYFUNCTION("""COMPUTED_VALUE"""),"SISTEMA ELECTRICO")</f>
        <v>SISTEMA ELECTRICO</v>
      </c>
      <c r="O413" s="64" t="str">
        <f>IFERROR(__xludf.DUMMYFUNCTION("""COMPUTED_VALUE"""),"ASISTENCIA AL USUARIO")</f>
        <v>ASISTENCIA AL USUARIO</v>
      </c>
      <c r="P413" s="64" t="str">
        <f>IFERROR(__xludf.DUMMYFUNCTION("""COMPUTED_VALUE"""),"DOBLE REMOLQUE")</f>
        <v>DOBLE REMOLQUE</v>
      </c>
      <c r="Q413" s="64" t="str">
        <f>IFERROR(__xludf.DUMMYFUNCTION("""COMPUTED_VALUE"""),"SINAPRESE")</f>
        <v>SINAPRESE</v>
      </c>
      <c r="R413" s="64" t="str">
        <f>IFERROR(__xludf.DUMMYFUNCTION("""COMPUTED_VALUE"""),"APOYO ATLETISMO")</f>
        <v>APOYO ATLETISMO</v>
      </c>
      <c r="S413" s="64" t="str">
        <f>IFERROR(__xludf.DUMMYFUNCTION("""COMPUTED_VALUE"""),"APOYO A CICLISMO")</f>
        <v>APOYO A CICLISMO</v>
      </c>
      <c r="T413" s="64" t="str">
        <f>IFERROR(__xludf.DUMMYFUNCTION("""COMPUTED_VALUE"""),"DESCARGA DE BATERÍA")</f>
        <v>DESCARGA DE BATERÍA</v>
      </c>
      <c r="U413" s="64" t="str">
        <f>IFERROR(__xludf.DUMMYFUNCTION("""COMPUTED_VALUE"""),"PROBLEMAS DE SALUD")</f>
        <v>PROBLEMAS DE SALUD</v>
      </c>
      <c r="V413" s="64" t="str">
        <f>IFERROR(__xludf.DUMMYFUNCTION("""COMPUTED_VALUE"""),"OLVIDO LA LLAVE")</f>
        <v>OLVIDO LA LLAVE</v>
      </c>
      <c r="W413" s="64" t="str">
        <f>IFERROR(__xludf.DUMMYFUNCTION("""COMPUTED_VALUE"""),"CARGA SOBREDIMENSIONADA")</f>
        <v>CARGA SOBREDIMENSIONADA</v>
      </c>
      <c r="X413" s="64" t="str">
        <f>IFERROR(__xludf.DUMMYFUNCTION("""COMPUTED_VALUE"""),"VEHÍCULO ABANDONADO")</f>
        <v>VEHÍCULO ABANDONADO</v>
      </c>
      <c r="Y413" s="64" t="str">
        <f>IFERROR(__xludf.DUMMYFUNCTION("""COMPUTED_VALUE"""),"DESPRENDIMIENTO")</f>
        <v>DESPRENDIMIENTO</v>
      </c>
      <c r="Z413" s="64" t="str">
        <f>IFERROR(__xludf.DUMMYFUNCTION("""COMPUTED_VALUE"""),"CAÍDA DE POSTE")</f>
        <v>CAÍDA DE POSTE</v>
      </c>
      <c r="AA413" s="64" t="str">
        <f>IFERROR(__xludf.DUMMYFUNCTION("""COMPUTED_VALUE"""),"CAÍDA DE RAMA")</f>
        <v>CAÍDA DE RAMA</v>
      </c>
      <c r="AB413" s="64" t="str">
        <f>IFERROR(__xludf.DUMMYFUNCTION("""COMPUTED_VALUE"""),"OPERATIVO DGT")</f>
        <v>OPERATIVO DGT</v>
      </c>
      <c r="AC413" s="64" t="str">
        <f>IFERROR(__xludf.DUMMYFUNCTION("""COMPUTED_VALUE"""),"OPERATIVO PMT")</f>
        <v>OPERATIVO PMT</v>
      </c>
      <c r="AD413" s="64" t="str">
        <f>IFERROR(__xludf.DUMMYFUNCTION("""COMPUTED_VALUE"""),"APOYO A DIGEF")</f>
        <v>APOYO A DIGEF</v>
      </c>
      <c r="AE413" s="64" t="str">
        <f>IFERROR(__xludf.DUMMYFUNCTION("""COMPUTED_VALUE"""),"OPERATIVO PNC TRANSITO")</f>
        <v>OPERATIVO PNC TRANSITO</v>
      </c>
      <c r="AF413" s="64" t="str">
        <f>IFERROR(__xludf.DUMMYFUNCTION("""COMPUTED_VALUE"""),"SOBRECARGA ")</f>
        <v>SOBRECARGA </v>
      </c>
      <c r="AG413" s="64" t="str">
        <f>IFERROR(__xludf.DUMMYFUNCTION("""COMPUTED_VALUE"""),"OPERATIVO EN CONJUNTO")</f>
        <v>OPERATIVO EN CONJUNTO</v>
      </c>
      <c r="AH413" s="64" t="str">
        <f>IFERROR(__xludf.DUMMYFUNCTION("""COMPUTED_VALUE"""),"PUESTO DE ATENCION AL USUARIO")</f>
        <v>PUESTO DE ATENCION AL USUARIO</v>
      </c>
      <c r="AI413" s="64" t="str">
        <f>IFERROR(__xludf.DUMMYFUNCTION("""COMPUTED_VALUE"""),"INCENDIO EN RUTA")</f>
        <v>INCENDIO EN RUTA</v>
      </c>
      <c r="AJ413" s="64" t="str">
        <f>IFERROR(__xludf.DUMMYFUNCTION("""COMPUTED_VALUE"""),"APOYO ANTORCHA ")</f>
        <v>APOYO ANTORCHA </v>
      </c>
    </row>
    <row r="414">
      <c r="B414" s="64"/>
      <c r="C414" s="64" t="str">
        <f>IFERROR(__xludf.DUMMYFUNCTION(" TRANSPOSE( unique ( QUERY(DATOPRO,""select Col2 where Col1 = '""&amp;B414&amp;""'"")))"),"")</f>
        <v/>
      </c>
    </row>
    <row r="415">
      <c r="B415" s="64" t="s">
        <v>38</v>
      </c>
      <c r="C415" s="64" t="str">
        <f>IFERROR(__xludf.DUMMYFUNCTION(" TRANSPOSE( unique ( QUERY(DATOPRO,""select Col2 where Col1 = '""&amp;B415&amp;""'"")))"),"ATAQUE ARMADO")</f>
        <v>ATAQUE ARMADO</v>
      </c>
      <c r="D415" s="64" t="str">
        <f>IFERROR(__xludf.DUMMYFUNCTION("""COMPUTED_VALUE"""),"DESBALANCE DE CARGA")</f>
        <v>DESBALANCE DE CARGA</v>
      </c>
      <c r="E415" s="64" t="str">
        <f>IFERROR(__xludf.DUMMYFUNCTION("""COMPUTED_VALUE"""),"PERSONA FALLECIDA")</f>
        <v>PERSONA FALLECIDA</v>
      </c>
      <c r="F415" s="64" t="str">
        <f>IFERROR(__xludf.DUMMYFUNCTION("""COMPUTED_VALUE"""),"DESPRENDIMIENTO DE NEUMATICO")</f>
        <v>DESPRENDIMIENTO DE NEUMATICO</v>
      </c>
      <c r="G415" s="64" t="str">
        <f>IFERROR(__xludf.DUMMYFUNCTION("""COMPUTED_VALUE"""),"SALIDA DE PISTA")</f>
        <v>SALIDA DE PISTA</v>
      </c>
      <c r="H415" s="64" t="str">
        <f>IFERROR(__xludf.DUMMYFUNCTION("""COMPUTED_VALUE"""),"DESPRENDIMIENTO DE CONTENEDOR")</f>
        <v>DESPRENDIMIENTO DE CONTENEDOR</v>
      </c>
      <c r="I415" s="64" t="str">
        <f>IFERROR(__xludf.DUMMYFUNCTION("""COMPUTED_VALUE"""),"CAÍDA DE CARGA")</f>
        <v>CAÍDA DE CARGA</v>
      </c>
      <c r="J415" s="64" t="str">
        <f>IFERROR(__xludf.DUMMYFUNCTION("""COMPUTED_VALUE"""),"CHOQUE")</f>
        <v>CHOQUE</v>
      </c>
      <c r="K415" s="64" t="str">
        <f>IFERROR(__xludf.DUMMYFUNCTION("""COMPUTED_VALUE"""),"COLISIÓN")</f>
        <v>COLISIÓN</v>
      </c>
      <c r="L415" s="64" t="str">
        <f>IFERROR(__xludf.DUMMYFUNCTION("""COMPUTED_VALUE"""),"COLISIÓN MÚLTIPLE")</f>
        <v>COLISIÓN MÚLTIPLE</v>
      </c>
      <c r="M415" s="64" t="str">
        <f>IFERROR(__xludf.DUMMYFUNCTION("""COMPUTED_VALUE"""),"DERRAPE")</f>
        <v>DERRAPE</v>
      </c>
      <c r="N415" s="64" t="str">
        <f>IFERROR(__xludf.DUMMYFUNCTION("""COMPUTED_VALUE"""),"VEHÍCULO INCENDIADO")</f>
        <v>VEHÍCULO INCENDIADO</v>
      </c>
      <c r="O415" s="64" t="str">
        <f>IFERROR(__xludf.DUMMYFUNCTION("""COMPUTED_VALUE"""),"VUELCO")</f>
        <v>VUELCO</v>
      </c>
      <c r="P415" s="64" t="str">
        <f>IFERROR(__xludf.DUMMYFUNCTION("""COMPUTED_VALUE"""),"DESPRENDIMIENTO")</f>
        <v>DESPRENDIMIENTO</v>
      </c>
      <c r="Q415" s="64" t="str">
        <f>IFERROR(__xludf.DUMMYFUNCTION("""COMPUTED_VALUE"""),"CAÍDA DE ÁRBOL")</f>
        <v>CAÍDA DE ÁRBOL</v>
      </c>
      <c r="R415" s="64" t="str">
        <f>IFERROR(__xludf.DUMMYFUNCTION("""COMPUTED_VALUE"""),"DESPRENDIMIENTO DE EJE")</f>
        <v>DESPRENDIMIENTO DE EJE</v>
      </c>
      <c r="S415" s="64" t="str">
        <f>IFERROR(__xludf.DUMMYFUNCTION("""COMPUTED_VALUE"""),"PERSONA ATROPELLADA")</f>
        <v>PERSONA ATROPELLADA</v>
      </c>
    </row>
    <row r="416">
      <c r="B416" s="64" t="s">
        <v>54</v>
      </c>
      <c r="C416" s="64" t="str">
        <f>IFERROR(__xludf.DUMMYFUNCTION(" TRANSPOSE( unique ( QUERY(DATOPRO,""select Col2 where Col1 = '""&amp;B416&amp;""'"")))"),"PINCHAZO")</f>
        <v>PINCHAZO</v>
      </c>
      <c r="D416" s="64" t="str">
        <f>IFERROR(__xludf.DUMMYFUNCTION("""COMPUTED_VALUE"""),"TRABAJOS DE CARRETERA")</f>
        <v>TRABAJOS DE CARRETERA</v>
      </c>
      <c r="E416" s="64" t="str">
        <f>IFERROR(__xludf.DUMMYFUNCTION("""COMPUTED_VALUE"""),"CONSIGNACIÓN")</f>
        <v>CONSIGNACIÓN</v>
      </c>
      <c r="F416" s="64" t="str">
        <f>IFERROR(__xludf.DUMMYFUNCTION("""COMPUTED_VALUE"""),"DERRAME")</f>
        <v>DERRAME</v>
      </c>
      <c r="G416" s="64" t="str">
        <f>IFERROR(__xludf.DUMMYFUNCTION("""COMPUTED_VALUE"""),"CALENTAMIENTO")</f>
        <v>CALENTAMIENTO</v>
      </c>
      <c r="H416" s="64" t="str">
        <f>IFERROR(__xludf.DUMMYFUNCTION("""COMPUTED_VALUE"""),"ESCOLTANDO")</f>
        <v>ESCOLTANDO</v>
      </c>
      <c r="I416" s="64" t="str">
        <f>IFERROR(__xludf.DUMMYFUNCTION("""COMPUTED_VALUE"""),"FALTA DE COMBUSTIBLE")</f>
        <v>FALTA DE COMBUSTIBLE</v>
      </c>
      <c r="J416" s="64" t="str">
        <f>IFERROR(__xludf.DUMMYFUNCTION("""COMPUTED_VALUE"""),"DESPERFECTOS MECÁNICOS")</f>
        <v>DESPERFECTOS MECÁNICOS</v>
      </c>
      <c r="K416" s="64" t="str">
        <f>IFERROR(__xludf.DUMMYFUNCTION("""COMPUTED_VALUE"""),"LLAMADA DE ATENCIÓN")</f>
        <v>LLAMADA DE ATENCIÓN</v>
      </c>
      <c r="L416" s="64" t="str">
        <f>IFERROR(__xludf.DUMMYFUNCTION("""COMPUTED_VALUE"""),"OPERATIVOS")</f>
        <v>OPERATIVOS</v>
      </c>
      <c r="M416" s="64" t="str">
        <f>IFERROR(__xludf.DUMMYFUNCTION("""COMPUTED_VALUE"""),"SANCIÓN")</f>
        <v>SANCIÓN</v>
      </c>
      <c r="N416" s="64" t="str">
        <f>IFERROR(__xludf.DUMMYFUNCTION("""COMPUTED_VALUE"""),"SISTEMA ELECTRICO")</f>
        <v>SISTEMA ELECTRICO</v>
      </c>
      <c r="O416" s="64" t="str">
        <f>IFERROR(__xludf.DUMMYFUNCTION("""COMPUTED_VALUE"""),"ASISTENCIA AL USUARIO")</f>
        <v>ASISTENCIA AL USUARIO</v>
      </c>
      <c r="P416" s="64" t="str">
        <f>IFERROR(__xludf.DUMMYFUNCTION("""COMPUTED_VALUE"""),"DOBLE REMOLQUE")</f>
        <v>DOBLE REMOLQUE</v>
      </c>
      <c r="Q416" s="64" t="str">
        <f>IFERROR(__xludf.DUMMYFUNCTION("""COMPUTED_VALUE"""),"SINAPRESE")</f>
        <v>SINAPRESE</v>
      </c>
      <c r="R416" s="64" t="str">
        <f>IFERROR(__xludf.DUMMYFUNCTION("""COMPUTED_VALUE"""),"APOYO ATLETISMO")</f>
        <v>APOYO ATLETISMO</v>
      </c>
      <c r="S416" s="64" t="str">
        <f>IFERROR(__xludf.DUMMYFUNCTION("""COMPUTED_VALUE"""),"APOYO A CICLISMO")</f>
        <v>APOYO A CICLISMO</v>
      </c>
      <c r="T416" s="64" t="str">
        <f>IFERROR(__xludf.DUMMYFUNCTION("""COMPUTED_VALUE"""),"DESCARGA DE BATERÍA")</f>
        <v>DESCARGA DE BATERÍA</v>
      </c>
      <c r="U416" s="64" t="str">
        <f>IFERROR(__xludf.DUMMYFUNCTION("""COMPUTED_VALUE"""),"PROBLEMAS DE SALUD")</f>
        <v>PROBLEMAS DE SALUD</v>
      </c>
      <c r="V416" s="64" t="str">
        <f>IFERROR(__xludf.DUMMYFUNCTION("""COMPUTED_VALUE"""),"OLVIDO LA LLAVE")</f>
        <v>OLVIDO LA LLAVE</v>
      </c>
      <c r="W416" s="64" t="str">
        <f>IFERROR(__xludf.DUMMYFUNCTION("""COMPUTED_VALUE"""),"CARGA SOBREDIMENSIONADA")</f>
        <v>CARGA SOBREDIMENSIONADA</v>
      </c>
      <c r="X416" s="64" t="str">
        <f>IFERROR(__xludf.DUMMYFUNCTION("""COMPUTED_VALUE"""),"VEHÍCULO ABANDONADO")</f>
        <v>VEHÍCULO ABANDONADO</v>
      </c>
      <c r="Y416" s="64" t="str">
        <f>IFERROR(__xludf.DUMMYFUNCTION("""COMPUTED_VALUE"""),"DESPRENDIMIENTO")</f>
        <v>DESPRENDIMIENTO</v>
      </c>
      <c r="Z416" s="64" t="str">
        <f>IFERROR(__xludf.DUMMYFUNCTION("""COMPUTED_VALUE"""),"CAÍDA DE POSTE")</f>
        <v>CAÍDA DE POSTE</v>
      </c>
      <c r="AA416" s="64" t="str">
        <f>IFERROR(__xludf.DUMMYFUNCTION("""COMPUTED_VALUE"""),"CAÍDA DE RAMA")</f>
        <v>CAÍDA DE RAMA</v>
      </c>
      <c r="AB416" s="64" t="str">
        <f>IFERROR(__xludf.DUMMYFUNCTION("""COMPUTED_VALUE"""),"OPERATIVO DGT")</f>
        <v>OPERATIVO DGT</v>
      </c>
      <c r="AC416" s="64" t="str">
        <f>IFERROR(__xludf.DUMMYFUNCTION("""COMPUTED_VALUE"""),"OPERATIVO PMT")</f>
        <v>OPERATIVO PMT</v>
      </c>
      <c r="AD416" s="64" t="str">
        <f>IFERROR(__xludf.DUMMYFUNCTION("""COMPUTED_VALUE"""),"APOYO A DIGEF")</f>
        <v>APOYO A DIGEF</v>
      </c>
      <c r="AE416" s="64" t="str">
        <f>IFERROR(__xludf.DUMMYFUNCTION("""COMPUTED_VALUE"""),"OPERATIVO PNC TRANSITO")</f>
        <v>OPERATIVO PNC TRANSITO</v>
      </c>
      <c r="AF416" s="64" t="str">
        <f>IFERROR(__xludf.DUMMYFUNCTION("""COMPUTED_VALUE"""),"SOBRECARGA ")</f>
        <v>SOBRECARGA </v>
      </c>
      <c r="AG416" s="64" t="str">
        <f>IFERROR(__xludf.DUMMYFUNCTION("""COMPUTED_VALUE"""),"OPERATIVO EN CONJUNTO")</f>
        <v>OPERATIVO EN CONJUNTO</v>
      </c>
      <c r="AH416" s="64" t="str">
        <f>IFERROR(__xludf.DUMMYFUNCTION("""COMPUTED_VALUE"""),"PUESTO DE ATENCION AL USUARIO")</f>
        <v>PUESTO DE ATENCION AL USUARIO</v>
      </c>
      <c r="AI416" s="64" t="str">
        <f>IFERROR(__xludf.DUMMYFUNCTION("""COMPUTED_VALUE"""),"INCENDIO EN RUTA")</f>
        <v>INCENDIO EN RUTA</v>
      </c>
      <c r="AJ416" s="64" t="str">
        <f>IFERROR(__xludf.DUMMYFUNCTION("""COMPUTED_VALUE"""),"APOYO ANTORCHA ")</f>
        <v>APOYO ANTORCHA </v>
      </c>
    </row>
    <row r="417">
      <c r="B417" s="64" t="s">
        <v>54</v>
      </c>
      <c r="C417" s="64" t="str">
        <f>IFERROR(__xludf.DUMMYFUNCTION(" TRANSPOSE( unique ( QUERY(DATOPRO,""select Col2 where Col1 = '""&amp;B417&amp;""'"")))"),"PINCHAZO")</f>
        <v>PINCHAZO</v>
      </c>
      <c r="D417" s="64" t="str">
        <f>IFERROR(__xludf.DUMMYFUNCTION("""COMPUTED_VALUE"""),"TRABAJOS DE CARRETERA")</f>
        <v>TRABAJOS DE CARRETERA</v>
      </c>
      <c r="E417" s="64" t="str">
        <f>IFERROR(__xludf.DUMMYFUNCTION("""COMPUTED_VALUE"""),"CONSIGNACIÓN")</f>
        <v>CONSIGNACIÓN</v>
      </c>
      <c r="F417" s="64" t="str">
        <f>IFERROR(__xludf.DUMMYFUNCTION("""COMPUTED_VALUE"""),"DERRAME")</f>
        <v>DERRAME</v>
      </c>
      <c r="G417" s="64" t="str">
        <f>IFERROR(__xludf.DUMMYFUNCTION("""COMPUTED_VALUE"""),"CALENTAMIENTO")</f>
        <v>CALENTAMIENTO</v>
      </c>
      <c r="H417" s="64" t="str">
        <f>IFERROR(__xludf.DUMMYFUNCTION("""COMPUTED_VALUE"""),"ESCOLTANDO")</f>
        <v>ESCOLTANDO</v>
      </c>
      <c r="I417" s="64" t="str">
        <f>IFERROR(__xludf.DUMMYFUNCTION("""COMPUTED_VALUE"""),"FALTA DE COMBUSTIBLE")</f>
        <v>FALTA DE COMBUSTIBLE</v>
      </c>
      <c r="J417" s="64" t="str">
        <f>IFERROR(__xludf.DUMMYFUNCTION("""COMPUTED_VALUE"""),"DESPERFECTOS MECÁNICOS")</f>
        <v>DESPERFECTOS MECÁNICOS</v>
      </c>
      <c r="K417" s="64" t="str">
        <f>IFERROR(__xludf.DUMMYFUNCTION("""COMPUTED_VALUE"""),"LLAMADA DE ATENCIÓN")</f>
        <v>LLAMADA DE ATENCIÓN</v>
      </c>
      <c r="L417" s="64" t="str">
        <f>IFERROR(__xludf.DUMMYFUNCTION("""COMPUTED_VALUE"""),"OPERATIVOS")</f>
        <v>OPERATIVOS</v>
      </c>
      <c r="M417" s="64" t="str">
        <f>IFERROR(__xludf.DUMMYFUNCTION("""COMPUTED_VALUE"""),"SANCIÓN")</f>
        <v>SANCIÓN</v>
      </c>
      <c r="N417" s="64" t="str">
        <f>IFERROR(__xludf.DUMMYFUNCTION("""COMPUTED_VALUE"""),"SISTEMA ELECTRICO")</f>
        <v>SISTEMA ELECTRICO</v>
      </c>
      <c r="O417" s="64" t="str">
        <f>IFERROR(__xludf.DUMMYFUNCTION("""COMPUTED_VALUE"""),"ASISTENCIA AL USUARIO")</f>
        <v>ASISTENCIA AL USUARIO</v>
      </c>
      <c r="P417" s="64" t="str">
        <f>IFERROR(__xludf.DUMMYFUNCTION("""COMPUTED_VALUE"""),"DOBLE REMOLQUE")</f>
        <v>DOBLE REMOLQUE</v>
      </c>
      <c r="Q417" s="64" t="str">
        <f>IFERROR(__xludf.DUMMYFUNCTION("""COMPUTED_VALUE"""),"SINAPRESE")</f>
        <v>SINAPRESE</v>
      </c>
      <c r="R417" s="64" t="str">
        <f>IFERROR(__xludf.DUMMYFUNCTION("""COMPUTED_VALUE"""),"APOYO ATLETISMO")</f>
        <v>APOYO ATLETISMO</v>
      </c>
      <c r="S417" s="64" t="str">
        <f>IFERROR(__xludf.DUMMYFUNCTION("""COMPUTED_VALUE"""),"APOYO A CICLISMO")</f>
        <v>APOYO A CICLISMO</v>
      </c>
      <c r="T417" s="64" t="str">
        <f>IFERROR(__xludf.DUMMYFUNCTION("""COMPUTED_VALUE"""),"DESCARGA DE BATERÍA")</f>
        <v>DESCARGA DE BATERÍA</v>
      </c>
      <c r="U417" s="64" t="str">
        <f>IFERROR(__xludf.DUMMYFUNCTION("""COMPUTED_VALUE"""),"PROBLEMAS DE SALUD")</f>
        <v>PROBLEMAS DE SALUD</v>
      </c>
      <c r="V417" s="64" t="str">
        <f>IFERROR(__xludf.DUMMYFUNCTION("""COMPUTED_VALUE"""),"OLVIDO LA LLAVE")</f>
        <v>OLVIDO LA LLAVE</v>
      </c>
      <c r="W417" s="64" t="str">
        <f>IFERROR(__xludf.DUMMYFUNCTION("""COMPUTED_VALUE"""),"CARGA SOBREDIMENSIONADA")</f>
        <v>CARGA SOBREDIMENSIONADA</v>
      </c>
      <c r="X417" s="64" t="str">
        <f>IFERROR(__xludf.DUMMYFUNCTION("""COMPUTED_VALUE"""),"VEHÍCULO ABANDONADO")</f>
        <v>VEHÍCULO ABANDONADO</v>
      </c>
      <c r="Y417" s="64" t="str">
        <f>IFERROR(__xludf.DUMMYFUNCTION("""COMPUTED_VALUE"""),"DESPRENDIMIENTO")</f>
        <v>DESPRENDIMIENTO</v>
      </c>
      <c r="Z417" s="64" t="str">
        <f>IFERROR(__xludf.DUMMYFUNCTION("""COMPUTED_VALUE"""),"CAÍDA DE POSTE")</f>
        <v>CAÍDA DE POSTE</v>
      </c>
      <c r="AA417" s="64" t="str">
        <f>IFERROR(__xludf.DUMMYFUNCTION("""COMPUTED_VALUE"""),"CAÍDA DE RAMA")</f>
        <v>CAÍDA DE RAMA</v>
      </c>
      <c r="AB417" s="64" t="str">
        <f>IFERROR(__xludf.DUMMYFUNCTION("""COMPUTED_VALUE"""),"OPERATIVO DGT")</f>
        <v>OPERATIVO DGT</v>
      </c>
      <c r="AC417" s="64" t="str">
        <f>IFERROR(__xludf.DUMMYFUNCTION("""COMPUTED_VALUE"""),"OPERATIVO PMT")</f>
        <v>OPERATIVO PMT</v>
      </c>
      <c r="AD417" s="64" t="str">
        <f>IFERROR(__xludf.DUMMYFUNCTION("""COMPUTED_VALUE"""),"APOYO A DIGEF")</f>
        <v>APOYO A DIGEF</v>
      </c>
      <c r="AE417" s="64" t="str">
        <f>IFERROR(__xludf.DUMMYFUNCTION("""COMPUTED_VALUE"""),"OPERATIVO PNC TRANSITO")</f>
        <v>OPERATIVO PNC TRANSITO</v>
      </c>
      <c r="AF417" s="64" t="str">
        <f>IFERROR(__xludf.DUMMYFUNCTION("""COMPUTED_VALUE"""),"SOBRECARGA ")</f>
        <v>SOBRECARGA </v>
      </c>
      <c r="AG417" s="64" t="str">
        <f>IFERROR(__xludf.DUMMYFUNCTION("""COMPUTED_VALUE"""),"OPERATIVO EN CONJUNTO")</f>
        <v>OPERATIVO EN CONJUNTO</v>
      </c>
      <c r="AH417" s="64" t="str">
        <f>IFERROR(__xludf.DUMMYFUNCTION("""COMPUTED_VALUE"""),"PUESTO DE ATENCION AL USUARIO")</f>
        <v>PUESTO DE ATENCION AL USUARIO</v>
      </c>
      <c r="AI417" s="64" t="str">
        <f>IFERROR(__xludf.DUMMYFUNCTION("""COMPUTED_VALUE"""),"INCENDIO EN RUTA")</f>
        <v>INCENDIO EN RUTA</v>
      </c>
      <c r="AJ417" s="64" t="str">
        <f>IFERROR(__xludf.DUMMYFUNCTION("""COMPUTED_VALUE"""),"APOYO ANTORCHA ")</f>
        <v>APOYO ANTORCHA </v>
      </c>
    </row>
    <row r="418">
      <c r="B418" s="64" t="s">
        <v>54</v>
      </c>
      <c r="C418" s="64" t="str">
        <f>IFERROR(__xludf.DUMMYFUNCTION(" TRANSPOSE( unique ( QUERY(DATOPRO,""select Col2 where Col1 = '""&amp;B418&amp;""'"")))"),"PINCHAZO")</f>
        <v>PINCHAZO</v>
      </c>
      <c r="D418" s="64" t="str">
        <f>IFERROR(__xludf.DUMMYFUNCTION("""COMPUTED_VALUE"""),"TRABAJOS DE CARRETERA")</f>
        <v>TRABAJOS DE CARRETERA</v>
      </c>
      <c r="E418" s="64" t="str">
        <f>IFERROR(__xludf.DUMMYFUNCTION("""COMPUTED_VALUE"""),"CONSIGNACIÓN")</f>
        <v>CONSIGNACIÓN</v>
      </c>
      <c r="F418" s="64" t="str">
        <f>IFERROR(__xludf.DUMMYFUNCTION("""COMPUTED_VALUE"""),"DERRAME")</f>
        <v>DERRAME</v>
      </c>
      <c r="G418" s="64" t="str">
        <f>IFERROR(__xludf.DUMMYFUNCTION("""COMPUTED_VALUE"""),"CALENTAMIENTO")</f>
        <v>CALENTAMIENTO</v>
      </c>
      <c r="H418" s="64" t="str">
        <f>IFERROR(__xludf.DUMMYFUNCTION("""COMPUTED_VALUE"""),"ESCOLTANDO")</f>
        <v>ESCOLTANDO</v>
      </c>
      <c r="I418" s="64" t="str">
        <f>IFERROR(__xludf.DUMMYFUNCTION("""COMPUTED_VALUE"""),"FALTA DE COMBUSTIBLE")</f>
        <v>FALTA DE COMBUSTIBLE</v>
      </c>
      <c r="J418" s="64" t="str">
        <f>IFERROR(__xludf.DUMMYFUNCTION("""COMPUTED_VALUE"""),"DESPERFECTOS MECÁNICOS")</f>
        <v>DESPERFECTOS MECÁNICOS</v>
      </c>
      <c r="K418" s="64" t="str">
        <f>IFERROR(__xludf.DUMMYFUNCTION("""COMPUTED_VALUE"""),"LLAMADA DE ATENCIÓN")</f>
        <v>LLAMADA DE ATENCIÓN</v>
      </c>
      <c r="L418" s="64" t="str">
        <f>IFERROR(__xludf.DUMMYFUNCTION("""COMPUTED_VALUE"""),"OPERATIVOS")</f>
        <v>OPERATIVOS</v>
      </c>
      <c r="M418" s="64" t="str">
        <f>IFERROR(__xludf.DUMMYFUNCTION("""COMPUTED_VALUE"""),"SANCIÓN")</f>
        <v>SANCIÓN</v>
      </c>
      <c r="N418" s="64" t="str">
        <f>IFERROR(__xludf.DUMMYFUNCTION("""COMPUTED_VALUE"""),"SISTEMA ELECTRICO")</f>
        <v>SISTEMA ELECTRICO</v>
      </c>
      <c r="O418" s="64" t="str">
        <f>IFERROR(__xludf.DUMMYFUNCTION("""COMPUTED_VALUE"""),"ASISTENCIA AL USUARIO")</f>
        <v>ASISTENCIA AL USUARIO</v>
      </c>
      <c r="P418" s="64" t="str">
        <f>IFERROR(__xludf.DUMMYFUNCTION("""COMPUTED_VALUE"""),"DOBLE REMOLQUE")</f>
        <v>DOBLE REMOLQUE</v>
      </c>
      <c r="Q418" s="64" t="str">
        <f>IFERROR(__xludf.DUMMYFUNCTION("""COMPUTED_VALUE"""),"SINAPRESE")</f>
        <v>SINAPRESE</v>
      </c>
      <c r="R418" s="64" t="str">
        <f>IFERROR(__xludf.DUMMYFUNCTION("""COMPUTED_VALUE"""),"APOYO ATLETISMO")</f>
        <v>APOYO ATLETISMO</v>
      </c>
      <c r="S418" s="64" t="str">
        <f>IFERROR(__xludf.DUMMYFUNCTION("""COMPUTED_VALUE"""),"APOYO A CICLISMO")</f>
        <v>APOYO A CICLISMO</v>
      </c>
      <c r="T418" s="64" t="str">
        <f>IFERROR(__xludf.DUMMYFUNCTION("""COMPUTED_VALUE"""),"DESCARGA DE BATERÍA")</f>
        <v>DESCARGA DE BATERÍA</v>
      </c>
      <c r="U418" s="64" t="str">
        <f>IFERROR(__xludf.DUMMYFUNCTION("""COMPUTED_VALUE"""),"PROBLEMAS DE SALUD")</f>
        <v>PROBLEMAS DE SALUD</v>
      </c>
      <c r="V418" s="64" t="str">
        <f>IFERROR(__xludf.DUMMYFUNCTION("""COMPUTED_VALUE"""),"OLVIDO LA LLAVE")</f>
        <v>OLVIDO LA LLAVE</v>
      </c>
      <c r="W418" s="64" t="str">
        <f>IFERROR(__xludf.DUMMYFUNCTION("""COMPUTED_VALUE"""),"CARGA SOBREDIMENSIONADA")</f>
        <v>CARGA SOBREDIMENSIONADA</v>
      </c>
      <c r="X418" s="64" t="str">
        <f>IFERROR(__xludf.DUMMYFUNCTION("""COMPUTED_VALUE"""),"VEHÍCULO ABANDONADO")</f>
        <v>VEHÍCULO ABANDONADO</v>
      </c>
      <c r="Y418" s="64" t="str">
        <f>IFERROR(__xludf.DUMMYFUNCTION("""COMPUTED_VALUE"""),"DESPRENDIMIENTO")</f>
        <v>DESPRENDIMIENTO</v>
      </c>
      <c r="Z418" s="64" t="str">
        <f>IFERROR(__xludf.DUMMYFUNCTION("""COMPUTED_VALUE"""),"CAÍDA DE POSTE")</f>
        <v>CAÍDA DE POSTE</v>
      </c>
      <c r="AA418" s="64" t="str">
        <f>IFERROR(__xludf.DUMMYFUNCTION("""COMPUTED_VALUE"""),"CAÍDA DE RAMA")</f>
        <v>CAÍDA DE RAMA</v>
      </c>
      <c r="AB418" s="64" t="str">
        <f>IFERROR(__xludf.DUMMYFUNCTION("""COMPUTED_VALUE"""),"OPERATIVO DGT")</f>
        <v>OPERATIVO DGT</v>
      </c>
      <c r="AC418" s="64" t="str">
        <f>IFERROR(__xludf.DUMMYFUNCTION("""COMPUTED_VALUE"""),"OPERATIVO PMT")</f>
        <v>OPERATIVO PMT</v>
      </c>
      <c r="AD418" s="64" t="str">
        <f>IFERROR(__xludf.DUMMYFUNCTION("""COMPUTED_VALUE"""),"APOYO A DIGEF")</f>
        <v>APOYO A DIGEF</v>
      </c>
      <c r="AE418" s="64" t="str">
        <f>IFERROR(__xludf.DUMMYFUNCTION("""COMPUTED_VALUE"""),"OPERATIVO PNC TRANSITO")</f>
        <v>OPERATIVO PNC TRANSITO</v>
      </c>
      <c r="AF418" s="64" t="str">
        <f>IFERROR(__xludf.DUMMYFUNCTION("""COMPUTED_VALUE"""),"SOBRECARGA ")</f>
        <v>SOBRECARGA </v>
      </c>
      <c r="AG418" s="64" t="str">
        <f>IFERROR(__xludf.DUMMYFUNCTION("""COMPUTED_VALUE"""),"OPERATIVO EN CONJUNTO")</f>
        <v>OPERATIVO EN CONJUNTO</v>
      </c>
      <c r="AH418" s="64" t="str">
        <f>IFERROR(__xludf.DUMMYFUNCTION("""COMPUTED_VALUE"""),"PUESTO DE ATENCION AL USUARIO")</f>
        <v>PUESTO DE ATENCION AL USUARIO</v>
      </c>
      <c r="AI418" s="64" t="str">
        <f>IFERROR(__xludf.DUMMYFUNCTION("""COMPUTED_VALUE"""),"INCENDIO EN RUTA")</f>
        <v>INCENDIO EN RUTA</v>
      </c>
      <c r="AJ418" s="64" t="str">
        <f>IFERROR(__xludf.DUMMYFUNCTION("""COMPUTED_VALUE"""),"APOYO ANTORCHA ")</f>
        <v>APOYO ANTORCHA </v>
      </c>
    </row>
    <row r="419">
      <c r="B419" s="64" t="s">
        <v>54</v>
      </c>
      <c r="C419" s="64" t="str">
        <f>IFERROR(__xludf.DUMMYFUNCTION(" TRANSPOSE( unique ( QUERY(DATOPRO,""select Col2 where Col1 = '""&amp;B419&amp;""'"")))"),"PINCHAZO")</f>
        <v>PINCHAZO</v>
      </c>
      <c r="D419" s="64" t="str">
        <f>IFERROR(__xludf.DUMMYFUNCTION("""COMPUTED_VALUE"""),"TRABAJOS DE CARRETERA")</f>
        <v>TRABAJOS DE CARRETERA</v>
      </c>
      <c r="E419" s="64" t="str">
        <f>IFERROR(__xludf.DUMMYFUNCTION("""COMPUTED_VALUE"""),"CONSIGNACIÓN")</f>
        <v>CONSIGNACIÓN</v>
      </c>
      <c r="F419" s="64" t="str">
        <f>IFERROR(__xludf.DUMMYFUNCTION("""COMPUTED_VALUE"""),"DERRAME")</f>
        <v>DERRAME</v>
      </c>
      <c r="G419" s="64" t="str">
        <f>IFERROR(__xludf.DUMMYFUNCTION("""COMPUTED_VALUE"""),"CALENTAMIENTO")</f>
        <v>CALENTAMIENTO</v>
      </c>
      <c r="H419" s="64" t="str">
        <f>IFERROR(__xludf.DUMMYFUNCTION("""COMPUTED_VALUE"""),"ESCOLTANDO")</f>
        <v>ESCOLTANDO</v>
      </c>
      <c r="I419" s="64" t="str">
        <f>IFERROR(__xludf.DUMMYFUNCTION("""COMPUTED_VALUE"""),"FALTA DE COMBUSTIBLE")</f>
        <v>FALTA DE COMBUSTIBLE</v>
      </c>
      <c r="J419" s="64" t="str">
        <f>IFERROR(__xludf.DUMMYFUNCTION("""COMPUTED_VALUE"""),"DESPERFECTOS MECÁNICOS")</f>
        <v>DESPERFECTOS MECÁNICOS</v>
      </c>
      <c r="K419" s="64" t="str">
        <f>IFERROR(__xludf.DUMMYFUNCTION("""COMPUTED_VALUE"""),"LLAMADA DE ATENCIÓN")</f>
        <v>LLAMADA DE ATENCIÓN</v>
      </c>
      <c r="L419" s="64" t="str">
        <f>IFERROR(__xludf.DUMMYFUNCTION("""COMPUTED_VALUE"""),"OPERATIVOS")</f>
        <v>OPERATIVOS</v>
      </c>
      <c r="M419" s="64" t="str">
        <f>IFERROR(__xludf.DUMMYFUNCTION("""COMPUTED_VALUE"""),"SANCIÓN")</f>
        <v>SANCIÓN</v>
      </c>
      <c r="N419" s="64" t="str">
        <f>IFERROR(__xludf.DUMMYFUNCTION("""COMPUTED_VALUE"""),"SISTEMA ELECTRICO")</f>
        <v>SISTEMA ELECTRICO</v>
      </c>
      <c r="O419" s="64" t="str">
        <f>IFERROR(__xludf.DUMMYFUNCTION("""COMPUTED_VALUE"""),"ASISTENCIA AL USUARIO")</f>
        <v>ASISTENCIA AL USUARIO</v>
      </c>
      <c r="P419" s="64" t="str">
        <f>IFERROR(__xludf.DUMMYFUNCTION("""COMPUTED_VALUE"""),"DOBLE REMOLQUE")</f>
        <v>DOBLE REMOLQUE</v>
      </c>
      <c r="Q419" s="64" t="str">
        <f>IFERROR(__xludf.DUMMYFUNCTION("""COMPUTED_VALUE"""),"SINAPRESE")</f>
        <v>SINAPRESE</v>
      </c>
      <c r="R419" s="64" t="str">
        <f>IFERROR(__xludf.DUMMYFUNCTION("""COMPUTED_VALUE"""),"APOYO ATLETISMO")</f>
        <v>APOYO ATLETISMO</v>
      </c>
      <c r="S419" s="64" t="str">
        <f>IFERROR(__xludf.DUMMYFUNCTION("""COMPUTED_VALUE"""),"APOYO A CICLISMO")</f>
        <v>APOYO A CICLISMO</v>
      </c>
      <c r="T419" s="64" t="str">
        <f>IFERROR(__xludf.DUMMYFUNCTION("""COMPUTED_VALUE"""),"DESCARGA DE BATERÍA")</f>
        <v>DESCARGA DE BATERÍA</v>
      </c>
      <c r="U419" s="64" t="str">
        <f>IFERROR(__xludf.DUMMYFUNCTION("""COMPUTED_VALUE"""),"PROBLEMAS DE SALUD")</f>
        <v>PROBLEMAS DE SALUD</v>
      </c>
      <c r="V419" s="64" t="str">
        <f>IFERROR(__xludf.DUMMYFUNCTION("""COMPUTED_VALUE"""),"OLVIDO LA LLAVE")</f>
        <v>OLVIDO LA LLAVE</v>
      </c>
      <c r="W419" s="64" t="str">
        <f>IFERROR(__xludf.DUMMYFUNCTION("""COMPUTED_VALUE"""),"CARGA SOBREDIMENSIONADA")</f>
        <v>CARGA SOBREDIMENSIONADA</v>
      </c>
      <c r="X419" s="64" t="str">
        <f>IFERROR(__xludf.DUMMYFUNCTION("""COMPUTED_VALUE"""),"VEHÍCULO ABANDONADO")</f>
        <v>VEHÍCULO ABANDONADO</v>
      </c>
      <c r="Y419" s="64" t="str">
        <f>IFERROR(__xludf.DUMMYFUNCTION("""COMPUTED_VALUE"""),"DESPRENDIMIENTO")</f>
        <v>DESPRENDIMIENTO</v>
      </c>
      <c r="Z419" s="64" t="str">
        <f>IFERROR(__xludf.DUMMYFUNCTION("""COMPUTED_VALUE"""),"CAÍDA DE POSTE")</f>
        <v>CAÍDA DE POSTE</v>
      </c>
      <c r="AA419" s="64" t="str">
        <f>IFERROR(__xludf.DUMMYFUNCTION("""COMPUTED_VALUE"""),"CAÍDA DE RAMA")</f>
        <v>CAÍDA DE RAMA</v>
      </c>
      <c r="AB419" s="64" t="str">
        <f>IFERROR(__xludf.DUMMYFUNCTION("""COMPUTED_VALUE"""),"OPERATIVO DGT")</f>
        <v>OPERATIVO DGT</v>
      </c>
      <c r="AC419" s="64" t="str">
        <f>IFERROR(__xludf.DUMMYFUNCTION("""COMPUTED_VALUE"""),"OPERATIVO PMT")</f>
        <v>OPERATIVO PMT</v>
      </c>
      <c r="AD419" s="64" t="str">
        <f>IFERROR(__xludf.DUMMYFUNCTION("""COMPUTED_VALUE"""),"APOYO A DIGEF")</f>
        <v>APOYO A DIGEF</v>
      </c>
      <c r="AE419" s="64" t="str">
        <f>IFERROR(__xludf.DUMMYFUNCTION("""COMPUTED_VALUE"""),"OPERATIVO PNC TRANSITO")</f>
        <v>OPERATIVO PNC TRANSITO</v>
      </c>
      <c r="AF419" s="64" t="str">
        <f>IFERROR(__xludf.DUMMYFUNCTION("""COMPUTED_VALUE"""),"SOBRECARGA ")</f>
        <v>SOBRECARGA </v>
      </c>
      <c r="AG419" s="64" t="str">
        <f>IFERROR(__xludf.DUMMYFUNCTION("""COMPUTED_VALUE"""),"OPERATIVO EN CONJUNTO")</f>
        <v>OPERATIVO EN CONJUNTO</v>
      </c>
      <c r="AH419" s="64" t="str">
        <f>IFERROR(__xludf.DUMMYFUNCTION("""COMPUTED_VALUE"""),"PUESTO DE ATENCION AL USUARIO")</f>
        <v>PUESTO DE ATENCION AL USUARIO</v>
      </c>
      <c r="AI419" s="64" t="str">
        <f>IFERROR(__xludf.DUMMYFUNCTION("""COMPUTED_VALUE"""),"INCENDIO EN RUTA")</f>
        <v>INCENDIO EN RUTA</v>
      </c>
      <c r="AJ419" s="64" t="str">
        <f>IFERROR(__xludf.DUMMYFUNCTION("""COMPUTED_VALUE"""),"APOYO ANTORCHA ")</f>
        <v>APOYO ANTORCHA </v>
      </c>
    </row>
    <row r="420">
      <c r="B420" s="64" t="s">
        <v>54</v>
      </c>
      <c r="C420" s="64" t="str">
        <f>IFERROR(__xludf.DUMMYFUNCTION(" TRANSPOSE( unique ( QUERY(DATOPRO,""select Col2 where Col1 = '""&amp;B420&amp;""'"")))"),"PINCHAZO")</f>
        <v>PINCHAZO</v>
      </c>
      <c r="D420" s="64" t="str">
        <f>IFERROR(__xludf.DUMMYFUNCTION("""COMPUTED_VALUE"""),"TRABAJOS DE CARRETERA")</f>
        <v>TRABAJOS DE CARRETERA</v>
      </c>
      <c r="E420" s="64" t="str">
        <f>IFERROR(__xludf.DUMMYFUNCTION("""COMPUTED_VALUE"""),"CONSIGNACIÓN")</f>
        <v>CONSIGNACIÓN</v>
      </c>
      <c r="F420" s="64" t="str">
        <f>IFERROR(__xludf.DUMMYFUNCTION("""COMPUTED_VALUE"""),"DERRAME")</f>
        <v>DERRAME</v>
      </c>
      <c r="G420" s="64" t="str">
        <f>IFERROR(__xludf.DUMMYFUNCTION("""COMPUTED_VALUE"""),"CALENTAMIENTO")</f>
        <v>CALENTAMIENTO</v>
      </c>
      <c r="H420" s="64" t="str">
        <f>IFERROR(__xludf.DUMMYFUNCTION("""COMPUTED_VALUE"""),"ESCOLTANDO")</f>
        <v>ESCOLTANDO</v>
      </c>
      <c r="I420" s="64" t="str">
        <f>IFERROR(__xludf.DUMMYFUNCTION("""COMPUTED_VALUE"""),"FALTA DE COMBUSTIBLE")</f>
        <v>FALTA DE COMBUSTIBLE</v>
      </c>
      <c r="J420" s="64" t="str">
        <f>IFERROR(__xludf.DUMMYFUNCTION("""COMPUTED_VALUE"""),"DESPERFECTOS MECÁNICOS")</f>
        <v>DESPERFECTOS MECÁNICOS</v>
      </c>
      <c r="K420" s="64" t="str">
        <f>IFERROR(__xludf.DUMMYFUNCTION("""COMPUTED_VALUE"""),"LLAMADA DE ATENCIÓN")</f>
        <v>LLAMADA DE ATENCIÓN</v>
      </c>
      <c r="L420" s="64" t="str">
        <f>IFERROR(__xludf.DUMMYFUNCTION("""COMPUTED_VALUE"""),"OPERATIVOS")</f>
        <v>OPERATIVOS</v>
      </c>
      <c r="M420" s="64" t="str">
        <f>IFERROR(__xludf.DUMMYFUNCTION("""COMPUTED_VALUE"""),"SANCIÓN")</f>
        <v>SANCIÓN</v>
      </c>
      <c r="N420" s="64" t="str">
        <f>IFERROR(__xludf.DUMMYFUNCTION("""COMPUTED_VALUE"""),"SISTEMA ELECTRICO")</f>
        <v>SISTEMA ELECTRICO</v>
      </c>
      <c r="O420" s="64" t="str">
        <f>IFERROR(__xludf.DUMMYFUNCTION("""COMPUTED_VALUE"""),"ASISTENCIA AL USUARIO")</f>
        <v>ASISTENCIA AL USUARIO</v>
      </c>
      <c r="P420" s="64" t="str">
        <f>IFERROR(__xludf.DUMMYFUNCTION("""COMPUTED_VALUE"""),"DOBLE REMOLQUE")</f>
        <v>DOBLE REMOLQUE</v>
      </c>
      <c r="Q420" s="64" t="str">
        <f>IFERROR(__xludf.DUMMYFUNCTION("""COMPUTED_VALUE"""),"SINAPRESE")</f>
        <v>SINAPRESE</v>
      </c>
      <c r="R420" s="64" t="str">
        <f>IFERROR(__xludf.DUMMYFUNCTION("""COMPUTED_VALUE"""),"APOYO ATLETISMO")</f>
        <v>APOYO ATLETISMO</v>
      </c>
      <c r="S420" s="64" t="str">
        <f>IFERROR(__xludf.DUMMYFUNCTION("""COMPUTED_VALUE"""),"APOYO A CICLISMO")</f>
        <v>APOYO A CICLISMO</v>
      </c>
      <c r="T420" s="64" t="str">
        <f>IFERROR(__xludf.DUMMYFUNCTION("""COMPUTED_VALUE"""),"DESCARGA DE BATERÍA")</f>
        <v>DESCARGA DE BATERÍA</v>
      </c>
      <c r="U420" s="64" t="str">
        <f>IFERROR(__xludf.DUMMYFUNCTION("""COMPUTED_VALUE"""),"PROBLEMAS DE SALUD")</f>
        <v>PROBLEMAS DE SALUD</v>
      </c>
      <c r="V420" s="64" t="str">
        <f>IFERROR(__xludf.DUMMYFUNCTION("""COMPUTED_VALUE"""),"OLVIDO LA LLAVE")</f>
        <v>OLVIDO LA LLAVE</v>
      </c>
      <c r="W420" s="64" t="str">
        <f>IFERROR(__xludf.DUMMYFUNCTION("""COMPUTED_VALUE"""),"CARGA SOBREDIMENSIONADA")</f>
        <v>CARGA SOBREDIMENSIONADA</v>
      </c>
      <c r="X420" s="64" t="str">
        <f>IFERROR(__xludf.DUMMYFUNCTION("""COMPUTED_VALUE"""),"VEHÍCULO ABANDONADO")</f>
        <v>VEHÍCULO ABANDONADO</v>
      </c>
      <c r="Y420" s="64" t="str">
        <f>IFERROR(__xludf.DUMMYFUNCTION("""COMPUTED_VALUE"""),"DESPRENDIMIENTO")</f>
        <v>DESPRENDIMIENTO</v>
      </c>
      <c r="Z420" s="64" t="str">
        <f>IFERROR(__xludf.DUMMYFUNCTION("""COMPUTED_VALUE"""),"CAÍDA DE POSTE")</f>
        <v>CAÍDA DE POSTE</v>
      </c>
      <c r="AA420" s="64" t="str">
        <f>IFERROR(__xludf.DUMMYFUNCTION("""COMPUTED_VALUE"""),"CAÍDA DE RAMA")</f>
        <v>CAÍDA DE RAMA</v>
      </c>
      <c r="AB420" s="64" t="str">
        <f>IFERROR(__xludf.DUMMYFUNCTION("""COMPUTED_VALUE"""),"OPERATIVO DGT")</f>
        <v>OPERATIVO DGT</v>
      </c>
      <c r="AC420" s="64" t="str">
        <f>IFERROR(__xludf.DUMMYFUNCTION("""COMPUTED_VALUE"""),"OPERATIVO PMT")</f>
        <v>OPERATIVO PMT</v>
      </c>
      <c r="AD420" s="64" t="str">
        <f>IFERROR(__xludf.DUMMYFUNCTION("""COMPUTED_VALUE"""),"APOYO A DIGEF")</f>
        <v>APOYO A DIGEF</v>
      </c>
      <c r="AE420" s="64" t="str">
        <f>IFERROR(__xludf.DUMMYFUNCTION("""COMPUTED_VALUE"""),"OPERATIVO PNC TRANSITO")</f>
        <v>OPERATIVO PNC TRANSITO</v>
      </c>
      <c r="AF420" s="64" t="str">
        <f>IFERROR(__xludf.DUMMYFUNCTION("""COMPUTED_VALUE"""),"SOBRECARGA ")</f>
        <v>SOBRECARGA </v>
      </c>
      <c r="AG420" s="64" t="str">
        <f>IFERROR(__xludf.DUMMYFUNCTION("""COMPUTED_VALUE"""),"OPERATIVO EN CONJUNTO")</f>
        <v>OPERATIVO EN CONJUNTO</v>
      </c>
      <c r="AH420" s="64" t="str">
        <f>IFERROR(__xludf.DUMMYFUNCTION("""COMPUTED_VALUE"""),"PUESTO DE ATENCION AL USUARIO")</f>
        <v>PUESTO DE ATENCION AL USUARIO</v>
      </c>
      <c r="AI420" s="64" t="str">
        <f>IFERROR(__xludf.DUMMYFUNCTION("""COMPUTED_VALUE"""),"INCENDIO EN RUTA")</f>
        <v>INCENDIO EN RUTA</v>
      </c>
      <c r="AJ420" s="64" t="str">
        <f>IFERROR(__xludf.DUMMYFUNCTION("""COMPUTED_VALUE"""),"APOYO ANTORCHA ")</f>
        <v>APOYO ANTORCHA </v>
      </c>
    </row>
    <row r="421">
      <c r="B421" s="64" t="s">
        <v>54</v>
      </c>
      <c r="C421" s="64" t="str">
        <f>IFERROR(__xludf.DUMMYFUNCTION(" TRANSPOSE( unique ( QUERY(DATOPRO,""select Col2 where Col1 = '""&amp;B421&amp;""'"")))"),"PINCHAZO")</f>
        <v>PINCHAZO</v>
      </c>
      <c r="D421" s="64" t="str">
        <f>IFERROR(__xludf.DUMMYFUNCTION("""COMPUTED_VALUE"""),"TRABAJOS DE CARRETERA")</f>
        <v>TRABAJOS DE CARRETERA</v>
      </c>
      <c r="E421" s="64" t="str">
        <f>IFERROR(__xludf.DUMMYFUNCTION("""COMPUTED_VALUE"""),"CONSIGNACIÓN")</f>
        <v>CONSIGNACIÓN</v>
      </c>
      <c r="F421" s="64" t="str">
        <f>IFERROR(__xludf.DUMMYFUNCTION("""COMPUTED_VALUE"""),"DERRAME")</f>
        <v>DERRAME</v>
      </c>
      <c r="G421" s="64" t="str">
        <f>IFERROR(__xludf.DUMMYFUNCTION("""COMPUTED_VALUE"""),"CALENTAMIENTO")</f>
        <v>CALENTAMIENTO</v>
      </c>
      <c r="H421" s="64" t="str">
        <f>IFERROR(__xludf.DUMMYFUNCTION("""COMPUTED_VALUE"""),"ESCOLTANDO")</f>
        <v>ESCOLTANDO</v>
      </c>
      <c r="I421" s="64" t="str">
        <f>IFERROR(__xludf.DUMMYFUNCTION("""COMPUTED_VALUE"""),"FALTA DE COMBUSTIBLE")</f>
        <v>FALTA DE COMBUSTIBLE</v>
      </c>
      <c r="J421" s="64" t="str">
        <f>IFERROR(__xludf.DUMMYFUNCTION("""COMPUTED_VALUE"""),"DESPERFECTOS MECÁNICOS")</f>
        <v>DESPERFECTOS MECÁNICOS</v>
      </c>
      <c r="K421" s="64" t="str">
        <f>IFERROR(__xludf.DUMMYFUNCTION("""COMPUTED_VALUE"""),"LLAMADA DE ATENCIÓN")</f>
        <v>LLAMADA DE ATENCIÓN</v>
      </c>
      <c r="L421" s="64" t="str">
        <f>IFERROR(__xludf.DUMMYFUNCTION("""COMPUTED_VALUE"""),"OPERATIVOS")</f>
        <v>OPERATIVOS</v>
      </c>
      <c r="M421" s="64" t="str">
        <f>IFERROR(__xludf.DUMMYFUNCTION("""COMPUTED_VALUE"""),"SANCIÓN")</f>
        <v>SANCIÓN</v>
      </c>
      <c r="N421" s="64" t="str">
        <f>IFERROR(__xludf.DUMMYFUNCTION("""COMPUTED_VALUE"""),"SISTEMA ELECTRICO")</f>
        <v>SISTEMA ELECTRICO</v>
      </c>
      <c r="O421" s="64" t="str">
        <f>IFERROR(__xludf.DUMMYFUNCTION("""COMPUTED_VALUE"""),"ASISTENCIA AL USUARIO")</f>
        <v>ASISTENCIA AL USUARIO</v>
      </c>
      <c r="P421" s="64" t="str">
        <f>IFERROR(__xludf.DUMMYFUNCTION("""COMPUTED_VALUE"""),"DOBLE REMOLQUE")</f>
        <v>DOBLE REMOLQUE</v>
      </c>
      <c r="Q421" s="64" t="str">
        <f>IFERROR(__xludf.DUMMYFUNCTION("""COMPUTED_VALUE"""),"SINAPRESE")</f>
        <v>SINAPRESE</v>
      </c>
      <c r="R421" s="64" t="str">
        <f>IFERROR(__xludf.DUMMYFUNCTION("""COMPUTED_VALUE"""),"APOYO ATLETISMO")</f>
        <v>APOYO ATLETISMO</v>
      </c>
      <c r="S421" s="64" t="str">
        <f>IFERROR(__xludf.DUMMYFUNCTION("""COMPUTED_VALUE"""),"APOYO A CICLISMO")</f>
        <v>APOYO A CICLISMO</v>
      </c>
      <c r="T421" s="64" t="str">
        <f>IFERROR(__xludf.DUMMYFUNCTION("""COMPUTED_VALUE"""),"DESCARGA DE BATERÍA")</f>
        <v>DESCARGA DE BATERÍA</v>
      </c>
      <c r="U421" s="64" t="str">
        <f>IFERROR(__xludf.DUMMYFUNCTION("""COMPUTED_VALUE"""),"PROBLEMAS DE SALUD")</f>
        <v>PROBLEMAS DE SALUD</v>
      </c>
      <c r="V421" s="64" t="str">
        <f>IFERROR(__xludf.DUMMYFUNCTION("""COMPUTED_VALUE"""),"OLVIDO LA LLAVE")</f>
        <v>OLVIDO LA LLAVE</v>
      </c>
      <c r="W421" s="64" t="str">
        <f>IFERROR(__xludf.DUMMYFUNCTION("""COMPUTED_VALUE"""),"CARGA SOBREDIMENSIONADA")</f>
        <v>CARGA SOBREDIMENSIONADA</v>
      </c>
      <c r="X421" s="64" t="str">
        <f>IFERROR(__xludf.DUMMYFUNCTION("""COMPUTED_VALUE"""),"VEHÍCULO ABANDONADO")</f>
        <v>VEHÍCULO ABANDONADO</v>
      </c>
      <c r="Y421" s="64" t="str">
        <f>IFERROR(__xludf.DUMMYFUNCTION("""COMPUTED_VALUE"""),"DESPRENDIMIENTO")</f>
        <v>DESPRENDIMIENTO</v>
      </c>
      <c r="Z421" s="64" t="str">
        <f>IFERROR(__xludf.DUMMYFUNCTION("""COMPUTED_VALUE"""),"CAÍDA DE POSTE")</f>
        <v>CAÍDA DE POSTE</v>
      </c>
      <c r="AA421" s="64" t="str">
        <f>IFERROR(__xludf.DUMMYFUNCTION("""COMPUTED_VALUE"""),"CAÍDA DE RAMA")</f>
        <v>CAÍDA DE RAMA</v>
      </c>
      <c r="AB421" s="64" t="str">
        <f>IFERROR(__xludf.DUMMYFUNCTION("""COMPUTED_VALUE"""),"OPERATIVO DGT")</f>
        <v>OPERATIVO DGT</v>
      </c>
      <c r="AC421" s="64" t="str">
        <f>IFERROR(__xludf.DUMMYFUNCTION("""COMPUTED_VALUE"""),"OPERATIVO PMT")</f>
        <v>OPERATIVO PMT</v>
      </c>
      <c r="AD421" s="64" t="str">
        <f>IFERROR(__xludf.DUMMYFUNCTION("""COMPUTED_VALUE"""),"APOYO A DIGEF")</f>
        <v>APOYO A DIGEF</v>
      </c>
      <c r="AE421" s="64" t="str">
        <f>IFERROR(__xludf.DUMMYFUNCTION("""COMPUTED_VALUE"""),"OPERATIVO PNC TRANSITO")</f>
        <v>OPERATIVO PNC TRANSITO</v>
      </c>
      <c r="AF421" s="64" t="str">
        <f>IFERROR(__xludf.DUMMYFUNCTION("""COMPUTED_VALUE"""),"SOBRECARGA ")</f>
        <v>SOBRECARGA </v>
      </c>
      <c r="AG421" s="64" t="str">
        <f>IFERROR(__xludf.DUMMYFUNCTION("""COMPUTED_VALUE"""),"OPERATIVO EN CONJUNTO")</f>
        <v>OPERATIVO EN CONJUNTO</v>
      </c>
      <c r="AH421" s="64" t="str">
        <f>IFERROR(__xludf.DUMMYFUNCTION("""COMPUTED_VALUE"""),"PUESTO DE ATENCION AL USUARIO")</f>
        <v>PUESTO DE ATENCION AL USUARIO</v>
      </c>
      <c r="AI421" s="64" t="str">
        <f>IFERROR(__xludf.DUMMYFUNCTION("""COMPUTED_VALUE"""),"INCENDIO EN RUTA")</f>
        <v>INCENDIO EN RUTA</v>
      </c>
      <c r="AJ421" s="64" t="str">
        <f>IFERROR(__xludf.DUMMYFUNCTION("""COMPUTED_VALUE"""),"APOYO ANTORCHA ")</f>
        <v>APOYO ANTORCHA </v>
      </c>
    </row>
    <row r="422">
      <c r="B422" s="64" t="s">
        <v>54</v>
      </c>
      <c r="C422" s="64" t="str">
        <f>IFERROR(__xludf.DUMMYFUNCTION(" TRANSPOSE( unique ( QUERY(DATOPRO,""select Col2 where Col1 = '""&amp;B422&amp;""'"")))"),"PINCHAZO")</f>
        <v>PINCHAZO</v>
      </c>
      <c r="D422" s="64" t="str">
        <f>IFERROR(__xludf.DUMMYFUNCTION("""COMPUTED_VALUE"""),"TRABAJOS DE CARRETERA")</f>
        <v>TRABAJOS DE CARRETERA</v>
      </c>
      <c r="E422" s="64" t="str">
        <f>IFERROR(__xludf.DUMMYFUNCTION("""COMPUTED_VALUE"""),"CONSIGNACIÓN")</f>
        <v>CONSIGNACIÓN</v>
      </c>
      <c r="F422" s="64" t="str">
        <f>IFERROR(__xludf.DUMMYFUNCTION("""COMPUTED_VALUE"""),"DERRAME")</f>
        <v>DERRAME</v>
      </c>
      <c r="G422" s="64" t="str">
        <f>IFERROR(__xludf.DUMMYFUNCTION("""COMPUTED_VALUE"""),"CALENTAMIENTO")</f>
        <v>CALENTAMIENTO</v>
      </c>
      <c r="H422" s="64" t="str">
        <f>IFERROR(__xludf.DUMMYFUNCTION("""COMPUTED_VALUE"""),"ESCOLTANDO")</f>
        <v>ESCOLTANDO</v>
      </c>
      <c r="I422" s="64" t="str">
        <f>IFERROR(__xludf.DUMMYFUNCTION("""COMPUTED_VALUE"""),"FALTA DE COMBUSTIBLE")</f>
        <v>FALTA DE COMBUSTIBLE</v>
      </c>
      <c r="J422" s="64" t="str">
        <f>IFERROR(__xludf.DUMMYFUNCTION("""COMPUTED_VALUE"""),"DESPERFECTOS MECÁNICOS")</f>
        <v>DESPERFECTOS MECÁNICOS</v>
      </c>
      <c r="K422" s="64" t="str">
        <f>IFERROR(__xludf.DUMMYFUNCTION("""COMPUTED_VALUE"""),"LLAMADA DE ATENCIÓN")</f>
        <v>LLAMADA DE ATENCIÓN</v>
      </c>
      <c r="L422" s="64" t="str">
        <f>IFERROR(__xludf.DUMMYFUNCTION("""COMPUTED_VALUE"""),"OPERATIVOS")</f>
        <v>OPERATIVOS</v>
      </c>
      <c r="M422" s="64" t="str">
        <f>IFERROR(__xludf.DUMMYFUNCTION("""COMPUTED_VALUE"""),"SANCIÓN")</f>
        <v>SANCIÓN</v>
      </c>
      <c r="N422" s="64" t="str">
        <f>IFERROR(__xludf.DUMMYFUNCTION("""COMPUTED_VALUE"""),"SISTEMA ELECTRICO")</f>
        <v>SISTEMA ELECTRICO</v>
      </c>
      <c r="O422" s="64" t="str">
        <f>IFERROR(__xludf.DUMMYFUNCTION("""COMPUTED_VALUE"""),"ASISTENCIA AL USUARIO")</f>
        <v>ASISTENCIA AL USUARIO</v>
      </c>
      <c r="P422" s="64" t="str">
        <f>IFERROR(__xludf.DUMMYFUNCTION("""COMPUTED_VALUE"""),"DOBLE REMOLQUE")</f>
        <v>DOBLE REMOLQUE</v>
      </c>
      <c r="Q422" s="64" t="str">
        <f>IFERROR(__xludf.DUMMYFUNCTION("""COMPUTED_VALUE"""),"SINAPRESE")</f>
        <v>SINAPRESE</v>
      </c>
      <c r="R422" s="64" t="str">
        <f>IFERROR(__xludf.DUMMYFUNCTION("""COMPUTED_VALUE"""),"APOYO ATLETISMO")</f>
        <v>APOYO ATLETISMO</v>
      </c>
      <c r="S422" s="64" t="str">
        <f>IFERROR(__xludf.DUMMYFUNCTION("""COMPUTED_VALUE"""),"APOYO A CICLISMO")</f>
        <v>APOYO A CICLISMO</v>
      </c>
      <c r="T422" s="64" t="str">
        <f>IFERROR(__xludf.DUMMYFUNCTION("""COMPUTED_VALUE"""),"DESCARGA DE BATERÍA")</f>
        <v>DESCARGA DE BATERÍA</v>
      </c>
      <c r="U422" s="64" t="str">
        <f>IFERROR(__xludf.DUMMYFUNCTION("""COMPUTED_VALUE"""),"PROBLEMAS DE SALUD")</f>
        <v>PROBLEMAS DE SALUD</v>
      </c>
      <c r="V422" s="64" t="str">
        <f>IFERROR(__xludf.DUMMYFUNCTION("""COMPUTED_VALUE"""),"OLVIDO LA LLAVE")</f>
        <v>OLVIDO LA LLAVE</v>
      </c>
      <c r="W422" s="64" t="str">
        <f>IFERROR(__xludf.DUMMYFUNCTION("""COMPUTED_VALUE"""),"CARGA SOBREDIMENSIONADA")</f>
        <v>CARGA SOBREDIMENSIONADA</v>
      </c>
      <c r="X422" s="64" t="str">
        <f>IFERROR(__xludf.DUMMYFUNCTION("""COMPUTED_VALUE"""),"VEHÍCULO ABANDONADO")</f>
        <v>VEHÍCULO ABANDONADO</v>
      </c>
      <c r="Y422" s="64" t="str">
        <f>IFERROR(__xludf.DUMMYFUNCTION("""COMPUTED_VALUE"""),"DESPRENDIMIENTO")</f>
        <v>DESPRENDIMIENTO</v>
      </c>
      <c r="Z422" s="64" t="str">
        <f>IFERROR(__xludf.DUMMYFUNCTION("""COMPUTED_VALUE"""),"CAÍDA DE POSTE")</f>
        <v>CAÍDA DE POSTE</v>
      </c>
      <c r="AA422" s="64" t="str">
        <f>IFERROR(__xludf.DUMMYFUNCTION("""COMPUTED_VALUE"""),"CAÍDA DE RAMA")</f>
        <v>CAÍDA DE RAMA</v>
      </c>
      <c r="AB422" s="64" t="str">
        <f>IFERROR(__xludf.DUMMYFUNCTION("""COMPUTED_VALUE"""),"OPERATIVO DGT")</f>
        <v>OPERATIVO DGT</v>
      </c>
      <c r="AC422" s="64" t="str">
        <f>IFERROR(__xludf.DUMMYFUNCTION("""COMPUTED_VALUE"""),"OPERATIVO PMT")</f>
        <v>OPERATIVO PMT</v>
      </c>
      <c r="AD422" s="64" t="str">
        <f>IFERROR(__xludf.DUMMYFUNCTION("""COMPUTED_VALUE"""),"APOYO A DIGEF")</f>
        <v>APOYO A DIGEF</v>
      </c>
      <c r="AE422" s="64" t="str">
        <f>IFERROR(__xludf.DUMMYFUNCTION("""COMPUTED_VALUE"""),"OPERATIVO PNC TRANSITO")</f>
        <v>OPERATIVO PNC TRANSITO</v>
      </c>
      <c r="AF422" s="64" t="str">
        <f>IFERROR(__xludf.DUMMYFUNCTION("""COMPUTED_VALUE"""),"SOBRECARGA ")</f>
        <v>SOBRECARGA </v>
      </c>
      <c r="AG422" s="64" t="str">
        <f>IFERROR(__xludf.DUMMYFUNCTION("""COMPUTED_VALUE"""),"OPERATIVO EN CONJUNTO")</f>
        <v>OPERATIVO EN CONJUNTO</v>
      </c>
      <c r="AH422" s="64" t="str">
        <f>IFERROR(__xludf.DUMMYFUNCTION("""COMPUTED_VALUE"""),"PUESTO DE ATENCION AL USUARIO")</f>
        <v>PUESTO DE ATENCION AL USUARIO</v>
      </c>
      <c r="AI422" s="64" t="str">
        <f>IFERROR(__xludf.DUMMYFUNCTION("""COMPUTED_VALUE"""),"INCENDIO EN RUTA")</f>
        <v>INCENDIO EN RUTA</v>
      </c>
      <c r="AJ422" s="64" t="str">
        <f>IFERROR(__xludf.DUMMYFUNCTION("""COMPUTED_VALUE"""),"APOYO ANTORCHA ")</f>
        <v>APOYO ANTORCHA </v>
      </c>
    </row>
    <row r="423">
      <c r="B423" s="64" t="s">
        <v>54</v>
      </c>
      <c r="C423" s="64" t="str">
        <f>IFERROR(__xludf.DUMMYFUNCTION(" TRANSPOSE( unique ( QUERY(DATOPRO,""select Col2 where Col1 = '""&amp;B423&amp;""'"")))"),"PINCHAZO")</f>
        <v>PINCHAZO</v>
      </c>
      <c r="D423" s="64" t="str">
        <f>IFERROR(__xludf.DUMMYFUNCTION("""COMPUTED_VALUE"""),"TRABAJOS DE CARRETERA")</f>
        <v>TRABAJOS DE CARRETERA</v>
      </c>
      <c r="E423" s="64" t="str">
        <f>IFERROR(__xludf.DUMMYFUNCTION("""COMPUTED_VALUE"""),"CONSIGNACIÓN")</f>
        <v>CONSIGNACIÓN</v>
      </c>
      <c r="F423" s="64" t="str">
        <f>IFERROR(__xludf.DUMMYFUNCTION("""COMPUTED_VALUE"""),"DERRAME")</f>
        <v>DERRAME</v>
      </c>
      <c r="G423" s="64" t="str">
        <f>IFERROR(__xludf.DUMMYFUNCTION("""COMPUTED_VALUE"""),"CALENTAMIENTO")</f>
        <v>CALENTAMIENTO</v>
      </c>
      <c r="H423" s="64" t="str">
        <f>IFERROR(__xludf.DUMMYFUNCTION("""COMPUTED_VALUE"""),"ESCOLTANDO")</f>
        <v>ESCOLTANDO</v>
      </c>
      <c r="I423" s="64" t="str">
        <f>IFERROR(__xludf.DUMMYFUNCTION("""COMPUTED_VALUE"""),"FALTA DE COMBUSTIBLE")</f>
        <v>FALTA DE COMBUSTIBLE</v>
      </c>
      <c r="J423" s="64" t="str">
        <f>IFERROR(__xludf.DUMMYFUNCTION("""COMPUTED_VALUE"""),"DESPERFECTOS MECÁNICOS")</f>
        <v>DESPERFECTOS MECÁNICOS</v>
      </c>
      <c r="K423" s="64" t="str">
        <f>IFERROR(__xludf.DUMMYFUNCTION("""COMPUTED_VALUE"""),"LLAMADA DE ATENCIÓN")</f>
        <v>LLAMADA DE ATENCIÓN</v>
      </c>
      <c r="L423" s="64" t="str">
        <f>IFERROR(__xludf.DUMMYFUNCTION("""COMPUTED_VALUE"""),"OPERATIVOS")</f>
        <v>OPERATIVOS</v>
      </c>
      <c r="M423" s="64" t="str">
        <f>IFERROR(__xludf.DUMMYFUNCTION("""COMPUTED_VALUE"""),"SANCIÓN")</f>
        <v>SANCIÓN</v>
      </c>
      <c r="N423" s="64" t="str">
        <f>IFERROR(__xludf.DUMMYFUNCTION("""COMPUTED_VALUE"""),"SISTEMA ELECTRICO")</f>
        <v>SISTEMA ELECTRICO</v>
      </c>
      <c r="O423" s="64" t="str">
        <f>IFERROR(__xludf.DUMMYFUNCTION("""COMPUTED_VALUE"""),"ASISTENCIA AL USUARIO")</f>
        <v>ASISTENCIA AL USUARIO</v>
      </c>
      <c r="P423" s="64" t="str">
        <f>IFERROR(__xludf.DUMMYFUNCTION("""COMPUTED_VALUE"""),"DOBLE REMOLQUE")</f>
        <v>DOBLE REMOLQUE</v>
      </c>
      <c r="Q423" s="64" t="str">
        <f>IFERROR(__xludf.DUMMYFUNCTION("""COMPUTED_VALUE"""),"SINAPRESE")</f>
        <v>SINAPRESE</v>
      </c>
      <c r="R423" s="64" t="str">
        <f>IFERROR(__xludf.DUMMYFUNCTION("""COMPUTED_VALUE"""),"APOYO ATLETISMO")</f>
        <v>APOYO ATLETISMO</v>
      </c>
      <c r="S423" s="64" t="str">
        <f>IFERROR(__xludf.DUMMYFUNCTION("""COMPUTED_VALUE"""),"APOYO A CICLISMO")</f>
        <v>APOYO A CICLISMO</v>
      </c>
      <c r="T423" s="64" t="str">
        <f>IFERROR(__xludf.DUMMYFUNCTION("""COMPUTED_VALUE"""),"DESCARGA DE BATERÍA")</f>
        <v>DESCARGA DE BATERÍA</v>
      </c>
      <c r="U423" s="64" t="str">
        <f>IFERROR(__xludf.DUMMYFUNCTION("""COMPUTED_VALUE"""),"PROBLEMAS DE SALUD")</f>
        <v>PROBLEMAS DE SALUD</v>
      </c>
      <c r="V423" s="64" t="str">
        <f>IFERROR(__xludf.DUMMYFUNCTION("""COMPUTED_VALUE"""),"OLVIDO LA LLAVE")</f>
        <v>OLVIDO LA LLAVE</v>
      </c>
      <c r="W423" s="64" t="str">
        <f>IFERROR(__xludf.DUMMYFUNCTION("""COMPUTED_VALUE"""),"CARGA SOBREDIMENSIONADA")</f>
        <v>CARGA SOBREDIMENSIONADA</v>
      </c>
      <c r="X423" s="64" t="str">
        <f>IFERROR(__xludf.DUMMYFUNCTION("""COMPUTED_VALUE"""),"VEHÍCULO ABANDONADO")</f>
        <v>VEHÍCULO ABANDONADO</v>
      </c>
      <c r="Y423" s="64" t="str">
        <f>IFERROR(__xludf.DUMMYFUNCTION("""COMPUTED_VALUE"""),"DESPRENDIMIENTO")</f>
        <v>DESPRENDIMIENTO</v>
      </c>
      <c r="Z423" s="64" t="str">
        <f>IFERROR(__xludf.DUMMYFUNCTION("""COMPUTED_VALUE"""),"CAÍDA DE POSTE")</f>
        <v>CAÍDA DE POSTE</v>
      </c>
      <c r="AA423" s="64" t="str">
        <f>IFERROR(__xludf.DUMMYFUNCTION("""COMPUTED_VALUE"""),"CAÍDA DE RAMA")</f>
        <v>CAÍDA DE RAMA</v>
      </c>
      <c r="AB423" s="64" t="str">
        <f>IFERROR(__xludf.DUMMYFUNCTION("""COMPUTED_VALUE"""),"OPERATIVO DGT")</f>
        <v>OPERATIVO DGT</v>
      </c>
      <c r="AC423" s="64" t="str">
        <f>IFERROR(__xludf.DUMMYFUNCTION("""COMPUTED_VALUE"""),"OPERATIVO PMT")</f>
        <v>OPERATIVO PMT</v>
      </c>
      <c r="AD423" s="64" t="str">
        <f>IFERROR(__xludf.DUMMYFUNCTION("""COMPUTED_VALUE"""),"APOYO A DIGEF")</f>
        <v>APOYO A DIGEF</v>
      </c>
      <c r="AE423" s="64" t="str">
        <f>IFERROR(__xludf.DUMMYFUNCTION("""COMPUTED_VALUE"""),"OPERATIVO PNC TRANSITO")</f>
        <v>OPERATIVO PNC TRANSITO</v>
      </c>
      <c r="AF423" s="64" t="str">
        <f>IFERROR(__xludf.DUMMYFUNCTION("""COMPUTED_VALUE"""),"SOBRECARGA ")</f>
        <v>SOBRECARGA </v>
      </c>
      <c r="AG423" s="64" t="str">
        <f>IFERROR(__xludf.DUMMYFUNCTION("""COMPUTED_VALUE"""),"OPERATIVO EN CONJUNTO")</f>
        <v>OPERATIVO EN CONJUNTO</v>
      </c>
      <c r="AH423" s="64" t="str">
        <f>IFERROR(__xludf.DUMMYFUNCTION("""COMPUTED_VALUE"""),"PUESTO DE ATENCION AL USUARIO")</f>
        <v>PUESTO DE ATENCION AL USUARIO</v>
      </c>
      <c r="AI423" s="64" t="str">
        <f>IFERROR(__xludf.DUMMYFUNCTION("""COMPUTED_VALUE"""),"INCENDIO EN RUTA")</f>
        <v>INCENDIO EN RUTA</v>
      </c>
      <c r="AJ423" s="64" t="str">
        <f>IFERROR(__xludf.DUMMYFUNCTION("""COMPUTED_VALUE"""),"APOYO ANTORCHA ")</f>
        <v>APOYO ANTORCHA </v>
      </c>
    </row>
    <row r="424">
      <c r="B424" s="64"/>
      <c r="C424" s="64" t="str">
        <f>IFERROR(__xludf.DUMMYFUNCTION(" TRANSPOSE( unique ( QUERY(DATOPRO,""select Col2 where Col1 = '""&amp;B424&amp;""'"")))"),"")</f>
        <v/>
      </c>
    </row>
    <row r="425">
      <c r="B425" s="64" t="s">
        <v>38</v>
      </c>
      <c r="C425" s="64" t="str">
        <f>IFERROR(__xludf.DUMMYFUNCTION(" TRANSPOSE( unique ( QUERY(DATOPRO,""select Col2 where Col1 = '""&amp;B425&amp;""'"")))"),"ATAQUE ARMADO")</f>
        <v>ATAQUE ARMADO</v>
      </c>
      <c r="D425" s="64" t="str">
        <f>IFERROR(__xludf.DUMMYFUNCTION("""COMPUTED_VALUE"""),"DESBALANCE DE CARGA")</f>
        <v>DESBALANCE DE CARGA</v>
      </c>
      <c r="E425" s="64" t="str">
        <f>IFERROR(__xludf.DUMMYFUNCTION("""COMPUTED_VALUE"""),"PERSONA FALLECIDA")</f>
        <v>PERSONA FALLECIDA</v>
      </c>
      <c r="F425" s="64" t="str">
        <f>IFERROR(__xludf.DUMMYFUNCTION("""COMPUTED_VALUE"""),"DESPRENDIMIENTO DE NEUMATICO")</f>
        <v>DESPRENDIMIENTO DE NEUMATICO</v>
      </c>
      <c r="G425" s="64" t="str">
        <f>IFERROR(__xludf.DUMMYFUNCTION("""COMPUTED_VALUE"""),"SALIDA DE PISTA")</f>
        <v>SALIDA DE PISTA</v>
      </c>
      <c r="H425" s="64" t="str">
        <f>IFERROR(__xludf.DUMMYFUNCTION("""COMPUTED_VALUE"""),"DESPRENDIMIENTO DE CONTENEDOR")</f>
        <v>DESPRENDIMIENTO DE CONTENEDOR</v>
      </c>
      <c r="I425" s="64" t="str">
        <f>IFERROR(__xludf.DUMMYFUNCTION("""COMPUTED_VALUE"""),"CAÍDA DE CARGA")</f>
        <v>CAÍDA DE CARGA</v>
      </c>
      <c r="J425" s="64" t="str">
        <f>IFERROR(__xludf.DUMMYFUNCTION("""COMPUTED_VALUE"""),"CHOQUE")</f>
        <v>CHOQUE</v>
      </c>
      <c r="K425" s="64" t="str">
        <f>IFERROR(__xludf.DUMMYFUNCTION("""COMPUTED_VALUE"""),"COLISIÓN")</f>
        <v>COLISIÓN</v>
      </c>
      <c r="L425" s="64" t="str">
        <f>IFERROR(__xludf.DUMMYFUNCTION("""COMPUTED_VALUE"""),"COLISIÓN MÚLTIPLE")</f>
        <v>COLISIÓN MÚLTIPLE</v>
      </c>
      <c r="M425" s="64" t="str">
        <f>IFERROR(__xludf.DUMMYFUNCTION("""COMPUTED_VALUE"""),"DERRAPE")</f>
        <v>DERRAPE</v>
      </c>
      <c r="N425" s="64" t="str">
        <f>IFERROR(__xludf.DUMMYFUNCTION("""COMPUTED_VALUE"""),"VEHÍCULO INCENDIADO")</f>
        <v>VEHÍCULO INCENDIADO</v>
      </c>
      <c r="O425" s="64" t="str">
        <f>IFERROR(__xludf.DUMMYFUNCTION("""COMPUTED_VALUE"""),"VUELCO")</f>
        <v>VUELCO</v>
      </c>
      <c r="P425" s="64" t="str">
        <f>IFERROR(__xludf.DUMMYFUNCTION("""COMPUTED_VALUE"""),"DESPRENDIMIENTO")</f>
        <v>DESPRENDIMIENTO</v>
      </c>
      <c r="Q425" s="64" t="str">
        <f>IFERROR(__xludf.DUMMYFUNCTION("""COMPUTED_VALUE"""),"CAÍDA DE ÁRBOL")</f>
        <v>CAÍDA DE ÁRBOL</v>
      </c>
      <c r="R425" s="64" t="str">
        <f>IFERROR(__xludf.DUMMYFUNCTION("""COMPUTED_VALUE"""),"DESPRENDIMIENTO DE EJE")</f>
        <v>DESPRENDIMIENTO DE EJE</v>
      </c>
      <c r="S425" s="64" t="str">
        <f>IFERROR(__xludf.DUMMYFUNCTION("""COMPUTED_VALUE"""),"PERSONA ATROPELLADA")</f>
        <v>PERSONA ATROPELLADA</v>
      </c>
    </row>
    <row r="426">
      <c r="B426" s="64" t="s">
        <v>54</v>
      </c>
      <c r="C426" s="64" t="str">
        <f>IFERROR(__xludf.DUMMYFUNCTION(" TRANSPOSE( unique ( QUERY(DATOPRO,""select Col2 where Col1 = '""&amp;B426&amp;""'"")))"),"PINCHAZO")</f>
        <v>PINCHAZO</v>
      </c>
      <c r="D426" s="64" t="str">
        <f>IFERROR(__xludf.DUMMYFUNCTION("""COMPUTED_VALUE"""),"TRABAJOS DE CARRETERA")</f>
        <v>TRABAJOS DE CARRETERA</v>
      </c>
      <c r="E426" s="64" t="str">
        <f>IFERROR(__xludf.DUMMYFUNCTION("""COMPUTED_VALUE"""),"CONSIGNACIÓN")</f>
        <v>CONSIGNACIÓN</v>
      </c>
      <c r="F426" s="64" t="str">
        <f>IFERROR(__xludf.DUMMYFUNCTION("""COMPUTED_VALUE"""),"DERRAME")</f>
        <v>DERRAME</v>
      </c>
      <c r="G426" s="64" t="str">
        <f>IFERROR(__xludf.DUMMYFUNCTION("""COMPUTED_VALUE"""),"CALENTAMIENTO")</f>
        <v>CALENTAMIENTO</v>
      </c>
      <c r="H426" s="64" t="str">
        <f>IFERROR(__xludf.DUMMYFUNCTION("""COMPUTED_VALUE"""),"ESCOLTANDO")</f>
        <v>ESCOLTANDO</v>
      </c>
      <c r="I426" s="64" t="str">
        <f>IFERROR(__xludf.DUMMYFUNCTION("""COMPUTED_VALUE"""),"FALTA DE COMBUSTIBLE")</f>
        <v>FALTA DE COMBUSTIBLE</v>
      </c>
      <c r="J426" s="64" t="str">
        <f>IFERROR(__xludf.DUMMYFUNCTION("""COMPUTED_VALUE"""),"DESPERFECTOS MECÁNICOS")</f>
        <v>DESPERFECTOS MECÁNICOS</v>
      </c>
      <c r="K426" s="64" t="str">
        <f>IFERROR(__xludf.DUMMYFUNCTION("""COMPUTED_VALUE"""),"LLAMADA DE ATENCIÓN")</f>
        <v>LLAMADA DE ATENCIÓN</v>
      </c>
      <c r="L426" s="64" t="str">
        <f>IFERROR(__xludf.DUMMYFUNCTION("""COMPUTED_VALUE"""),"OPERATIVOS")</f>
        <v>OPERATIVOS</v>
      </c>
      <c r="M426" s="64" t="str">
        <f>IFERROR(__xludf.DUMMYFUNCTION("""COMPUTED_VALUE"""),"SANCIÓN")</f>
        <v>SANCIÓN</v>
      </c>
      <c r="N426" s="64" t="str">
        <f>IFERROR(__xludf.DUMMYFUNCTION("""COMPUTED_VALUE"""),"SISTEMA ELECTRICO")</f>
        <v>SISTEMA ELECTRICO</v>
      </c>
      <c r="O426" s="64" t="str">
        <f>IFERROR(__xludf.DUMMYFUNCTION("""COMPUTED_VALUE"""),"ASISTENCIA AL USUARIO")</f>
        <v>ASISTENCIA AL USUARIO</v>
      </c>
      <c r="P426" s="64" t="str">
        <f>IFERROR(__xludf.DUMMYFUNCTION("""COMPUTED_VALUE"""),"DOBLE REMOLQUE")</f>
        <v>DOBLE REMOLQUE</v>
      </c>
      <c r="Q426" s="64" t="str">
        <f>IFERROR(__xludf.DUMMYFUNCTION("""COMPUTED_VALUE"""),"SINAPRESE")</f>
        <v>SINAPRESE</v>
      </c>
      <c r="R426" s="64" t="str">
        <f>IFERROR(__xludf.DUMMYFUNCTION("""COMPUTED_VALUE"""),"APOYO ATLETISMO")</f>
        <v>APOYO ATLETISMO</v>
      </c>
      <c r="S426" s="64" t="str">
        <f>IFERROR(__xludf.DUMMYFUNCTION("""COMPUTED_VALUE"""),"APOYO A CICLISMO")</f>
        <v>APOYO A CICLISMO</v>
      </c>
      <c r="T426" s="64" t="str">
        <f>IFERROR(__xludf.DUMMYFUNCTION("""COMPUTED_VALUE"""),"DESCARGA DE BATERÍA")</f>
        <v>DESCARGA DE BATERÍA</v>
      </c>
      <c r="U426" s="64" t="str">
        <f>IFERROR(__xludf.DUMMYFUNCTION("""COMPUTED_VALUE"""),"PROBLEMAS DE SALUD")</f>
        <v>PROBLEMAS DE SALUD</v>
      </c>
      <c r="V426" s="64" t="str">
        <f>IFERROR(__xludf.DUMMYFUNCTION("""COMPUTED_VALUE"""),"OLVIDO LA LLAVE")</f>
        <v>OLVIDO LA LLAVE</v>
      </c>
      <c r="W426" s="64" t="str">
        <f>IFERROR(__xludf.DUMMYFUNCTION("""COMPUTED_VALUE"""),"CARGA SOBREDIMENSIONADA")</f>
        <v>CARGA SOBREDIMENSIONADA</v>
      </c>
      <c r="X426" s="64" t="str">
        <f>IFERROR(__xludf.DUMMYFUNCTION("""COMPUTED_VALUE"""),"VEHÍCULO ABANDONADO")</f>
        <v>VEHÍCULO ABANDONADO</v>
      </c>
      <c r="Y426" s="64" t="str">
        <f>IFERROR(__xludf.DUMMYFUNCTION("""COMPUTED_VALUE"""),"DESPRENDIMIENTO")</f>
        <v>DESPRENDIMIENTO</v>
      </c>
      <c r="Z426" s="64" t="str">
        <f>IFERROR(__xludf.DUMMYFUNCTION("""COMPUTED_VALUE"""),"CAÍDA DE POSTE")</f>
        <v>CAÍDA DE POSTE</v>
      </c>
      <c r="AA426" s="64" t="str">
        <f>IFERROR(__xludf.DUMMYFUNCTION("""COMPUTED_VALUE"""),"CAÍDA DE RAMA")</f>
        <v>CAÍDA DE RAMA</v>
      </c>
      <c r="AB426" s="64" t="str">
        <f>IFERROR(__xludf.DUMMYFUNCTION("""COMPUTED_VALUE"""),"OPERATIVO DGT")</f>
        <v>OPERATIVO DGT</v>
      </c>
      <c r="AC426" s="64" t="str">
        <f>IFERROR(__xludf.DUMMYFUNCTION("""COMPUTED_VALUE"""),"OPERATIVO PMT")</f>
        <v>OPERATIVO PMT</v>
      </c>
      <c r="AD426" s="64" t="str">
        <f>IFERROR(__xludf.DUMMYFUNCTION("""COMPUTED_VALUE"""),"APOYO A DIGEF")</f>
        <v>APOYO A DIGEF</v>
      </c>
      <c r="AE426" s="64" t="str">
        <f>IFERROR(__xludf.DUMMYFUNCTION("""COMPUTED_VALUE"""),"OPERATIVO PNC TRANSITO")</f>
        <v>OPERATIVO PNC TRANSITO</v>
      </c>
      <c r="AF426" s="64" t="str">
        <f>IFERROR(__xludf.DUMMYFUNCTION("""COMPUTED_VALUE"""),"SOBRECARGA ")</f>
        <v>SOBRECARGA </v>
      </c>
      <c r="AG426" s="64" t="str">
        <f>IFERROR(__xludf.DUMMYFUNCTION("""COMPUTED_VALUE"""),"OPERATIVO EN CONJUNTO")</f>
        <v>OPERATIVO EN CONJUNTO</v>
      </c>
      <c r="AH426" s="64" t="str">
        <f>IFERROR(__xludf.DUMMYFUNCTION("""COMPUTED_VALUE"""),"PUESTO DE ATENCION AL USUARIO")</f>
        <v>PUESTO DE ATENCION AL USUARIO</v>
      </c>
      <c r="AI426" s="64" t="str">
        <f>IFERROR(__xludf.DUMMYFUNCTION("""COMPUTED_VALUE"""),"INCENDIO EN RUTA")</f>
        <v>INCENDIO EN RUTA</v>
      </c>
      <c r="AJ426" s="64" t="str">
        <f>IFERROR(__xludf.DUMMYFUNCTION("""COMPUTED_VALUE"""),"APOYO ANTORCHA ")</f>
        <v>APOYO ANTORCHA </v>
      </c>
    </row>
    <row r="427">
      <c r="B427" s="64" t="s">
        <v>54</v>
      </c>
      <c r="C427" s="64" t="str">
        <f>IFERROR(__xludf.DUMMYFUNCTION(" TRANSPOSE( unique ( QUERY(DATOPRO,""select Col2 where Col1 = '""&amp;B427&amp;""'"")))"),"PINCHAZO")</f>
        <v>PINCHAZO</v>
      </c>
      <c r="D427" s="64" t="str">
        <f>IFERROR(__xludf.DUMMYFUNCTION("""COMPUTED_VALUE"""),"TRABAJOS DE CARRETERA")</f>
        <v>TRABAJOS DE CARRETERA</v>
      </c>
      <c r="E427" s="64" t="str">
        <f>IFERROR(__xludf.DUMMYFUNCTION("""COMPUTED_VALUE"""),"CONSIGNACIÓN")</f>
        <v>CONSIGNACIÓN</v>
      </c>
      <c r="F427" s="64" t="str">
        <f>IFERROR(__xludf.DUMMYFUNCTION("""COMPUTED_VALUE"""),"DERRAME")</f>
        <v>DERRAME</v>
      </c>
      <c r="G427" s="64" t="str">
        <f>IFERROR(__xludf.DUMMYFUNCTION("""COMPUTED_VALUE"""),"CALENTAMIENTO")</f>
        <v>CALENTAMIENTO</v>
      </c>
      <c r="H427" s="64" t="str">
        <f>IFERROR(__xludf.DUMMYFUNCTION("""COMPUTED_VALUE"""),"ESCOLTANDO")</f>
        <v>ESCOLTANDO</v>
      </c>
      <c r="I427" s="64" t="str">
        <f>IFERROR(__xludf.DUMMYFUNCTION("""COMPUTED_VALUE"""),"FALTA DE COMBUSTIBLE")</f>
        <v>FALTA DE COMBUSTIBLE</v>
      </c>
      <c r="J427" s="64" t="str">
        <f>IFERROR(__xludf.DUMMYFUNCTION("""COMPUTED_VALUE"""),"DESPERFECTOS MECÁNICOS")</f>
        <v>DESPERFECTOS MECÁNICOS</v>
      </c>
      <c r="K427" s="64" t="str">
        <f>IFERROR(__xludf.DUMMYFUNCTION("""COMPUTED_VALUE"""),"LLAMADA DE ATENCIÓN")</f>
        <v>LLAMADA DE ATENCIÓN</v>
      </c>
      <c r="L427" s="64" t="str">
        <f>IFERROR(__xludf.DUMMYFUNCTION("""COMPUTED_VALUE"""),"OPERATIVOS")</f>
        <v>OPERATIVOS</v>
      </c>
      <c r="M427" s="64" t="str">
        <f>IFERROR(__xludf.DUMMYFUNCTION("""COMPUTED_VALUE"""),"SANCIÓN")</f>
        <v>SANCIÓN</v>
      </c>
      <c r="N427" s="64" t="str">
        <f>IFERROR(__xludf.DUMMYFUNCTION("""COMPUTED_VALUE"""),"SISTEMA ELECTRICO")</f>
        <v>SISTEMA ELECTRICO</v>
      </c>
      <c r="O427" s="64" t="str">
        <f>IFERROR(__xludf.DUMMYFUNCTION("""COMPUTED_VALUE"""),"ASISTENCIA AL USUARIO")</f>
        <v>ASISTENCIA AL USUARIO</v>
      </c>
      <c r="P427" s="64" t="str">
        <f>IFERROR(__xludf.DUMMYFUNCTION("""COMPUTED_VALUE"""),"DOBLE REMOLQUE")</f>
        <v>DOBLE REMOLQUE</v>
      </c>
      <c r="Q427" s="64" t="str">
        <f>IFERROR(__xludf.DUMMYFUNCTION("""COMPUTED_VALUE"""),"SINAPRESE")</f>
        <v>SINAPRESE</v>
      </c>
      <c r="R427" s="64" t="str">
        <f>IFERROR(__xludf.DUMMYFUNCTION("""COMPUTED_VALUE"""),"APOYO ATLETISMO")</f>
        <v>APOYO ATLETISMO</v>
      </c>
      <c r="S427" s="64" t="str">
        <f>IFERROR(__xludf.DUMMYFUNCTION("""COMPUTED_VALUE"""),"APOYO A CICLISMO")</f>
        <v>APOYO A CICLISMO</v>
      </c>
      <c r="T427" s="64" t="str">
        <f>IFERROR(__xludf.DUMMYFUNCTION("""COMPUTED_VALUE"""),"DESCARGA DE BATERÍA")</f>
        <v>DESCARGA DE BATERÍA</v>
      </c>
      <c r="U427" s="64" t="str">
        <f>IFERROR(__xludf.DUMMYFUNCTION("""COMPUTED_VALUE"""),"PROBLEMAS DE SALUD")</f>
        <v>PROBLEMAS DE SALUD</v>
      </c>
      <c r="V427" s="64" t="str">
        <f>IFERROR(__xludf.DUMMYFUNCTION("""COMPUTED_VALUE"""),"OLVIDO LA LLAVE")</f>
        <v>OLVIDO LA LLAVE</v>
      </c>
      <c r="W427" s="64" t="str">
        <f>IFERROR(__xludf.DUMMYFUNCTION("""COMPUTED_VALUE"""),"CARGA SOBREDIMENSIONADA")</f>
        <v>CARGA SOBREDIMENSIONADA</v>
      </c>
      <c r="X427" s="64" t="str">
        <f>IFERROR(__xludf.DUMMYFUNCTION("""COMPUTED_VALUE"""),"VEHÍCULO ABANDONADO")</f>
        <v>VEHÍCULO ABANDONADO</v>
      </c>
      <c r="Y427" s="64" t="str">
        <f>IFERROR(__xludf.DUMMYFUNCTION("""COMPUTED_VALUE"""),"DESPRENDIMIENTO")</f>
        <v>DESPRENDIMIENTO</v>
      </c>
      <c r="Z427" s="64" t="str">
        <f>IFERROR(__xludf.DUMMYFUNCTION("""COMPUTED_VALUE"""),"CAÍDA DE POSTE")</f>
        <v>CAÍDA DE POSTE</v>
      </c>
      <c r="AA427" s="64" t="str">
        <f>IFERROR(__xludf.DUMMYFUNCTION("""COMPUTED_VALUE"""),"CAÍDA DE RAMA")</f>
        <v>CAÍDA DE RAMA</v>
      </c>
      <c r="AB427" s="64" t="str">
        <f>IFERROR(__xludf.DUMMYFUNCTION("""COMPUTED_VALUE"""),"OPERATIVO DGT")</f>
        <v>OPERATIVO DGT</v>
      </c>
      <c r="AC427" s="64" t="str">
        <f>IFERROR(__xludf.DUMMYFUNCTION("""COMPUTED_VALUE"""),"OPERATIVO PMT")</f>
        <v>OPERATIVO PMT</v>
      </c>
      <c r="AD427" s="64" t="str">
        <f>IFERROR(__xludf.DUMMYFUNCTION("""COMPUTED_VALUE"""),"APOYO A DIGEF")</f>
        <v>APOYO A DIGEF</v>
      </c>
      <c r="AE427" s="64" t="str">
        <f>IFERROR(__xludf.DUMMYFUNCTION("""COMPUTED_VALUE"""),"OPERATIVO PNC TRANSITO")</f>
        <v>OPERATIVO PNC TRANSITO</v>
      </c>
      <c r="AF427" s="64" t="str">
        <f>IFERROR(__xludf.DUMMYFUNCTION("""COMPUTED_VALUE"""),"SOBRECARGA ")</f>
        <v>SOBRECARGA </v>
      </c>
      <c r="AG427" s="64" t="str">
        <f>IFERROR(__xludf.DUMMYFUNCTION("""COMPUTED_VALUE"""),"OPERATIVO EN CONJUNTO")</f>
        <v>OPERATIVO EN CONJUNTO</v>
      </c>
      <c r="AH427" s="64" t="str">
        <f>IFERROR(__xludf.DUMMYFUNCTION("""COMPUTED_VALUE"""),"PUESTO DE ATENCION AL USUARIO")</f>
        <v>PUESTO DE ATENCION AL USUARIO</v>
      </c>
      <c r="AI427" s="64" t="str">
        <f>IFERROR(__xludf.DUMMYFUNCTION("""COMPUTED_VALUE"""),"INCENDIO EN RUTA")</f>
        <v>INCENDIO EN RUTA</v>
      </c>
      <c r="AJ427" s="64" t="str">
        <f>IFERROR(__xludf.DUMMYFUNCTION("""COMPUTED_VALUE"""),"APOYO ANTORCHA ")</f>
        <v>APOYO ANTORCHA </v>
      </c>
    </row>
    <row r="428">
      <c r="B428" s="64" t="s">
        <v>54</v>
      </c>
      <c r="C428" s="64" t="str">
        <f>IFERROR(__xludf.DUMMYFUNCTION(" TRANSPOSE( unique ( QUERY(DATOPRO,""select Col2 where Col1 = '""&amp;B428&amp;""'"")))"),"PINCHAZO")</f>
        <v>PINCHAZO</v>
      </c>
      <c r="D428" s="64" t="str">
        <f>IFERROR(__xludf.DUMMYFUNCTION("""COMPUTED_VALUE"""),"TRABAJOS DE CARRETERA")</f>
        <v>TRABAJOS DE CARRETERA</v>
      </c>
      <c r="E428" s="64" t="str">
        <f>IFERROR(__xludf.DUMMYFUNCTION("""COMPUTED_VALUE"""),"CONSIGNACIÓN")</f>
        <v>CONSIGNACIÓN</v>
      </c>
      <c r="F428" s="64" t="str">
        <f>IFERROR(__xludf.DUMMYFUNCTION("""COMPUTED_VALUE"""),"DERRAME")</f>
        <v>DERRAME</v>
      </c>
      <c r="G428" s="64" t="str">
        <f>IFERROR(__xludf.DUMMYFUNCTION("""COMPUTED_VALUE"""),"CALENTAMIENTO")</f>
        <v>CALENTAMIENTO</v>
      </c>
      <c r="H428" s="64" t="str">
        <f>IFERROR(__xludf.DUMMYFUNCTION("""COMPUTED_VALUE"""),"ESCOLTANDO")</f>
        <v>ESCOLTANDO</v>
      </c>
      <c r="I428" s="64" t="str">
        <f>IFERROR(__xludf.DUMMYFUNCTION("""COMPUTED_VALUE"""),"FALTA DE COMBUSTIBLE")</f>
        <v>FALTA DE COMBUSTIBLE</v>
      </c>
      <c r="J428" s="64" t="str">
        <f>IFERROR(__xludf.DUMMYFUNCTION("""COMPUTED_VALUE"""),"DESPERFECTOS MECÁNICOS")</f>
        <v>DESPERFECTOS MECÁNICOS</v>
      </c>
      <c r="K428" s="64" t="str">
        <f>IFERROR(__xludf.DUMMYFUNCTION("""COMPUTED_VALUE"""),"LLAMADA DE ATENCIÓN")</f>
        <v>LLAMADA DE ATENCIÓN</v>
      </c>
      <c r="L428" s="64" t="str">
        <f>IFERROR(__xludf.DUMMYFUNCTION("""COMPUTED_VALUE"""),"OPERATIVOS")</f>
        <v>OPERATIVOS</v>
      </c>
      <c r="M428" s="64" t="str">
        <f>IFERROR(__xludf.DUMMYFUNCTION("""COMPUTED_VALUE"""),"SANCIÓN")</f>
        <v>SANCIÓN</v>
      </c>
      <c r="N428" s="64" t="str">
        <f>IFERROR(__xludf.DUMMYFUNCTION("""COMPUTED_VALUE"""),"SISTEMA ELECTRICO")</f>
        <v>SISTEMA ELECTRICO</v>
      </c>
      <c r="O428" s="64" t="str">
        <f>IFERROR(__xludf.DUMMYFUNCTION("""COMPUTED_VALUE"""),"ASISTENCIA AL USUARIO")</f>
        <v>ASISTENCIA AL USUARIO</v>
      </c>
      <c r="P428" s="64" t="str">
        <f>IFERROR(__xludf.DUMMYFUNCTION("""COMPUTED_VALUE"""),"DOBLE REMOLQUE")</f>
        <v>DOBLE REMOLQUE</v>
      </c>
      <c r="Q428" s="64" t="str">
        <f>IFERROR(__xludf.DUMMYFUNCTION("""COMPUTED_VALUE"""),"SINAPRESE")</f>
        <v>SINAPRESE</v>
      </c>
      <c r="R428" s="64" t="str">
        <f>IFERROR(__xludf.DUMMYFUNCTION("""COMPUTED_VALUE"""),"APOYO ATLETISMO")</f>
        <v>APOYO ATLETISMO</v>
      </c>
      <c r="S428" s="64" t="str">
        <f>IFERROR(__xludf.DUMMYFUNCTION("""COMPUTED_VALUE"""),"APOYO A CICLISMO")</f>
        <v>APOYO A CICLISMO</v>
      </c>
      <c r="T428" s="64" t="str">
        <f>IFERROR(__xludf.DUMMYFUNCTION("""COMPUTED_VALUE"""),"DESCARGA DE BATERÍA")</f>
        <v>DESCARGA DE BATERÍA</v>
      </c>
      <c r="U428" s="64" t="str">
        <f>IFERROR(__xludf.DUMMYFUNCTION("""COMPUTED_VALUE"""),"PROBLEMAS DE SALUD")</f>
        <v>PROBLEMAS DE SALUD</v>
      </c>
      <c r="V428" s="64" t="str">
        <f>IFERROR(__xludf.DUMMYFUNCTION("""COMPUTED_VALUE"""),"OLVIDO LA LLAVE")</f>
        <v>OLVIDO LA LLAVE</v>
      </c>
      <c r="W428" s="64" t="str">
        <f>IFERROR(__xludf.DUMMYFUNCTION("""COMPUTED_VALUE"""),"CARGA SOBREDIMENSIONADA")</f>
        <v>CARGA SOBREDIMENSIONADA</v>
      </c>
      <c r="X428" s="64" t="str">
        <f>IFERROR(__xludf.DUMMYFUNCTION("""COMPUTED_VALUE"""),"VEHÍCULO ABANDONADO")</f>
        <v>VEHÍCULO ABANDONADO</v>
      </c>
      <c r="Y428" s="64" t="str">
        <f>IFERROR(__xludf.DUMMYFUNCTION("""COMPUTED_VALUE"""),"DESPRENDIMIENTO")</f>
        <v>DESPRENDIMIENTO</v>
      </c>
      <c r="Z428" s="64" t="str">
        <f>IFERROR(__xludf.DUMMYFUNCTION("""COMPUTED_VALUE"""),"CAÍDA DE POSTE")</f>
        <v>CAÍDA DE POSTE</v>
      </c>
      <c r="AA428" s="64" t="str">
        <f>IFERROR(__xludf.DUMMYFUNCTION("""COMPUTED_VALUE"""),"CAÍDA DE RAMA")</f>
        <v>CAÍDA DE RAMA</v>
      </c>
      <c r="AB428" s="64" t="str">
        <f>IFERROR(__xludf.DUMMYFUNCTION("""COMPUTED_VALUE"""),"OPERATIVO DGT")</f>
        <v>OPERATIVO DGT</v>
      </c>
      <c r="AC428" s="64" t="str">
        <f>IFERROR(__xludf.DUMMYFUNCTION("""COMPUTED_VALUE"""),"OPERATIVO PMT")</f>
        <v>OPERATIVO PMT</v>
      </c>
      <c r="AD428" s="64" t="str">
        <f>IFERROR(__xludf.DUMMYFUNCTION("""COMPUTED_VALUE"""),"APOYO A DIGEF")</f>
        <v>APOYO A DIGEF</v>
      </c>
      <c r="AE428" s="64" t="str">
        <f>IFERROR(__xludf.DUMMYFUNCTION("""COMPUTED_VALUE"""),"OPERATIVO PNC TRANSITO")</f>
        <v>OPERATIVO PNC TRANSITO</v>
      </c>
      <c r="AF428" s="64" t="str">
        <f>IFERROR(__xludf.DUMMYFUNCTION("""COMPUTED_VALUE"""),"SOBRECARGA ")</f>
        <v>SOBRECARGA </v>
      </c>
      <c r="AG428" s="64" t="str">
        <f>IFERROR(__xludf.DUMMYFUNCTION("""COMPUTED_VALUE"""),"OPERATIVO EN CONJUNTO")</f>
        <v>OPERATIVO EN CONJUNTO</v>
      </c>
      <c r="AH428" s="64" t="str">
        <f>IFERROR(__xludf.DUMMYFUNCTION("""COMPUTED_VALUE"""),"PUESTO DE ATENCION AL USUARIO")</f>
        <v>PUESTO DE ATENCION AL USUARIO</v>
      </c>
      <c r="AI428" s="64" t="str">
        <f>IFERROR(__xludf.DUMMYFUNCTION("""COMPUTED_VALUE"""),"INCENDIO EN RUTA")</f>
        <v>INCENDIO EN RUTA</v>
      </c>
      <c r="AJ428" s="64" t="str">
        <f>IFERROR(__xludf.DUMMYFUNCTION("""COMPUTED_VALUE"""),"APOYO ANTORCHA ")</f>
        <v>APOYO ANTORCHA </v>
      </c>
    </row>
    <row r="429">
      <c r="B429" s="64" t="s">
        <v>54</v>
      </c>
      <c r="C429" s="64" t="str">
        <f>IFERROR(__xludf.DUMMYFUNCTION(" TRANSPOSE( unique ( QUERY(DATOPRO,""select Col2 where Col1 = '""&amp;B429&amp;""'"")))"),"PINCHAZO")</f>
        <v>PINCHAZO</v>
      </c>
      <c r="D429" s="64" t="str">
        <f>IFERROR(__xludf.DUMMYFUNCTION("""COMPUTED_VALUE"""),"TRABAJOS DE CARRETERA")</f>
        <v>TRABAJOS DE CARRETERA</v>
      </c>
      <c r="E429" s="64" t="str">
        <f>IFERROR(__xludf.DUMMYFUNCTION("""COMPUTED_VALUE"""),"CONSIGNACIÓN")</f>
        <v>CONSIGNACIÓN</v>
      </c>
      <c r="F429" s="64" t="str">
        <f>IFERROR(__xludf.DUMMYFUNCTION("""COMPUTED_VALUE"""),"DERRAME")</f>
        <v>DERRAME</v>
      </c>
      <c r="G429" s="64" t="str">
        <f>IFERROR(__xludf.DUMMYFUNCTION("""COMPUTED_VALUE"""),"CALENTAMIENTO")</f>
        <v>CALENTAMIENTO</v>
      </c>
      <c r="H429" s="64" t="str">
        <f>IFERROR(__xludf.DUMMYFUNCTION("""COMPUTED_VALUE"""),"ESCOLTANDO")</f>
        <v>ESCOLTANDO</v>
      </c>
      <c r="I429" s="64" t="str">
        <f>IFERROR(__xludf.DUMMYFUNCTION("""COMPUTED_VALUE"""),"FALTA DE COMBUSTIBLE")</f>
        <v>FALTA DE COMBUSTIBLE</v>
      </c>
      <c r="J429" s="64" t="str">
        <f>IFERROR(__xludf.DUMMYFUNCTION("""COMPUTED_VALUE"""),"DESPERFECTOS MECÁNICOS")</f>
        <v>DESPERFECTOS MECÁNICOS</v>
      </c>
      <c r="K429" s="64" t="str">
        <f>IFERROR(__xludf.DUMMYFUNCTION("""COMPUTED_VALUE"""),"LLAMADA DE ATENCIÓN")</f>
        <v>LLAMADA DE ATENCIÓN</v>
      </c>
      <c r="L429" s="64" t="str">
        <f>IFERROR(__xludf.DUMMYFUNCTION("""COMPUTED_VALUE"""),"OPERATIVOS")</f>
        <v>OPERATIVOS</v>
      </c>
      <c r="M429" s="64" t="str">
        <f>IFERROR(__xludf.DUMMYFUNCTION("""COMPUTED_VALUE"""),"SANCIÓN")</f>
        <v>SANCIÓN</v>
      </c>
      <c r="N429" s="64" t="str">
        <f>IFERROR(__xludf.DUMMYFUNCTION("""COMPUTED_VALUE"""),"SISTEMA ELECTRICO")</f>
        <v>SISTEMA ELECTRICO</v>
      </c>
      <c r="O429" s="64" t="str">
        <f>IFERROR(__xludf.DUMMYFUNCTION("""COMPUTED_VALUE"""),"ASISTENCIA AL USUARIO")</f>
        <v>ASISTENCIA AL USUARIO</v>
      </c>
      <c r="P429" s="64" t="str">
        <f>IFERROR(__xludf.DUMMYFUNCTION("""COMPUTED_VALUE"""),"DOBLE REMOLQUE")</f>
        <v>DOBLE REMOLQUE</v>
      </c>
      <c r="Q429" s="64" t="str">
        <f>IFERROR(__xludf.DUMMYFUNCTION("""COMPUTED_VALUE"""),"SINAPRESE")</f>
        <v>SINAPRESE</v>
      </c>
      <c r="R429" s="64" t="str">
        <f>IFERROR(__xludf.DUMMYFUNCTION("""COMPUTED_VALUE"""),"APOYO ATLETISMO")</f>
        <v>APOYO ATLETISMO</v>
      </c>
      <c r="S429" s="64" t="str">
        <f>IFERROR(__xludf.DUMMYFUNCTION("""COMPUTED_VALUE"""),"APOYO A CICLISMO")</f>
        <v>APOYO A CICLISMO</v>
      </c>
      <c r="T429" s="64" t="str">
        <f>IFERROR(__xludf.DUMMYFUNCTION("""COMPUTED_VALUE"""),"DESCARGA DE BATERÍA")</f>
        <v>DESCARGA DE BATERÍA</v>
      </c>
      <c r="U429" s="64" t="str">
        <f>IFERROR(__xludf.DUMMYFUNCTION("""COMPUTED_VALUE"""),"PROBLEMAS DE SALUD")</f>
        <v>PROBLEMAS DE SALUD</v>
      </c>
      <c r="V429" s="64" t="str">
        <f>IFERROR(__xludf.DUMMYFUNCTION("""COMPUTED_VALUE"""),"OLVIDO LA LLAVE")</f>
        <v>OLVIDO LA LLAVE</v>
      </c>
      <c r="W429" s="64" t="str">
        <f>IFERROR(__xludf.DUMMYFUNCTION("""COMPUTED_VALUE"""),"CARGA SOBREDIMENSIONADA")</f>
        <v>CARGA SOBREDIMENSIONADA</v>
      </c>
      <c r="X429" s="64" t="str">
        <f>IFERROR(__xludf.DUMMYFUNCTION("""COMPUTED_VALUE"""),"VEHÍCULO ABANDONADO")</f>
        <v>VEHÍCULO ABANDONADO</v>
      </c>
      <c r="Y429" s="64" t="str">
        <f>IFERROR(__xludf.DUMMYFUNCTION("""COMPUTED_VALUE"""),"DESPRENDIMIENTO")</f>
        <v>DESPRENDIMIENTO</v>
      </c>
      <c r="Z429" s="64" t="str">
        <f>IFERROR(__xludf.DUMMYFUNCTION("""COMPUTED_VALUE"""),"CAÍDA DE POSTE")</f>
        <v>CAÍDA DE POSTE</v>
      </c>
      <c r="AA429" s="64" t="str">
        <f>IFERROR(__xludf.DUMMYFUNCTION("""COMPUTED_VALUE"""),"CAÍDA DE RAMA")</f>
        <v>CAÍDA DE RAMA</v>
      </c>
      <c r="AB429" s="64" t="str">
        <f>IFERROR(__xludf.DUMMYFUNCTION("""COMPUTED_VALUE"""),"OPERATIVO DGT")</f>
        <v>OPERATIVO DGT</v>
      </c>
      <c r="AC429" s="64" t="str">
        <f>IFERROR(__xludf.DUMMYFUNCTION("""COMPUTED_VALUE"""),"OPERATIVO PMT")</f>
        <v>OPERATIVO PMT</v>
      </c>
      <c r="AD429" s="64" t="str">
        <f>IFERROR(__xludf.DUMMYFUNCTION("""COMPUTED_VALUE"""),"APOYO A DIGEF")</f>
        <v>APOYO A DIGEF</v>
      </c>
      <c r="AE429" s="64" t="str">
        <f>IFERROR(__xludf.DUMMYFUNCTION("""COMPUTED_VALUE"""),"OPERATIVO PNC TRANSITO")</f>
        <v>OPERATIVO PNC TRANSITO</v>
      </c>
      <c r="AF429" s="64" t="str">
        <f>IFERROR(__xludf.DUMMYFUNCTION("""COMPUTED_VALUE"""),"SOBRECARGA ")</f>
        <v>SOBRECARGA </v>
      </c>
      <c r="AG429" s="64" t="str">
        <f>IFERROR(__xludf.DUMMYFUNCTION("""COMPUTED_VALUE"""),"OPERATIVO EN CONJUNTO")</f>
        <v>OPERATIVO EN CONJUNTO</v>
      </c>
      <c r="AH429" s="64" t="str">
        <f>IFERROR(__xludf.DUMMYFUNCTION("""COMPUTED_VALUE"""),"PUESTO DE ATENCION AL USUARIO")</f>
        <v>PUESTO DE ATENCION AL USUARIO</v>
      </c>
      <c r="AI429" s="64" t="str">
        <f>IFERROR(__xludf.DUMMYFUNCTION("""COMPUTED_VALUE"""),"INCENDIO EN RUTA")</f>
        <v>INCENDIO EN RUTA</v>
      </c>
      <c r="AJ429" s="64" t="str">
        <f>IFERROR(__xludf.DUMMYFUNCTION("""COMPUTED_VALUE"""),"APOYO ANTORCHA ")</f>
        <v>APOYO ANTORCHA </v>
      </c>
    </row>
    <row r="430">
      <c r="B430" s="64" t="s">
        <v>54</v>
      </c>
      <c r="C430" s="64" t="str">
        <f>IFERROR(__xludf.DUMMYFUNCTION(" TRANSPOSE( unique ( QUERY(DATOPRO,""select Col2 where Col1 = '""&amp;B430&amp;""'"")))"),"PINCHAZO")</f>
        <v>PINCHAZO</v>
      </c>
      <c r="D430" s="64" t="str">
        <f>IFERROR(__xludf.DUMMYFUNCTION("""COMPUTED_VALUE"""),"TRABAJOS DE CARRETERA")</f>
        <v>TRABAJOS DE CARRETERA</v>
      </c>
      <c r="E430" s="64" t="str">
        <f>IFERROR(__xludf.DUMMYFUNCTION("""COMPUTED_VALUE"""),"CONSIGNACIÓN")</f>
        <v>CONSIGNACIÓN</v>
      </c>
      <c r="F430" s="64" t="str">
        <f>IFERROR(__xludf.DUMMYFUNCTION("""COMPUTED_VALUE"""),"DERRAME")</f>
        <v>DERRAME</v>
      </c>
      <c r="G430" s="64" t="str">
        <f>IFERROR(__xludf.DUMMYFUNCTION("""COMPUTED_VALUE"""),"CALENTAMIENTO")</f>
        <v>CALENTAMIENTO</v>
      </c>
      <c r="H430" s="64" t="str">
        <f>IFERROR(__xludf.DUMMYFUNCTION("""COMPUTED_VALUE"""),"ESCOLTANDO")</f>
        <v>ESCOLTANDO</v>
      </c>
      <c r="I430" s="64" t="str">
        <f>IFERROR(__xludf.DUMMYFUNCTION("""COMPUTED_VALUE"""),"FALTA DE COMBUSTIBLE")</f>
        <v>FALTA DE COMBUSTIBLE</v>
      </c>
      <c r="J430" s="64" t="str">
        <f>IFERROR(__xludf.DUMMYFUNCTION("""COMPUTED_VALUE"""),"DESPERFECTOS MECÁNICOS")</f>
        <v>DESPERFECTOS MECÁNICOS</v>
      </c>
      <c r="K430" s="64" t="str">
        <f>IFERROR(__xludf.DUMMYFUNCTION("""COMPUTED_VALUE"""),"LLAMADA DE ATENCIÓN")</f>
        <v>LLAMADA DE ATENCIÓN</v>
      </c>
      <c r="L430" s="64" t="str">
        <f>IFERROR(__xludf.DUMMYFUNCTION("""COMPUTED_VALUE"""),"OPERATIVOS")</f>
        <v>OPERATIVOS</v>
      </c>
      <c r="M430" s="64" t="str">
        <f>IFERROR(__xludf.DUMMYFUNCTION("""COMPUTED_VALUE"""),"SANCIÓN")</f>
        <v>SANCIÓN</v>
      </c>
      <c r="N430" s="64" t="str">
        <f>IFERROR(__xludf.DUMMYFUNCTION("""COMPUTED_VALUE"""),"SISTEMA ELECTRICO")</f>
        <v>SISTEMA ELECTRICO</v>
      </c>
      <c r="O430" s="64" t="str">
        <f>IFERROR(__xludf.DUMMYFUNCTION("""COMPUTED_VALUE"""),"ASISTENCIA AL USUARIO")</f>
        <v>ASISTENCIA AL USUARIO</v>
      </c>
      <c r="P430" s="64" t="str">
        <f>IFERROR(__xludf.DUMMYFUNCTION("""COMPUTED_VALUE"""),"DOBLE REMOLQUE")</f>
        <v>DOBLE REMOLQUE</v>
      </c>
      <c r="Q430" s="64" t="str">
        <f>IFERROR(__xludf.DUMMYFUNCTION("""COMPUTED_VALUE"""),"SINAPRESE")</f>
        <v>SINAPRESE</v>
      </c>
      <c r="R430" s="64" t="str">
        <f>IFERROR(__xludf.DUMMYFUNCTION("""COMPUTED_VALUE"""),"APOYO ATLETISMO")</f>
        <v>APOYO ATLETISMO</v>
      </c>
      <c r="S430" s="64" t="str">
        <f>IFERROR(__xludf.DUMMYFUNCTION("""COMPUTED_VALUE"""),"APOYO A CICLISMO")</f>
        <v>APOYO A CICLISMO</v>
      </c>
      <c r="T430" s="64" t="str">
        <f>IFERROR(__xludf.DUMMYFUNCTION("""COMPUTED_VALUE"""),"DESCARGA DE BATERÍA")</f>
        <v>DESCARGA DE BATERÍA</v>
      </c>
      <c r="U430" s="64" t="str">
        <f>IFERROR(__xludf.DUMMYFUNCTION("""COMPUTED_VALUE"""),"PROBLEMAS DE SALUD")</f>
        <v>PROBLEMAS DE SALUD</v>
      </c>
      <c r="V430" s="64" t="str">
        <f>IFERROR(__xludf.DUMMYFUNCTION("""COMPUTED_VALUE"""),"OLVIDO LA LLAVE")</f>
        <v>OLVIDO LA LLAVE</v>
      </c>
      <c r="W430" s="64" t="str">
        <f>IFERROR(__xludf.DUMMYFUNCTION("""COMPUTED_VALUE"""),"CARGA SOBREDIMENSIONADA")</f>
        <v>CARGA SOBREDIMENSIONADA</v>
      </c>
      <c r="X430" s="64" t="str">
        <f>IFERROR(__xludf.DUMMYFUNCTION("""COMPUTED_VALUE"""),"VEHÍCULO ABANDONADO")</f>
        <v>VEHÍCULO ABANDONADO</v>
      </c>
      <c r="Y430" s="64" t="str">
        <f>IFERROR(__xludf.DUMMYFUNCTION("""COMPUTED_VALUE"""),"DESPRENDIMIENTO")</f>
        <v>DESPRENDIMIENTO</v>
      </c>
      <c r="Z430" s="64" t="str">
        <f>IFERROR(__xludf.DUMMYFUNCTION("""COMPUTED_VALUE"""),"CAÍDA DE POSTE")</f>
        <v>CAÍDA DE POSTE</v>
      </c>
      <c r="AA430" s="64" t="str">
        <f>IFERROR(__xludf.DUMMYFUNCTION("""COMPUTED_VALUE"""),"CAÍDA DE RAMA")</f>
        <v>CAÍDA DE RAMA</v>
      </c>
      <c r="AB430" s="64" t="str">
        <f>IFERROR(__xludf.DUMMYFUNCTION("""COMPUTED_VALUE"""),"OPERATIVO DGT")</f>
        <v>OPERATIVO DGT</v>
      </c>
      <c r="AC430" s="64" t="str">
        <f>IFERROR(__xludf.DUMMYFUNCTION("""COMPUTED_VALUE"""),"OPERATIVO PMT")</f>
        <v>OPERATIVO PMT</v>
      </c>
      <c r="AD430" s="64" t="str">
        <f>IFERROR(__xludf.DUMMYFUNCTION("""COMPUTED_VALUE"""),"APOYO A DIGEF")</f>
        <v>APOYO A DIGEF</v>
      </c>
      <c r="AE430" s="64" t="str">
        <f>IFERROR(__xludf.DUMMYFUNCTION("""COMPUTED_VALUE"""),"OPERATIVO PNC TRANSITO")</f>
        <v>OPERATIVO PNC TRANSITO</v>
      </c>
      <c r="AF430" s="64" t="str">
        <f>IFERROR(__xludf.DUMMYFUNCTION("""COMPUTED_VALUE"""),"SOBRECARGA ")</f>
        <v>SOBRECARGA </v>
      </c>
      <c r="AG430" s="64" t="str">
        <f>IFERROR(__xludf.DUMMYFUNCTION("""COMPUTED_VALUE"""),"OPERATIVO EN CONJUNTO")</f>
        <v>OPERATIVO EN CONJUNTO</v>
      </c>
      <c r="AH430" s="64" t="str">
        <f>IFERROR(__xludf.DUMMYFUNCTION("""COMPUTED_VALUE"""),"PUESTO DE ATENCION AL USUARIO")</f>
        <v>PUESTO DE ATENCION AL USUARIO</v>
      </c>
      <c r="AI430" s="64" t="str">
        <f>IFERROR(__xludf.DUMMYFUNCTION("""COMPUTED_VALUE"""),"INCENDIO EN RUTA")</f>
        <v>INCENDIO EN RUTA</v>
      </c>
      <c r="AJ430" s="64" t="str">
        <f>IFERROR(__xludf.DUMMYFUNCTION("""COMPUTED_VALUE"""),"APOYO ANTORCHA ")</f>
        <v>APOYO ANTORCHA </v>
      </c>
    </row>
    <row r="431">
      <c r="B431" s="64" t="s">
        <v>38</v>
      </c>
      <c r="C431" s="64" t="str">
        <f>IFERROR(__xludf.DUMMYFUNCTION(" TRANSPOSE( unique ( QUERY(DATOPRO,""select Col2 where Col1 = '""&amp;B431&amp;""'"")))"),"ATAQUE ARMADO")</f>
        <v>ATAQUE ARMADO</v>
      </c>
      <c r="D431" s="64" t="str">
        <f>IFERROR(__xludf.DUMMYFUNCTION("""COMPUTED_VALUE"""),"DESBALANCE DE CARGA")</f>
        <v>DESBALANCE DE CARGA</v>
      </c>
      <c r="E431" s="64" t="str">
        <f>IFERROR(__xludf.DUMMYFUNCTION("""COMPUTED_VALUE"""),"PERSONA FALLECIDA")</f>
        <v>PERSONA FALLECIDA</v>
      </c>
      <c r="F431" s="64" t="str">
        <f>IFERROR(__xludf.DUMMYFUNCTION("""COMPUTED_VALUE"""),"DESPRENDIMIENTO DE NEUMATICO")</f>
        <v>DESPRENDIMIENTO DE NEUMATICO</v>
      </c>
      <c r="G431" s="64" t="str">
        <f>IFERROR(__xludf.DUMMYFUNCTION("""COMPUTED_VALUE"""),"SALIDA DE PISTA")</f>
        <v>SALIDA DE PISTA</v>
      </c>
      <c r="H431" s="64" t="str">
        <f>IFERROR(__xludf.DUMMYFUNCTION("""COMPUTED_VALUE"""),"DESPRENDIMIENTO DE CONTENEDOR")</f>
        <v>DESPRENDIMIENTO DE CONTENEDOR</v>
      </c>
      <c r="I431" s="64" t="str">
        <f>IFERROR(__xludf.DUMMYFUNCTION("""COMPUTED_VALUE"""),"CAÍDA DE CARGA")</f>
        <v>CAÍDA DE CARGA</v>
      </c>
      <c r="J431" s="64" t="str">
        <f>IFERROR(__xludf.DUMMYFUNCTION("""COMPUTED_VALUE"""),"CHOQUE")</f>
        <v>CHOQUE</v>
      </c>
      <c r="K431" s="64" t="str">
        <f>IFERROR(__xludf.DUMMYFUNCTION("""COMPUTED_VALUE"""),"COLISIÓN")</f>
        <v>COLISIÓN</v>
      </c>
      <c r="L431" s="64" t="str">
        <f>IFERROR(__xludf.DUMMYFUNCTION("""COMPUTED_VALUE"""),"COLISIÓN MÚLTIPLE")</f>
        <v>COLISIÓN MÚLTIPLE</v>
      </c>
      <c r="M431" s="64" t="str">
        <f>IFERROR(__xludf.DUMMYFUNCTION("""COMPUTED_VALUE"""),"DERRAPE")</f>
        <v>DERRAPE</v>
      </c>
      <c r="N431" s="64" t="str">
        <f>IFERROR(__xludf.DUMMYFUNCTION("""COMPUTED_VALUE"""),"VEHÍCULO INCENDIADO")</f>
        <v>VEHÍCULO INCENDIADO</v>
      </c>
      <c r="O431" s="64" t="str">
        <f>IFERROR(__xludf.DUMMYFUNCTION("""COMPUTED_VALUE"""),"VUELCO")</f>
        <v>VUELCO</v>
      </c>
      <c r="P431" s="64" t="str">
        <f>IFERROR(__xludf.DUMMYFUNCTION("""COMPUTED_VALUE"""),"DESPRENDIMIENTO")</f>
        <v>DESPRENDIMIENTO</v>
      </c>
      <c r="Q431" s="64" t="str">
        <f>IFERROR(__xludf.DUMMYFUNCTION("""COMPUTED_VALUE"""),"CAÍDA DE ÁRBOL")</f>
        <v>CAÍDA DE ÁRBOL</v>
      </c>
      <c r="R431" s="64" t="str">
        <f>IFERROR(__xludf.DUMMYFUNCTION("""COMPUTED_VALUE"""),"DESPRENDIMIENTO DE EJE")</f>
        <v>DESPRENDIMIENTO DE EJE</v>
      </c>
      <c r="S431" s="64" t="str">
        <f>IFERROR(__xludf.DUMMYFUNCTION("""COMPUTED_VALUE"""),"PERSONA ATROPELLADA")</f>
        <v>PERSONA ATROPELLADA</v>
      </c>
    </row>
    <row r="432">
      <c r="B432" s="64" t="s">
        <v>54</v>
      </c>
      <c r="C432" s="64" t="str">
        <f>IFERROR(__xludf.DUMMYFUNCTION(" TRANSPOSE( unique ( QUERY(DATOPRO,""select Col2 where Col1 = '""&amp;B432&amp;""'"")))"),"PINCHAZO")</f>
        <v>PINCHAZO</v>
      </c>
      <c r="D432" s="64" t="str">
        <f>IFERROR(__xludf.DUMMYFUNCTION("""COMPUTED_VALUE"""),"TRABAJOS DE CARRETERA")</f>
        <v>TRABAJOS DE CARRETERA</v>
      </c>
      <c r="E432" s="64" t="str">
        <f>IFERROR(__xludf.DUMMYFUNCTION("""COMPUTED_VALUE"""),"CONSIGNACIÓN")</f>
        <v>CONSIGNACIÓN</v>
      </c>
      <c r="F432" s="64" t="str">
        <f>IFERROR(__xludf.DUMMYFUNCTION("""COMPUTED_VALUE"""),"DERRAME")</f>
        <v>DERRAME</v>
      </c>
      <c r="G432" s="64" t="str">
        <f>IFERROR(__xludf.DUMMYFUNCTION("""COMPUTED_VALUE"""),"CALENTAMIENTO")</f>
        <v>CALENTAMIENTO</v>
      </c>
      <c r="H432" s="64" t="str">
        <f>IFERROR(__xludf.DUMMYFUNCTION("""COMPUTED_VALUE"""),"ESCOLTANDO")</f>
        <v>ESCOLTANDO</v>
      </c>
      <c r="I432" s="64" t="str">
        <f>IFERROR(__xludf.DUMMYFUNCTION("""COMPUTED_VALUE"""),"FALTA DE COMBUSTIBLE")</f>
        <v>FALTA DE COMBUSTIBLE</v>
      </c>
      <c r="J432" s="64" t="str">
        <f>IFERROR(__xludf.DUMMYFUNCTION("""COMPUTED_VALUE"""),"DESPERFECTOS MECÁNICOS")</f>
        <v>DESPERFECTOS MECÁNICOS</v>
      </c>
      <c r="K432" s="64" t="str">
        <f>IFERROR(__xludf.DUMMYFUNCTION("""COMPUTED_VALUE"""),"LLAMADA DE ATENCIÓN")</f>
        <v>LLAMADA DE ATENCIÓN</v>
      </c>
      <c r="L432" s="64" t="str">
        <f>IFERROR(__xludf.DUMMYFUNCTION("""COMPUTED_VALUE"""),"OPERATIVOS")</f>
        <v>OPERATIVOS</v>
      </c>
      <c r="M432" s="64" t="str">
        <f>IFERROR(__xludf.DUMMYFUNCTION("""COMPUTED_VALUE"""),"SANCIÓN")</f>
        <v>SANCIÓN</v>
      </c>
      <c r="N432" s="64" t="str">
        <f>IFERROR(__xludf.DUMMYFUNCTION("""COMPUTED_VALUE"""),"SISTEMA ELECTRICO")</f>
        <v>SISTEMA ELECTRICO</v>
      </c>
      <c r="O432" s="64" t="str">
        <f>IFERROR(__xludf.DUMMYFUNCTION("""COMPUTED_VALUE"""),"ASISTENCIA AL USUARIO")</f>
        <v>ASISTENCIA AL USUARIO</v>
      </c>
      <c r="P432" s="64" t="str">
        <f>IFERROR(__xludf.DUMMYFUNCTION("""COMPUTED_VALUE"""),"DOBLE REMOLQUE")</f>
        <v>DOBLE REMOLQUE</v>
      </c>
      <c r="Q432" s="64" t="str">
        <f>IFERROR(__xludf.DUMMYFUNCTION("""COMPUTED_VALUE"""),"SINAPRESE")</f>
        <v>SINAPRESE</v>
      </c>
      <c r="R432" s="64" t="str">
        <f>IFERROR(__xludf.DUMMYFUNCTION("""COMPUTED_VALUE"""),"APOYO ATLETISMO")</f>
        <v>APOYO ATLETISMO</v>
      </c>
      <c r="S432" s="64" t="str">
        <f>IFERROR(__xludf.DUMMYFUNCTION("""COMPUTED_VALUE"""),"APOYO A CICLISMO")</f>
        <v>APOYO A CICLISMO</v>
      </c>
      <c r="T432" s="64" t="str">
        <f>IFERROR(__xludf.DUMMYFUNCTION("""COMPUTED_VALUE"""),"DESCARGA DE BATERÍA")</f>
        <v>DESCARGA DE BATERÍA</v>
      </c>
      <c r="U432" s="64" t="str">
        <f>IFERROR(__xludf.DUMMYFUNCTION("""COMPUTED_VALUE"""),"PROBLEMAS DE SALUD")</f>
        <v>PROBLEMAS DE SALUD</v>
      </c>
      <c r="V432" s="64" t="str">
        <f>IFERROR(__xludf.DUMMYFUNCTION("""COMPUTED_VALUE"""),"OLVIDO LA LLAVE")</f>
        <v>OLVIDO LA LLAVE</v>
      </c>
      <c r="W432" s="64" t="str">
        <f>IFERROR(__xludf.DUMMYFUNCTION("""COMPUTED_VALUE"""),"CARGA SOBREDIMENSIONADA")</f>
        <v>CARGA SOBREDIMENSIONADA</v>
      </c>
      <c r="X432" s="64" t="str">
        <f>IFERROR(__xludf.DUMMYFUNCTION("""COMPUTED_VALUE"""),"VEHÍCULO ABANDONADO")</f>
        <v>VEHÍCULO ABANDONADO</v>
      </c>
      <c r="Y432" s="64" t="str">
        <f>IFERROR(__xludf.DUMMYFUNCTION("""COMPUTED_VALUE"""),"DESPRENDIMIENTO")</f>
        <v>DESPRENDIMIENTO</v>
      </c>
      <c r="Z432" s="64" t="str">
        <f>IFERROR(__xludf.DUMMYFUNCTION("""COMPUTED_VALUE"""),"CAÍDA DE POSTE")</f>
        <v>CAÍDA DE POSTE</v>
      </c>
      <c r="AA432" s="64" t="str">
        <f>IFERROR(__xludf.DUMMYFUNCTION("""COMPUTED_VALUE"""),"CAÍDA DE RAMA")</f>
        <v>CAÍDA DE RAMA</v>
      </c>
      <c r="AB432" s="64" t="str">
        <f>IFERROR(__xludf.DUMMYFUNCTION("""COMPUTED_VALUE"""),"OPERATIVO DGT")</f>
        <v>OPERATIVO DGT</v>
      </c>
      <c r="AC432" s="64" t="str">
        <f>IFERROR(__xludf.DUMMYFUNCTION("""COMPUTED_VALUE"""),"OPERATIVO PMT")</f>
        <v>OPERATIVO PMT</v>
      </c>
      <c r="AD432" s="64" t="str">
        <f>IFERROR(__xludf.DUMMYFUNCTION("""COMPUTED_VALUE"""),"APOYO A DIGEF")</f>
        <v>APOYO A DIGEF</v>
      </c>
      <c r="AE432" s="64" t="str">
        <f>IFERROR(__xludf.DUMMYFUNCTION("""COMPUTED_VALUE"""),"OPERATIVO PNC TRANSITO")</f>
        <v>OPERATIVO PNC TRANSITO</v>
      </c>
      <c r="AF432" s="64" t="str">
        <f>IFERROR(__xludf.DUMMYFUNCTION("""COMPUTED_VALUE"""),"SOBRECARGA ")</f>
        <v>SOBRECARGA </v>
      </c>
      <c r="AG432" s="64" t="str">
        <f>IFERROR(__xludf.DUMMYFUNCTION("""COMPUTED_VALUE"""),"OPERATIVO EN CONJUNTO")</f>
        <v>OPERATIVO EN CONJUNTO</v>
      </c>
      <c r="AH432" s="64" t="str">
        <f>IFERROR(__xludf.DUMMYFUNCTION("""COMPUTED_VALUE"""),"PUESTO DE ATENCION AL USUARIO")</f>
        <v>PUESTO DE ATENCION AL USUARIO</v>
      </c>
      <c r="AI432" s="64" t="str">
        <f>IFERROR(__xludf.DUMMYFUNCTION("""COMPUTED_VALUE"""),"INCENDIO EN RUTA")</f>
        <v>INCENDIO EN RUTA</v>
      </c>
      <c r="AJ432" s="64" t="str">
        <f>IFERROR(__xludf.DUMMYFUNCTION("""COMPUTED_VALUE"""),"APOYO ANTORCHA ")</f>
        <v>APOYO ANTORCHA </v>
      </c>
    </row>
    <row r="433">
      <c r="B433" s="64" t="s">
        <v>54</v>
      </c>
      <c r="C433" s="64" t="str">
        <f>IFERROR(__xludf.DUMMYFUNCTION(" TRANSPOSE( unique ( QUERY(DATOPRO,""select Col2 where Col1 = '""&amp;B433&amp;""'"")))"),"PINCHAZO")</f>
        <v>PINCHAZO</v>
      </c>
      <c r="D433" s="64" t="str">
        <f>IFERROR(__xludf.DUMMYFUNCTION("""COMPUTED_VALUE"""),"TRABAJOS DE CARRETERA")</f>
        <v>TRABAJOS DE CARRETERA</v>
      </c>
      <c r="E433" s="64" t="str">
        <f>IFERROR(__xludf.DUMMYFUNCTION("""COMPUTED_VALUE"""),"CONSIGNACIÓN")</f>
        <v>CONSIGNACIÓN</v>
      </c>
      <c r="F433" s="64" t="str">
        <f>IFERROR(__xludf.DUMMYFUNCTION("""COMPUTED_VALUE"""),"DERRAME")</f>
        <v>DERRAME</v>
      </c>
      <c r="G433" s="64" t="str">
        <f>IFERROR(__xludf.DUMMYFUNCTION("""COMPUTED_VALUE"""),"CALENTAMIENTO")</f>
        <v>CALENTAMIENTO</v>
      </c>
      <c r="H433" s="64" t="str">
        <f>IFERROR(__xludf.DUMMYFUNCTION("""COMPUTED_VALUE"""),"ESCOLTANDO")</f>
        <v>ESCOLTANDO</v>
      </c>
      <c r="I433" s="64" t="str">
        <f>IFERROR(__xludf.DUMMYFUNCTION("""COMPUTED_VALUE"""),"FALTA DE COMBUSTIBLE")</f>
        <v>FALTA DE COMBUSTIBLE</v>
      </c>
      <c r="J433" s="64" t="str">
        <f>IFERROR(__xludf.DUMMYFUNCTION("""COMPUTED_VALUE"""),"DESPERFECTOS MECÁNICOS")</f>
        <v>DESPERFECTOS MECÁNICOS</v>
      </c>
      <c r="K433" s="64" t="str">
        <f>IFERROR(__xludf.DUMMYFUNCTION("""COMPUTED_VALUE"""),"LLAMADA DE ATENCIÓN")</f>
        <v>LLAMADA DE ATENCIÓN</v>
      </c>
      <c r="L433" s="64" t="str">
        <f>IFERROR(__xludf.DUMMYFUNCTION("""COMPUTED_VALUE"""),"OPERATIVOS")</f>
        <v>OPERATIVOS</v>
      </c>
      <c r="M433" s="64" t="str">
        <f>IFERROR(__xludf.DUMMYFUNCTION("""COMPUTED_VALUE"""),"SANCIÓN")</f>
        <v>SANCIÓN</v>
      </c>
      <c r="N433" s="64" t="str">
        <f>IFERROR(__xludf.DUMMYFUNCTION("""COMPUTED_VALUE"""),"SISTEMA ELECTRICO")</f>
        <v>SISTEMA ELECTRICO</v>
      </c>
      <c r="O433" s="64" t="str">
        <f>IFERROR(__xludf.DUMMYFUNCTION("""COMPUTED_VALUE"""),"ASISTENCIA AL USUARIO")</f>
        <v>ASISTENCIA AL USUARIO</v>
      </c>
      <c r="P433" s="64" t="str">
        <f>IFERROR(__xludf.DUMMYFUNCTION("""COMPUTED_VALUE"""),"DOBLE REMOLQUE")</f>
        <v>DOBLE REMOLQUE</v>
      </c>
      <c r="Q433" s="64" t="str">
        <f>IFERROR(__xludf.DUMMYFUNCTION("""COMPUTED_VALUE"""),"SINAPRESE")</f>
        <v>SINAPRESE</v>
      </c>
      <c r="R433" s="64" t="str">
        <f>IFERROR(__xludf.DUMMYFUNCTION("""COMPUTED_VALUE"""),"APOYO ATLETISMO")</f>
        <v>APOYO ATLETISMO</v>
      </c>
      <c r="S433" s="64" t="str">
        <f>IFERROR(__xludf.DUMMYFUNCTION("""COMPUTED_VALUE"""),"APOYO A CICLISMO")</f>
        <v>APOYO A CICLISMO</v>
      </c>
      <c r="T433" s="64" t="str">
        <f>IFERROR(__xludf.DUMMYFUNCTION("""COMPUTED_VALUE"""),"DESCARGA DE BATERÍA")</f>
        <v>DESCARGA DE BATERÍA</v>
      </c>
      <c r="U433" s="64" t="str">
        <f>IFERROR(__xludf.DUMMYFUNCTION("""COMPUTED_VALUE"""),"PROBLEMAS DE SALUD")</f>
        <v>PROBLEMAS DE SALUD</v>
      </c>
      <c r="V433" s="64" t="str">
        <f>IFERROR(__xludf.DUMMYFUNCTION("""COMPUTED_VALUE"""),"OLVIDO LA LLAVE")</f>
        <v>OLVIDO LA LLAVE</v>
      </c>
      <c r="W433" s="64" t="str">
        <f>IFERROR(__xludf.DUMMYFUNCTION("""COMPUTED_VALUE"""),"CARGA SOBREDIMENSIONADA")</f>
        <v>CARGA SOBREDIMENSIONADA</v>
      </c>
      <c r="X433" s="64" t="str">
        <f>IFERROR(__xludf.DUMMYFUNCTION("""COMPUTED_VALUE"""),"VEHÍCULO ABANDONADO")</f>
        <v>VEHÍCULO ABANDONADO</v>
      </c>
      <c r="Y433" s="64" t="str">
        <f>IFERROR(__xludf.DUMMYFUNCTION("""COMPUTED_VALUE"""),"DESPRENDIMIENTO")</f>
        <v>DESPRENDIMIENTO</v>
      </c>
      <c r="Z433" s="64" t="str">
        <f>IFERROR(__xludf.DUMMYFUNCTION("""COMPUTED_VALUE"""),"CAÍDA DE POSTE")</f>
        <v>CAÍDA DE POSTE</v>
      </c>
      <c r="AA433" s="64" t="str">
        <f>IFERROR(__xludf.DUMMYFUNCTION("""COMPUTED_VALUE"""),"CAÍDA DE RAMA")</f>
        <v>CAÍDA DE RAMA</v>
      </c>
      <c r="AB433" s="64" t="str">
        <f>IFERROR(__xludf.DUMMYFUNCTION("""COMPUTED_VALUE"""),"OPERATIVO DGT")</f>
        <v>OPERATIVO DGT</v>
      </c>
      <c r="AC433" s="64" t="str">
        <f>IFERROR(__xludf.DUMMYFUNCTION("""COMPUTED_VALUE"""),"OPERATIVO PMT")</f>
        <v>OPERATIVO PMT</v>
      </c>
      <c r="AD433" s="64" t="str">
        <f>IFERROR(__xludf.DUMMYFUNCTION("""COMPUTED_VALUE"""),"APOYO A DIGEF")</f>
        <v>APOYO A DIGEF</v>
      </c>
      <c r="AE433" s="64" t="str">
        <f>IFERROR(__xludf.DUMMYFUNCTION("""COMPUTED_VALUE"""),"OPERATIVO PNC TRANSITO")</f>
        <v>OPERATIVO PNC TRANSITO</v>
      </c>
      <c r="AF433" s="64" t="str">
        <f>IFERROR(__xludf.DUMMYFUNCTION("""COMPUTED_VALUE"""),"SOBRECARGA ")</f>
        <v>SOBRECARGA </v>
      </c>
      <c r="AG433" s="64" t="str">
        <f>IFERROR(__xludf.DUMMYFUNCTION("""COMPUTED_VALUE"""),"OPERATIVO EN CONJUNTO")</f>
        <v>OPERATIVO EN CONJUNTO</v>
      </c>
      <c r="AH433" s="64" t="str">
        <f>IFERROR(__xludf.DUMMYFUNCTION("""COMPUTED_VALUE"""),"PUESTO DE ATENCION AL USUARIO")</f>
        <v>PUESTO DE ATENCION AL USUARIO</v>
      </c>
      <c r="AI433" s="64" t="str">
        <f>IFERROR(__xludf.DUMMYFUNCTION("""COMPUTED_VALUE"""),"INCENDIO EN RUTA")</f>
        <v>INCENDIO EN RUTA</v>
      </c>
      <c r="AJ433" s="64" t="str">
        <f>IFERROR(__xludf.DUMMYFUNCTION("""COMPUTED_VALUE"""),"APOYO ANTORCHA ")</f>
        <v>APOYO ANTORCHA </v>
      </c>
    </row>
    <row r="434">
      <c r="B434" s="64" t="s">
        <v>54</v>
      </c>
      <c r="C434" s="64" t="str">
        <f>IFERROR(__xludf.DUMMYFUNCTION(" TRANSPOSE( unique ( QUERY(DATOPRO,""select Col2 where Col1 = '""&amp;B434&amp;""'"")))"),"PINCHAZO")</f>
        <v>PINCHAZO</v>
      </c>
      <c r="D434" s="64" t="str">
        <f>IFERROR(__xludf.DUMMYFUNCTION("""COMPUTED_VALUE"""),"TRABAJOS DE CARRETERA")</f>
        <v>TRABAJOS DE CARRETERA</v>
      </c>
      <c r="E434" s="64" t="str">
        <f>IFERROR(__xludf.DUMMYFUNCTION("""COMPUTED_VALUE"""),"CONSIGNACIÓN")</f>
        <v>CONSIGNACIÓN</v>
      </c>
      <c r="F434" s="64" t="str">
        <f>IFERROR(__xludf.DUMMYFUNCTION("""COMPUTED_VALUE"""),"DERRAME")</f>
        <v>DERRAME</v>
      </c>
      <c r="G434" s="64" t="str">
        <f>IFERROR(__xludf.DUMMYFUNCTION("""COMPUTED_VALUE"""),"CALENTAMIENTO")</f>
        <v>CALENTAMIENTO</v>
      </c>
      <c r="H434" s="64" t="str">
        <f>IFERROR(__xludf.DUMMYFUNCTION("""COMPUTED_VALUE"""),"ESCOLTANDO")</f>
        <v>ESCOLTANDO</v>
      </c>
      <c r="I434" s="64" t="str">
        <f>IFERROR(__xludf.DUMMYFUNCTION("""COMPUTED_VALUE"""),"FALTA DE COMBUSTIBLE")</f>
        <v>FALTA DE COMBUSTIBLE</v>
      </c>
      <c r="J434" s="64" t="str">
        <f>IFERROR(__xludf.DUMMYFUNCTION("""COMPUTED_VALUE"""),"DESPERFECTOS MECÁNICOS")</f>
        <v>DESPERFECTOS MECÁNICOS</v>
      </c>
      <c r="K434" s="64" t="str">
        <f>IFERROR(__xludf.DUMMYFUNCTION("""COMPUTED_VALUE"""),"LLAMADA DE ATENCIÓN")</f>
        <v>LLAMADA DE ATENCIÓN</v>
      </c>
      <c r="L434" s="64" t="str">
        <f>IFERROR(__xludf.DUMMYFUNCTION("""COMPUTED_VALUE"""),"OPERATIVOS")</f>
        <v>OPERATIVOS</v>
      </c>
      <c r="M434" s="64" t="str">
        <f>IFERROR(__xludf.DUMMYFUNCTION("""COMPUTED_VALUE"""),"SANCIÓN")</f>
        <v>SANCIÓN</v>
      </c>
      <c r="N434" s="64" t="str">
        <f>IFERROR(__xludf.DUMMYFUNCTION("""COMPUTED_VALUE"""),"SISTEMA ELECTRICO")</f>
        <v>SISTEMA ELECTRICO</v>
      </c>
      <c r="O434" s="64" t="str">
        <f>IFERROR(__xludf.DUMMYFUNCTION("""COMPUTED_VALUE"""),"ASISTENCIA AL USUARIO")</f>
        <v>ASISTENCIA AL USUARIO</v>
      </c>
      <c r="P434" s="64" t="str">
        <f>IFERROR(__xludf.DUMMYFUNCTION("""COMPUTED_VALUE"""),"DOBLE REMOLQUE")</f>
        <v>DOBLE REMOLQUE</v>
      </c>
      <c r="Q434" s="64" t="str">
        <f>IFERROR(__xludf.DUMMYFUNCTION("""COMPUTED_VALUE"""),"SINAPRESE")</f>
        <v>SINAPRESE</v>
      </c>
      <c r="R434" s="64" t="str">
        <f>IFERROR(__xludf.DUMMYFUNCTION("""COMPUTED_VALUE"""),"APOYO ATLETISMO")</f>
        <v>APOYO ATLETISMO</v>
      </c>
      <c r="S434" s="64" t="str">
        <f>IFERROR(__xludf.DUMMYFUNCTION("""COMPUTED_VALUE"""),"APOYO A CICLISMO")</f>
        <v>APOYO A CICLISMO</v>
      </c>
      <c r="T434" s="64" t="str">
        <f>IFERROR(__xludf.DUMMYFUNCTION("""COMPUTED_VALUE"""),"DESCARGA DE BATERÍA")</f>
        <v>DESCARGA DE BATERÍA</v>
      </c>
      <c r="U434" s="64" t="str">
        <f>IFERROR(__xludf.DUMMYFUNCTION("""COMPUTED_VALUE"""),"PROBLEMAS DE SALUD")</f>
        <v>PROBLEMAS DE SALUD</v>
      </c>
      <c r="V434" s="64" t="str">
        <f>IFERROR(__xludf.DUMMYFUNCTION("""COMPUTED_VALUE"""),"OLVIDO LA LLAVE")</f>
        <v>OLVIDO LA LLAVE</v>
      </c>
      <c r="W434" s="64" t="str">
        <f>IFERROR(__xludf.DUMMYFUNCTION("""COMPUTED_VALUE"""),"CARGA SOBREDIMENSIONADA")</f>
        <v>CARGA SOBREDIMENSIONADA</v>
      </c>
      <c r="X434" s="64" t="str">
        <f>IFERROR(__xludf.DUMMYFUNCTION("""COMPUTED_VALUE"""),"VEHÍCULO ABANDONADO")</f>
        <v>VEHÍCULO ABANDONADO</v>
      </c>
      <c r="Y434" s="64" t="str">
        <f>IFERROR(__xludf.DUMMYFUNCTION("""COMPUTED_VALUE"""),"DESPRENDIMIENTO")</f>
        <v>DESPRENDIMIENTO</v>
      </c>
      <c r="Z434" s="64" t="str">
        <f>IFERROR(__xludf.DUMMYFUNCTION("""COMPUTED_VALUE"""),"CAÍDA DE POSTE")</f>
        <v>CAÍDA DE POSTE</v>
      </c>
      <c r="AA434" s="64" t="str">
        <f>IFERROR(__xludf.DUMMYFUNCTION("""COMPUTED_VALUE"""),"CAÍDA DE RAMA")</f>
        <v>CAÍDA DE RAMA</v>
      </c>
      <c r="AB434" s="64" t="str">
        <f>IFERROR(__xludf.DUMMYFUNCTION("""COMPUTED_VALUE"""),"OPERATIVO DGT")</f>
        <v>OPERATIVO DGT</v>
      </c>
      <c r="AC434" s="64" t="str">
        <f>IFERROR(__xludf.DUMMYFUNCTION("""COMPUTED_VALUE"""),"OPERATIVO PMT")</f>
        <v>OPERATIVO PMT</v>
      </c>
      <c r="AD434" s="64" t="str">
        <f>IFERROR(__xludf.DUMMYFUNCTION("""COMPUTED_VALUE"""),"APOYO A DIGEF")</f>
        <v>APOYO A DIGEF</v>
      </c>
      <c r="AE434" s="64" t="str">
        <f>IFERROR(__xludf.DUMMYFUNCTION("""COMPUTED_VALUE"""),"OPERATIVO PNC TRANSITO")</f>
        <v>OPERATIVO PNC TRANSITO</v>
      </c>
      <c r="AF434" s="64" t="str">
        <f>IFERROR(__xludf.DUMMYFUNCTION("""COMPUTED_VALUE"""),"SOBRECARGA ")</f>
        <v>SOBRECARGA </v>
      </c>
      <c r="AG434" s="64" t="str">
        <f>IFERROR(__xludf.DUMMYFUNCTION("""COMPUTED_VALUE"""),"OPERATIVO EN CONJUNTO")</f>
        <v>OPERATIVO EN CONJUNTO</v>
      </c>
      <c r="AH434" s="64" t="str">
        <f>IFERROR(__xludf.DUMMYFUNCTION("""COMPUTED_VALUE"""),"PUESTO DE ATENCION AL USUARIO")</f>
        <v>PUESTO DE ATENCION AL USUARIO</v>
      </c>
      <c r="AI434" s="64" t="str">
        <f>IFERROR(__xludf.DUMMYFUNCTION("""COMPUTED_VALUE"""),"INCENDIO EN RUTA")</f>
        <v>INCENDIO EN RUTA</v>
      </c>
      <c r="AJ434" s="64" t="str">
        <f>IFERROR(__xludf.DUMMYFUNCTION("""COMPUTED_VALUE"""),"APOYO ANTORCHA ")</f>
        <v>APOYO ANTORCHA </v>
      </c>
    </row>
    <row r="435">
      <c r="B435" s="64" t="s">
        <v>54</v>
      </c>
      <c r="C435" s="64" t="str">
        <f>IFERROR(__xludf.DUMMYFUNCTION(" TRANSPOSE( unique ( QUERY(DATOPRO,""select Col2 where Col1 = '""&amp;B435&amp;""'"")))"),"PINCHAZO")</f>
        <v>PINCHAZO</v>
      </c>
      <c r="D435" s="64" t="str">
        <f>IFERROR(__xludf.DUMMYFUNCTION("""COMPUTED_VALUE"""),"TRABAJOS DE CARRETERA")</f>
        <v>TRABAJOS DE CARRETERA</v>
      </c>
      <c r="E435" s="64" t="str">
        <f>IFERROR(__xludf.DUMMYFUNCTION("""COMPUTED_VALUE"""),"CONSIGNACIÓN")</f>
        <v>CONSIGNACIÓN</v>
      </c>
      <c r="F435" s="64" t="str">
        <f>IFERROR(__xludf.DUMMYFUNCTION("""COMPUTED_VALUE"""),"DERRAME")</f>
        <v>DERRAME</v>
      </c>
      <c r="G435" s="64" t="str">
        <f>IFERROR(__xludf.DUMMYFUNCTION("""COMPUTED_VALUE"""),"CALENTAMIENTO")</f>
        <v>CALENTAMIENTO</v>
      </c>
      <c r="H435" s="64" t="str">
        <f>IFERROR(__xludf.DUMMYFUNCTION("""COMPUTED_VALUE"""),"ESCOLTANDO")</f>
        <v>ESCOLTANDO</v>
      </c>
      <c r="I435" s="64" t="str">
        <f>IFERROR(__xludf.DUMMYFUNCTION("""COMPUTED_VALUE"""),"FALTA DE COMBUSTIBLE")</f>
        <v>FALTA DE COMBUSTIBLE</v>
      </c>
      <c r="J435" s="64" t="str">
        <f>IFERROR(__xludf.DUMMYFUNCTION("""COMPUTED_VALUE"""),"DESPERFECTOS MECÁNICOS")</f>
        <v>DESPERFECTOS MECÁNICOS</v>
      </c>
      <c r="K435" s="64" t="str">
        <f>IFERROR(__xludf.DUMMYFUNCTION("""COMPUTED_VALUE"""),"LLAMADA DE ATENCIÓN")</f>
        <v>LLAMADA DE ATENCIÓN</v>
      </c>
      <c r="L435" s="64" t="str">
        <f>IFERROR(__xludf.DUMMYFUNCTION("""COMPUTED_VALUE"""),"OPERATIVOS")</f>
        <v>OPERATIVOS</v>
      </c>
      <c r="M435" s="64" t="str">
        <f>IFERROR(__xludf.DUMMYFUNCTION("""COMPUTED_VALUE"""),"SANCIÓN")</f>
        <v>SANCIÓN</v>
      </c>
      <c r="N435" s="64" t="str">
        <f>IFERROR(__xludf.DUMMYFUNCTION("""COMPUTED_VALUE"""),"SISTEMA ELECTRICO")</f>
        <v>SISTEMA ELECTRICO</v>
      </c>
      <c r="O435" s="64" t="str">
        <f>IFERROR(__xludf.DUMMYFUNCTION("""COMPUTED_VALUE"""),"ASISTENCIA AL USUARIO")</f>
        <v>ASISTENCIA AL USUARIO</v>
      </c>
      <c r="P435" s="64" t="str">
        <f>IFERROR(__xludf.DUMMYFUNCTION("""COMPUTED_VALUE"""),"DOBLE REMOLQUE")</f>
        <v>DOBLE REMOLQUE</v>
      </c>
      <c r="Q435" s="64" t="str">
        <f>IFERROR(__xludf.DUMMYFUNCTION("""COMPUTED_VALUE"""),"SINAPRESE")</f>
        <v>SINAPRESE</v>
      </c>
      <c r="R435" s="64" t="str">
        <f>IFERROR(__xludf.DUMMYFUNCTION("""COMPUTED_VALUE"""),"APOYO ATLETISMO")</f>
        <v>APOYO ATLETISMO</v>
      </c>
      <c r="S435" s="64" t="str">
        <f>IFERROR(__xludf.DUMMYFUNCTION("""COMPUTED_VALUE"""),"APOYO A CICLISMO")</f>
        <v>APOYO A CICLISMO</v>
      </c>
      <c r="T435" s="64" t="str">
        <f>IFERROR(__xludf.DUMMYFUNCTION("""COMPUTED_VALUE"""),"DESCARGA DE BATERÍA")</f>
        <v>DESCARGA DE BATERÍA</v>
      </c>
      <c r="U435" s="64" t="str">
        <f>IFERROR(__xludf.DUMMYFUNCTION("""COMPUTED_VALUE"""),"PROBLEMAS DE SALUD")</f>
        <v>PROBLEMAS DE SALUD</v>
      </c>
      <c r="V435" s="64" t="str">
        <f>IFERROR(__xludf.DUMMYFUNCTION("""COMPUTED_VALUE"""),"OLVIDO LA LLAVE")</f>
        <v>OLVIDO LA LLAVE</v>
      </c>
      <c r="W435" s="64" t="str">
        <f>IFERROR(__xludf.DUMMYFUNCTION("""COMPUTED_VALUE"""),"CARGA SOBREDIMENSIONADA")</f>
        <v>CARGA SOBREDIMENSIONADA</v>
      </c>
      <c r="X435" s="64" t="str">
        <f>IFERROR(__xludf.DUMMYFUNCTION("""COMPUTED_VALUE"""),"VEHÍCULO ABANDONADO")</f>
        <v>VEHÍCULO ABANDONADO</v>
      </c>
      <c r="Y435" s="64" t="str">
        <f>IFERROR(__xludf.DUMMYFUNCTION("""COMPUTED_VALUE"""),"DESPRENDIMIENTO")</f>
        <v>DESPRENDIMIENTO</v>
      </c>
      <c r="Z435" s="64" t="str">
        <f>IFERROR(__xludf.DUMMYFUNCTION("""COMPUTED_VALUE"""),"CAÍDA DE POSTE")</f>
        <v>CAÍDA DE POSTE</v>
      </c>
      <c r="AA435" s="64" t="str">
        <f>IFERROR(__xludf.DUMMYFUNCTION("""COMPUTED_VALUE"""),"CAÍDA DE RAMA")</f>
        <v>CAÍDA DE RAMA</v>
      </c>
      <c r="AB435" s="64" t="str">
        <f>IFERROR(__xludf.DUMMYFUNCTION("""COMPUTED_VALUE"""),"OPERATIVO DGT")</f>
        <v>OPERATIVO DGT</v>
      </c>
      <c r="AC435" s="64" t="str">
        <f>IFERROR(__xludf.DUMMYFUNCTION("""COMPUTED_VALUE"""),"OPERATIVO PMT")</f>
        <v>OPERATIVO PMT</v>
      </c>
      <c r="AD435" s="64" t="str">
        <f>IFERROR(__xludf.DUMMYFUNCTION("""COMPUTED_VALUE"""),"APOYO A DIGEF")</f>
        <v>APOYO A DIGEF</v>
      </c>
      <c r="AE435" s="64" t="str">
        <f>IFERROR(__xludf.DUMMYFUNCTION("""COMPUTED_VALUE"""),"OPERATIVO PNC TRANSITO")</f>
        <v>OPERATIVO PNC TRANSITO</v>
      </c>
      <c r="AF435" s="64" t="str">
        <f>IFERROR(__xludf.DUMMYFUNCTION("""COMPUTED_VALUE"""),"SOBRECARGA ")</f>
        <v>SOBRECARGA </v>
      </c>
      <c r="AG435" s="64" t="str">
        <f>IFERROR(__xludf.DUMMYFUNCTION("""COMPUTED_VALUE"""),"OPERATIVO EN CONJUNTO")</f>
        <v>OPERATIVO EN CONJUNTO</v>
      </c>
      <c r="AH435" s="64" t="str">
        <f>IFERROR(__xludf.DUMMYFUNCTION("""COMPUTED_VALUE"""),"PUESTO DE ATENCION AL USUARIO")</f>
        <v>PUESTO DE ATENCION AL USUARIO</v>
      </c>
      <c r="AI435" s="64" t="str">
        <f>IFERROR(__xludf.DUMMYFUNCTION("""COMPUTED_VALUE"""),"INCENDIO EN RUTA")</f>
        <v>INCENDIO EN RUTA</v>
      </c>
      <c r="AJ435" s="64" t="str">
        <f>IFERROR(__xludf.DUMMYFUNCTION("""COMPUTED_VALUE"""),"APOYO ANTORCHA ")</f>
        <v>APOYO ANTORCHA </v>
      </c>
    </row>
    <row r="436">
      <c r="B436" s="64" t="s">
        <v>54</v>
      </c>
      <c r="C436" s="64" t="str">
        <f>IFERROR(__xludf.DUMMYFUNCTION(" TRANSPOSE( unique ( QUERY(DATOPRO,""select Col2 where Col1 = '""&amp;B436&amp;""'"")))"),"PINCHAZO")</f>
        <v>PINCHAZO</v>
      </c>
      <c r="D436" s="64" t="str">
        <f>IFERROR(__xludf.DUMMYFUNCTION("""COMPUTED_VALUE"""),"TRABAJOS DE CARRETERA")</f>
        <v>TRABAJOS DE CARRETERA</v>
      </c>
      <c r="E436" s="64" t="str">
        <f>IFERROR(__xludf.DUMMYFUNCTION("""COMPUTED_VALUE"""),"CONSIGNACIÓN")</f>
        <v>CONSIGNACIÓN</v>
      </c>
      <c r="F436" s="64" t="str">
        <f>IFERROR(__xludf.DUMMYFUNCTION("""COMPUTED_VALUE"""),"DERRAME")</f>
        <v>DERRAME</v>
      </c>
      <c r="G436" s="64" t="str">
        <f>IFERROR(__xludf.DUMMYFUNCTION("""COMPUTED_VALUE"""),"CALENTAMIENTO")</f>
        <v>CALENTAMIENTO</v>
      </c>
      <c r="H436" s="64" t="str">
        <f>IFERROR(__xludf.DUMMYFUNCTION("""COMPUTED_VALUE"""),"ESCOLTANDO")</f>
        <v>ESCOLTANDO</v>
      </c>
      <c r="I436" s="64" t="str">
        <f>IFERROR(__xludf.DUMMYFUNCTION("""COMPUTED_VALUE"""),"FALTA DE COMBUSTIBLE")</f>
        <v>FALTA DE COMBUSTIBLE</v>
      </c>
      <c r="J436" s="64" t="str">
        <f>IFERROR(__xludf.DUMMYFUNCTION("""COMPUTED_VALUE"""),"DESPERFECTOS MECÁNICOS")</f>
        <v>DESPERFECTOS MECÁNICOS</v>
      </c>
      <c r="K436" s="64" t="str">
        <f>IFERROR(__xludf.DUMMYFUNCTION("""COMPUTED_VALUE"""),"LLAMADA DE ATENCIÓN")</f>
        <v>LLAMADA DE ATENCIÓN</v>
      </c>
      <c r="L436" s="64" t="str">
        <f>IFERROR(__xludf.DUMMYFUNCTION("""COMPUTED_VALUE"""),"OPERATIVOS")</f>
        <v>OPERATIVOS</v>
      </c>
      <c r="M436" s="64" t="str">
        <f>IFERROR(__xludf.DUMMYFUNCTION("""COMPUTED_VALUE"""),"SANCIÓN")</f>
        <v>SANCIÓN</v>
      </c>
      <c r="N436" s="64" t="str">
        <f>IFERROR(__xludf.DUMMYFUNCTION("""COMPUTED_VALUE"""),"SISTEMA ELECTRICO")</f>
        <v>SISTEMA ELECTRICO</v>
      </c>
      <c r="O436" s="64" t="str">
        <f>IFERROR(__xludf.DUMMYFUNCTION("""COMPUTED_VALUE"""),"ASISTENCIA AL USUARIO")</f>
        <v>ASISTENCIA AL USUARIO</v>
      </c>
      <c r="P436" s="64" t="str">
        <f>IFERROR(__xludf.DUMMYFUNCTION("""COMPUTED_VALUE"""),"DOBLE REMOLQUE")</f>
        <v>DOBLE REMOLQUE</v>
      </c>
      <c r="Q436" s="64" t="str">
        <f>IFERROR(__xludf.DUMMYFUNCTION("""COMPUTED_VALUE"""),"SINAPRESE")</f>
        <v>SINAPRESE</v>
      </c>
      <c r="R436" s="64" t="str">
        <f>IFERROR(__xludf.DUMMYFUNCTION("""COMPUTED_VALUE"""),"APOYO ATLETISMO")</f>
        <v>APOYO ATLETISMO</v>
      </c>
      <c r="S436" s="64" t="str">
        <f>IFERROR(__xludf.DUMMYFUNCTION("""COMPUTED_VALUE"""),"APOYO A CICLISMO")</f>
        <v>APOYO A CICLISMO</v>
      </c>
      <c r="T436" s="64" t="str">
        <f>IFERROR(__xludf.DUMMYFUNCTION("""COMPUTED_VALUE"""),"DESCARGA DE BATERÍA")</f>
        <v>DESCARGA DE BATERÍA</v>
      </c>
      <c r="U436" s="64" t="str">
        <f>IFERROR(__xludf.DUMMYFUNCTION("""COMPUTED_VALUE"""),"PROBLEMAS DE SALUD")</f>
        <v>PROBLEMAS DE SALUD</v>
      </c>
      <c r="V436" s="64" t="str">
        <f>IFERROR(__xludf.DUMMYFUNCTION("""COMPUTED_VALUE"""),"OLVIDO LA LLAVE")</f>
        <v>OLVIDO LA LLAVE</v>
      </c>
      <c r="W436" s="64" t="str">
        <f>IFERROR(__xludf.DUMMYFUNCTION("""COMPUTED_VALUE"""),"CARGA SOBREDIMENSIONADA")</f>
        <v>CARGA SOBREDIMENSIONADA</v>
      </c>
      <c r="X436" s="64" t="str">
        <f>IFERROR(__xludf.DUMMYFUNCTION("""COMPUTED_VALUE"""),"VEHÍCULO ABANDONADO")</f>
        <v>VEHÍCULO ABANDONADO</v>
      </c>
      <c r="Y436" s="64" t="str">
        <f>IFERROR(__xludf.DUMMYFUNCTION("""COMPUTED_VALUE"""),"DESPRENDIMIENTO")</f>
        <v>DESPRENDIMIENTO</v>
      </c>
      <c r="Z436" s="64" t="str">
        <f>IFERROR(__xludf.DUMMYFUNCTION("""COMPUTED_VALUE"""),"CAÍDA DE POSTE")</f>
        <v>CAÍDA DE POSTE</v>
      </c>
      <c r="AA436" s="64" t="str">
        <f>IFERROR(__xludf.DUMMYFUNCTION("""COMPUTED_VALUE"""),"CAÍDA DE RAMA")</f>
        <v>CAÍDA DE RAMA</v>
      </c>
      <c r="AB436" s="64" t="str">
        <f>IFERROR(__xludf.DUMMYFUNCTION("""COMPUTED_VALUE"""),"OPERATIVO DGT")</f>
        <v>OPERATIVO DGT</v>
      </c>
      <c r="AC436" s="64" t="str">
        <f>IFERROR(__xludf.DUMMYFUNCTION("""COMPUTED_VALUE"""),"OPERATIVO PMT")</f>
        <v>OPERATIVO PMT</v>
      </c>
      <c r="AD436" s="64" t="str">
        <f>IFERROR(__xludf.DUMMYFUNCTION("""COMPUTED_VALUE"""),"APOYO A DIGEF")</f>
        <v>APOYO A DIGEF</v>
      </c>
      <c r="AE436" s="64" t="str">
        <f>IFERROR(__xludf.DUMMYFUNCTION("""COMPUTED_VALUE"""),"OPERATIVO PNC TRANSITO")</f>
        <v>OPERATIVO PNC TRANSITO</v>
      </c>
      <c r="AF436" s="64" t="str">
        <f>IFERROR(__xludf.DUMMYFUNCTION("""COMPUTED_VALUE"""),"SOBRECARGA ")</f>
        <v>SOBRECARGA </v>
      </c>
      <c r="AG436" s="64" t="str">
        <f>IFERROR(__xludf.DUMMYFUNCTION("""COMPUTED_VALUE"""),"OPERATIVO EN CONJUNTO")</f>
        <v>OPERATIVO EN CONJUNTO</v>
      </c>
      <c r="AH436" s="64" t="str">
        <f>IFERROR(__xludf.DUMMYFUNCTION("""COMPUTED_VALUE"""),"PUESTO DE ATENCION AL USUARIO")</f>
        <v>PUESTO DE ATENCION AL USUARIO</v>
      </c>
      <c r="AI436" s="64" t="str">
        <f>IFERROR(__xludf.DUMMYFUNCTION("""COMPUTED_VALUE"""),"INCENDIO EN RUTA")</f>
        <v>INCENDIO EN RUTA</v>
      </c>
      <c r="AJ436" s="64" t="str">
        <f>IFERROR(__xludf.DUMMYFUNCTION("""COMPUTED_VALUE"""),"APOYO ANTORCHA ")</f>
        <v>APOYO ANTORCHA </v>
      </c>
    </row>
    <row r="437">
      <c r="B437" s="64" t="s">
        <v>54</v>
      </c>
      <c r="C437" s="64" t="str">
        <f>IFERROR(__xludf.DUMMYFUNCTION(" TRANSPOSE( unique ( QUERY(DATOPRO,""select Col2 where Col1 = '""&amp;B437&amp;""'"")))"),"PINCHAZO")</f>
        <v>PINCHAZO</v>
      </c>
      <c r="D437" s="64" t="str">
        <f>IFERROR(__xludf.DUMMYFUNCTION("""COMPUTED_VALUE"""),"TRABAJOS DE CARRETERA")</f>
        <v>TRABAJOS DE CARRETERA</v>
      </c>
      <c r="E437" s="64" t="str">
        <f>IFERROR(__xludf.DUMMYFUNCTION("""COMPUTED_VALUE"""),"CONSIGNACIÓN")</f>
        <v>CONSIGNACIÓN</v>
      </c>
      <c r="F437" s="64" t="str">
        <f>IFERROR(__xludf.DUMMYFUNCTION("""COMPUTED_VALUE"""),"DERRAME")</f>
        <v>DERRAME</v>
      </c>
      <c r="G437" s="64" t="str">
        <f>IFERROR(__xludf.DUMMYFUNCTION("""COMPUTED_VALUE"""),"CALENTAMIENTO")</f>
        <v>CALENTAMIENTO</v>
      </c>
      <c r="H437" s="64" t="str">
        <f>IFERROR(__xludf.DUMMYFUNCTION("""COMPUTED_VALUE"""),"ESCOLTANDO")</f>
        <v>ESCOLTANDO</v>
      </c>
      <c r="I437" s="64" t="str">
        <f>IFERROR(__xludf.DUMMYFUNCTION("""COMPUTED_VALUE"""),"FALTA DE COMBUSTIBLE")</f>
        <v>FALTA DE COMBUSTIBLE</v>
      </c>
      <c r="J437" s="64" t="str">
        <f>IFERROR(__xludf.DUMMYFUNCTION("""COMPUTED_VALUE"""),"DESPERFECTOS MECÁNICOS")</f>
        <v>DESPERFECTOS MECÁNICOS</v>
      </c>
      <c r="K437" s="64" t="str">
        <f>IFERROR(__xludf.DUMMYFUNCTION("""COMPUTED_VALUE"""),"LLAMADA DE ATENCIÓN")</f>
        <v>LLAMADA DE ATENCIÓN</v>
      </c>
      <c r="L437" s="64" t="str">
        <f>IFERROR(__xludf.DUMMYFUNCTION("""COMPUTED_VALUE"""),"OPERATIVOS")</f>
        <v>OPERATIVOS</v>
      </c>
      <c r="M437" s="64" t="str">
        <f>IFERROR(__xludf.DUMMYFUNCTION("""COMPUTED_VALUE"""),"SANCIÓN")</f>
        <v>SANCIÓN</v>
      </c>
      <c r="N437" s="64" t="str">
        <f>IFERROR(__xludf.DUMMYFUNCTION("""COMPUTED_VALUE"""),"SISTEMA ELECTRICO")</f>
        <v>SISTEMA ELECTRICO</v>
      </c>
      <c r="O437" s="64" t="str">
        <f>IFERROR(__xludf.DUMMYFUNCTION("""COMPUTED_VALUE"""),"ASISTENCIA AL USUARIO")</f>
        <v>ASISTENCIA AL USUARIO</v>
      </c>
      <c r="P437" s="64" t="str">
        <f>IFERROR(__xludf.DUMMYFUNCTION("""COMPUTED_VALUE"""),"DOBLE REMOLQUE")</f>
        <v>DOBLE REMOLQUE</v>
      </c>
      <c r="Q437" s="64" t="str">
        <f>IFERROR(__xludf.DUMMYFUNCTION("""COMPUTED_VALUE"""),"SINAPRESE")</f>
        <v>SINAPRESE</v>
      </c>
      <c r="R437" s="64" t="str">
        <f>IFERROR(__xludf.DUMMYFUNCTION("""COMPUTED_VALUE"""),"APOYO ATLETISMO")</f>
        <v>APOYO ATLETISMO</v>
      </c>
      <c r="S437" s="64" t="str">
        <f>IFERROR(__xludf.DUMMYFUNCTION("""COMPUTED_VALUE"""),"APOYO A CICLISMO")</f>
        <v>APOYO A CICLISMO</v>
      </c>
      <c r="T437" s="64" t="str">
        <f>IFERROR(__xludf.DUMMYFUNCTION("""COMPUTED_VALUE"""),"DESCARGA DE BATERÍA")</f>
        <v>DESCARGA DE BATERÍA</v>
      </c>
      <c r="U437" s="64" t="str">
        <f>IFERROR(__xludf.DUMMYFUNCTION("""COMPUTED_VALUE"""),"PROBLEMAS DE SALUD")</f>
        <v>PROBLEMAS DE SALUD</v>
      </c>
      <c r="V437" s="64" t="str">
        <f>IFERROR(__xludf.DUMMYFUNCTION("""COMPUTED_VALUE"""),"OLVIDO LA LLAVE")</f>
        <v>OLVIDO LA LLAVE</v>
      </c>
      <c r="W437" s="64" t="str">
        <f>IFERROR(__xludf.DUMMYFUNCTION("""COMPUTED_VALUE"""),"CARGA SOBREDIMENSIONADA")</f>
        <v>CARGA SOBREDIMENSIONADA</v>
      </c>
      <c r="X437" s="64" t="str">
        <f>IFERROR(__xludf.DUMMYFUNCTION("""COMPUTED_VALUE"""),"VEHÍCULO ABANDONADO")</f>
        <v>VEHÍCULO ABANDONADO</v>
      </c>
      <c r="Y437" s="64" t="str">
        <f>IFERROR(__xludf.DUMMYFUNCTION("""COMPUTED_VALUE"""),"DESPRENDIMIENTO")</f>
        <v>DESPRENDIMIENTO</v>
      </c>
      <c r="Z437" s="64" t="str">
        <f>IFERROR(__xludf.DUMMYFUNCTION("""COMPUTED_VALUE"""),"CAÍDA DE POSTE")</f>
        <v>CAÍDA DE POSTE</v>
      </c>
      <c r="AA437" s="64" t="str">
        <f>IFERROR(__xludf.DUMMYFUNCTION("""COMPUTED_VALUE"""),"CAÍDA DE RAMA")</f>
        <v>CAÍDA DE RAMA</v>
      </c>
      <c r="AB437" s="64" t="str">
        <f>IFERROR(__xludf.DUMMYFUNCTION("""COMPUTED_VALUE"""),"OPERATIVO DGT")</f>
        <v>OPERATIVO DGT</v>
      </c>
      <c r="AC437" s="64" t="str">
        <f>IFERROR(__xludf.DUMMYFUNCTION("""COMPUTED_VALUE"""),"OPERATIVO PMT")</f>
        <v>OPERATIVO PMT</v>
      </c>
      <c r="AD437" s="64" t="str">
        <f>IFERROR(__xludf.DUMMYFUNCTION("""COMPUTED_VALUE"""),"APOYO A DIGEF")</f>
        <v>APOYO A DIGEF</v>
      </c>
      <c r="AE437" s="64" t="str">
        <f>IFERROR(__xludf.DUMMYFUNCTION("""COMPUTED_VALUE"""),"OPERATIVO PNC TRANSITO")</f>
        <v>OPERATIVO PNC TRANSITO</v>
      </c>
      <c r="AF437" s="64" t="str">
        <f>IFERROR(__xludf.DUMMYFUNCTION("""COMPUTED_VALUE"""),"SOBRECARGA ")</f>
        <v>SOBRECARGA </v>
      </c>
      <c r="AG437" s="64" t="str">
        <f>IFERROR(__xludf.DUMMYFUNCTION("""COMPUTED_VALUE"""),"OPERATIVO EN CONJUNTO")</f>
        <v>OPERATIVO EN CONJUNTO</v>
      </c>
      <c r="AH437" s="64" t="str">
        <f>IFERROR(__xludf.DUMMYFUNCTION("""COMPUTED_VALUE"""),"PUESTO DE ATENCION AL USUARIO")</f>
        <v>PUESTO DE ATENCION AL USUARIO</v>
      </c>
      <c r="AI437" s="64" t="str">
        <f>IFERROR(__xludf.DUMMYFUNCTION("""COMPUTED_VALUE"""),"INCENDIO EN RUTA")</f>
        <v>INCENDIO EN RUTA</v>
      </c>
      <c r="AJ437" s="64" t="str">
        <f>IFERROR(__xludf.DUMMYFUNCTION("""COMPUTED_VALUE"""),"APOYO ANTORCHA ")</f>
        <v>APOYO ANTORCHA </v>
      </c>
    </row>
    <row r="438">
      <c r="B438" s="64"/>
      <c r="C438" s="64" t="str">
        <f>IFERROR(__xludf.DUMMYFUNCTION(" TRANSPOSE( unique ( QUERY(DATOPRO,""select Col2 where Col1 = '""&amp;B438&amp;""'"")))"),"")</f>
        <v/>
      </c>
    </row>
    <row r="439">
      <c r="B439" s="64"/>
      <c r="C439" s="64" t="str">
        <f>IFERROR(__xludf.DUMMYFUNCTION(" TRANSPOSE( unique ( QUERY(DATOPRO,""select Col2 where Col1 = '""&amp;B439&amp;""'"")))"),"")</f>
        <v/>
      </c>
    </row>
    <row r="440">
      <c r="B440" s="64" t="s">
        <v>38</v>
      </c>
      <c r="C440" s="64" t="str">
        <f>IFERROR(__xludf.DUMMYFUNCTION(" TRANSPOSE( unique ( QUERY(DATOPRO,""select Col2 where Col1 = '""&amp;B440&amp;""'"")))"),"ATAQUE ARMADO")</f>
        <v>ATAQUE ARMADO</v>
      </c>
      <c r="D440" s="64" t="str">
        <f>IFERROR(__xludf.DUMMYFUNCTION("""COMPUTED_VALUE"""),"DESBALANCE DE CARGA")</f>
        <v>DESBALANCE DE CARGA</v>
      </c>
      <c r="E440" s="64" t="str">
        <f>IFERROR(__xludf.DUMMYFUNCTION("""COMPUTED_VALUE"""),"PERSONA FALLECIDA")</f>
        <v>PERSONA FALLECIDA</v>
      </c>
      <c r="F440" s="64" t="str">
        <f>IFERROR(__xludf.DUMMYFUNCTION("""COMPUTED_VALUE"""),"DESPRENDIMIENTO DE NEUMATICO")</f>
        <v>DESPRENDIMIENTO DE NEUMATICO</v>
      </c>
      <c r="G440" s="64" t="str">
        <f>IFERROR(__xludf.DUMMYFUNCTION("""COMPUTED_VALUE"""),"SALIDA DE PISTA")</f>
        <v>SALIDA DE PISTA</v>
      </c>
      <c r="H440" s="64" t="str">
        <f>IFERROR(__xludf.DUMMYFUNCTION("""COMPUTED_VALUE"""),"DESPRENDIMIENTO DE CONTENEDOR")</f>
        <v>DESPRENDIMIENTO DE CONTENEDOR</v>
      </c>
      <c r="I440" s="64" t="str">
        <f>IFERROR(__xludf.DUMMYFUNCTION("""COMPUTED_VALUE"""),"CAÍDA DE CARGA")</f>
        <v>CAÍDA DE CARGA</v>
      </c>
      <c r="J440" s="64" t="str">
        <f>IFERROR(__xludf.DUMMYFUNCTION("""COMPUTED_VALUE"""),"CHOQUE")</f>
        <v>CHOQUE</v>
      </c>
      <c r="K440" s="64" t="str">
        <f>IFERROR(__xludf.DUMMYFUNCTION("""COMPUTED_VALUE"""),"COLISIÓN")</f>
        <v>COLISIÓN</v>
      </c>
      <c r="L440" s="64" t="str">
        <f>IFERROR(__xludf.DUMMYFUNCTION("""COMPUTED_VALUE"""),"COLISIÓN MÚLTIPLE")</f>
        <v>COLISIÓN MÚLTIPLE</v>
      </c>
      <c r="M440" s="64" t="str">
        <f>IFERROR(__xludf.DUMMYFUNCTION("""COMPUTED_VALUE"""),"DERRAPE")</f>
        <v>DERRAPE</v>
      </c>
      <c r="N440" s="64" t="str">
        <f>IFERROR(__xludf.DUMMYFUNCTION("""COMPUTED_VALUE"""),"VEHÍCULO INCENDIADO")</f>
        <v>VEHÍCULO INCENDIADO</v>
      </c>
      <c r="O440" s="64" t="str">
        <f>IFERROR(__xludf.DUMMYFUNCTION("""COMPUTED_VALUE"""),"VUELCO")</f>
        <v>VUELCO</v>
      </c>
      <c r="P440" s="64" t="str">
        <f>IFERROR(__xludf.DUMMYFUNCTION("""COMPUTED_VALUE"""),"DESPRENDIMIENTO")</f>
        <v>DESPRENDIMIENTO</v>
      </c>
      <c r="Q440" s="64" t="str">
        <f>IFERROR(__xludf.DUMMYFUNCTION("""COMPUTED_VALUE"""),"CAÍDA DE ÁRBOL")</f>
        <v>CAÍDA DE ÁRBOL</v>
      </c>
      <c r="R440" s="64" t="str">
        <f>IFERROR(__xludf.DUMMYFUNCTION("""COMPUTED_VALUE"""),"DESPRENDIMIENTO DE EJE")</f>
        <v>DESPRENDIMIENTO DE EJE</v>
      </c>
      <c r="S440" s="64" t="str">
        <f>IFERROR(__xludf.DUMMYFUNCTION("""COMPUTED_VALUE"""),"PERSONA ATROPELLADA")</f>
        <v>PERSONA ATROPELLADA</v>
      </c>
    </row>
    <row r="441">
      <c r="B441" s="64"/>
      <c r="C441" s="64" t="str">
        <f>IFERROR(__xludf.DUMMYFUNCTION(" TRANSPOSE( unique ( QUERY(DATOPRO,""select Col2 where Col1 = '""&amp;B441&amp;""'"")))"),"")</f>
        <v/>
      </c>
    </row>
    <row r="442">
      <c r="B442" s="64"/>
      <c r="C442" s="64" t="str">
        <f>IFERROR(__xludf.DUMMYFUNCTION(" TRANSPOSE( unique ( QUERY(DATOPRO,""select Col2 where Col1 = '""&amp;B442&amp;""'"")))"),"")</f>
        <v/>
      </c>
    </row>
    <row r="443">
      <c r="B443" s="64" t="s">
        <v>38</v>
      </c>
      <c r="C443" s="64" t="str">
        <f>IFERROR(__xludf.DUMMYFUNCTION(" TRANSPOSE( unique ( QUERY(DATOPRO,""select Col2 where Col1 = '""&amp;B443&amp;""'"")))"),"ATAQUE ARMADO")</f>
        <v>ATAQUE ARMADO</v>
      </c>
      <c r="D443" s="64" t="str">
        <f>IFERROR(__xludf.DUMMYFUNCTION("""COMPUTED_VALUE"""),"DESBALANCE DE CARGA")</f>
        <v>DESBALANCE DE CARGA</v>
      </c>
      <c r="E443" s="64" t="str">
        <f>IFERROR(__xludf.DUMMYFUNCTION("""COMPUTED_VALUE"""),"PERSONA FALLECIDA")</f>
        <v>PERSONA FALLECIDA</v>
      </c>
      <c r="F443" s="64" t="str">
        <f>IFERROR(__xludf.DUMMYFUNCTION("""COMPUTED_VALUE"""),"DESPRENDIMIENTO DE NEUMATICO")</f>
        <v>DESPRENDIMIENTO DE NEUMATICO</v>
      </c>
      <c r="G443" s="64" t="str">
        <f>IFERROR(__xludf.DUMMYFUNCTION("""COMPUTED_VALUE"""),"SALIDA DE PISTA")</f>
        <v>SALIDA DE PISTA</v>
      </c>
      <c r="H443" s="64" t="str">
        <f>IFERROR(__xludf.DUMMYFUNCTION("""COMPUTED_VALUE"""),"DESPRENDIMIENTO DE CONTENEDOR")</f>
        <v>DESPRENDIMIENTO DE CONTENEDOR</v>
      </c>
      <c r="I443" s="64" t="str">
        <f>IFERROR(__xludf.DUMMYFUNCTION("""COMPUTED_VALUE"""),"CAÍDA DE CARGA")</f>
        <v>CAÍDA DE CARGA</v>
      </c>
      <c r="J443" s="64" t="str">
        <f>IFERROR(__xludf.DUMMYFUNCTION("""COMPUTED_VALUE"""),"CHOQUE")</f>
        <v>CHOQUE</v>
      </c>
      <c r="K443" s="64" t="str">
        <f>IFERROR(__xludf.DUMMYFUNCTION("""COMPUTED_VALUE"""),"COLISIÓN")</f>
        <v>COLISIÓN</v>
      </c>
      <c r="L443" s="64" t="str">
        <f>IFERROR(__xludf.DUMMYFUNCTION("""COMPUTED_VALUE"""),"COLISIÓN MÚLTIPLE")</f>
        <v>COLISIÓN MÚLTIPLE</v>
      </c>
      <c r="M443" s="64" t="str">
        <f>IFERROR(__xludf.DUMMYFUNCTION("""COMPUTED_VALUE"""),"DERRAPE")</f>
        <v>DERRAPE</v>
      </c>
      <c r="N443" s="64" t="str">
        <f>IFERROR(__xludf.DUMMYFUNCTION("""COMPUTED_VALUE"""),"VEHÍCULO INCENDIADO")</f>
        <v>VEHÍCULO INCENDIADO</v>
      </c>
      <c r="O443" s="64" t="str">
        <f>IFERROR(__xludf.DUMMYFUNCTION("""COMPUTED_VALUE"""),"VUELCO")</f>
        <v>VUELCO</v>
      </c>
      <c r="P443" s="64" t="str">
        <f>IFERROR(__xludf.DUMMYFUNCTION("""COMPUTED_VALUE"""),"DESPRENDIMIENTO")</f>
        <v>DESPRENDIMIENTO</v>
      </c>
      <c r="Q443" s="64" t="str">
        <f>IFERROR(__xludf.DUMMYFUNCTION("""COMPUTED_VALUE"""),"CAÍDA DE ÁRBOL")</f>
        <v>CAÍDA DE ÁRBOL</v>
      </c>
      <c r="R443" s="64" t="str">
        <f>IFERROR(__xludf.DUMMYFUNCTION("""COMPUTED_VALUE"""),"DESPRENDIMIENTO DE EJE")</f>
        <v>DESPRENDIMIENTO DE EJE</v>
      </c>
      <c r="S443" s="64" t="str">
        <f>IFERROR(__xludf.DUMMYFUNCTION("""COMPUTED_VALUE"""),"PERSONA ATROPELLADA")</f>
        <v>PERSONA ATROPELLADA</v>
      </c>
    </row>
    <row r="444">
      <c r="B444" s="64" t="s">
        <v>54</v>
      </c>
      <c r="C444" s="64" t="str">
        <f>IFERROR(__xludf.DUMMYFUNCTION(" TRANSPOSE( unique ( QUERY(DATOPRO,""select Col2 where Col1 = '""&amp;B444&amp;""'"")))"),"PINCHAZO")</f>
        <v>PINCHAZO</v>
      </c>
      <c r="D444" s="64" t="str">
        <f>IFERROR(__xludf.DUMMYFUNCTION("""COMPUTED_VALUE"""),"TRABAJOS DE CARRETERA")</f>
        <v>TRABAJOS DE CARRETERA</v>
      </c>
      <c r="E444" s="64" t="str">
        <f>IFERROR(__xludf.DUMMYFUNCTION("""COMPUTED_VALUE"""),"CONSIGNACIÓN")</f>
        <v>CONSIGNACIÓN</v>
      </c>
      <c r="F444" s="64" t="str">
        <f>IFERROR(__xludf.DUMMYFUNCTION("""COMPUTED_VALUE"""),"DERRAME")</f>
        <v>DERRAME</v>
      </c>
      <c r="G444" s="64" t="str">
        <f>IFERROR(__xludf.DUMMYFUNCTION("""COMPUTED_VALUE"""),"CALENTAMIENTO")</f>
        <v>CALENTAMIENTO</v>
      </c>
      <c r="H444" s="64" t="str">
        <f>IFERROR(__xludf.DUMMYFUNCTION("""COMPUTED_VALUE"""),"ESCOLTANDO")</f>
        <v>ESCOLTANDO</v>
      </c>
      <c r="I444" s="64" t="str">
        <f>IFERROR(__xludf.DUMMYFUNCTION("""COMPUTED_VALUE"""),"FALTA DE COMBUSTIBLE")</f>
        <v>FALTA DE COMBUSTIBLE</v>
      </c>
      <c r="J444" s="64" t="str">
        <f>IFERROR(__xludf.DUMMYFUNCTION("""COMPUTED_VALUE"""),"DESPERFECTOS MECÁNICOS")</f>
        <v>DESPERFECTOS MECÁNICOS</v>
      </c>
      <c r="K444" s="64" t="str">
        <f>IFERROR(__xludf.DUMMYFUNCTION("""COMPUTED_VALUE"""),"LLAMADA DE ATENCIÓN")</f>
        <v>LLAMADA DE ATENCIÓN</v>
      </c>
      <c r="L444" s="64" t="str">
        <f>IFERROR(__xludf.DUMMYFUNCTION("""COMPUTED_VALUE"""),"OPERATIVOS")</f>
        <v>OPERATIVOS</v>
      </c>
      <c r="M444" s="64" t="str">
        <f>IFERROR(__xludf.DUMMYFUNCTION("""COMPUTED_VALUE"""),"SANCIÓN")</f>
        <v>SANCIÓN</v>
      </c>
      <c r="N444" s="64" t="str">
        <f>IFERROR(__xludf.DUMMYFUNCTION("""COMPUTED_VALUE"""),"SISTEMA ELECTRICO")</f>
        <v>SISTEMA ELECTRICO</v>
      </c>
      <c r="O444" s="64" t="str">
        <f>IFERROR(__xludf.DUMMYFUNCTION("""COMPUTED_VALUE"""),"ASISTENCIA AL USUARIO")</f>
        <v>ASISTENCIA AL USUARIO</v>
      </c>
      <c r="P444" s="64" t="str">
        <f>IFERROR(__xludf.DUMMYFUNCTION("""COMPUTED_VALUE"""),"DOBLE REMOLQUE")</f>
        <v>DOBLE REMOLQUE</v>
      </c>
      <c r="Q444" s="64" t="str">
        <f>IFERROR(__xludf.DUMMYFUNCTION("""COMPUTED_VALUE"""),"SINAPRESE")</f>
        <v>SINAPRESE</v>
      </c>
      <c r="R444" s="64" t="str">
        <f>IFERROR(__xludf.DUMMYFUNCTION("""COMPUTED_VALUE"""),"APOYO ATLETISMO")</f>
        <v>APOYO ATLETISMO</v>
      </c>
      <c r="S444" s="64" t="str">
        <f>IFERROR(__xludf.DUMMYFUNCTION("""COMPUTED_VALUE"""),"APOYO A CICLISMO")</f>
        <v>APOYO A CICLISMO</v>
      </c>
      <c r="T444" s="64" t="str">
        <f>IFERROR(__xludf.DUMMYFUNCTION("""COMPUTED_VALUE"""),"DESCARGA DE BATERÍA")</f>
        <v>DESCARGA DE BATERÍA</v>
      </c>
      <c r="U444" s="64" t="str">
        <f>IFERROR(__xludf.DUMMYFUNCTION("""COMPUTED_VALUE"""),"PROBLEMAS DE SALUD")</f>
        <v>PROBLEMAS DE SALUD</v>
      </c>
      <c r="V444" s="64" t="str">
        <f>IFERROR(__xludf.DUMMYFUNCTION("""COMPUTED_VALUE"""),"OLVIDO LA LLAVE")</f>
        <v>OLVIDO LA LLAVE</v>
      </c>
      <c r="W444" s="64" t="str">
        <f>IFERROR(__xludf.DUMMYFUNCTION("""COMPUTED_VALUE"""),"CARGA SOBREDIMENSIONADA")</f>
        <v>CARGA SOBREDIMENSIONADA</v>
      </c>
      <c r="X444" s="64" t="str">
        <f>IFERROR(__xludf.DUMMYFUNCTION("""COMPUTED_VALUE"""),"VEHÍCULO ABANDONADO")</f>
        <v>VEHÍCULO ABANDONADO</v>
      </c>
      <c r="Y444" s="64" t="str">
        <f>IFERROR(__xludf.DUMMYFUNCTION("""COMPUTED_VALUE"""),"DESPRENDIMIENTO")</f>
        <v>DESPRENDIMIENTO</v>
      </c>
      <c r="Z444" s="64" t="str">
        <f>IFERROR(__xludf.DUMMYFUNCTION("""COMPUTED_VALUE"""),"CAÍDA DE POSTE")</f>
        <v>CAÍDA DE POSTE</v>
      </c>
      <c r="AA444" s="64" t="str">
        <f>IFERROR(__xludf.DUMMYFUNCTION("""COMPUTED_VALUE"""),"CAÍDA DE RAMA")</f>
        <v>CAÍDA DE RAMA</v>
      </c>
      <c r="AB444" s="64" t="str">
        <f>IFERROR(__xludf.DUMMYFUNCTION("""COMPUTED_VALUE"""),"OPERATIVO DGT")</f>
        <v>OPERATIVO DGT</v>
      </c>
      <c r="AC444" s="64" t="str">
        <f>IFERROR(__xludf.DUMMYFUNCTION("""COMPUTED_VALUE"""),"OPERATIVO PMT")</f>
        <v>OPERATIVO PMT</v>
      </c>
      <c r="AD444" s="64" t="str">
        <f>IFERROR(__xludf.DUMMYFUNCTION("""COMPUTED_VALUE"""),"APOYO A DIGEF")</f>
        <v>APOYO A DIGEF</v>
      </c>
      <c r="AE444" s="64" t="str">
        <f>IFERROR(__xludf.DUMMYFUNCTION("""COMPUTED_VALUE"""),"OPERATIVO PNC TRANSITO")</f>
        <v>OPERATIVO PNC TRANSITO</v>
      </c>
      <c r="AF444" s="64" t="str">
        <f>IFERROR(__xludf.DUMMYFUNCTION("""COMPUTED_VALUE"""),"SOBRECARGA ")</f>
        <v>SOBRECARGA </v>
      </c>
      <c r="AG444" s="64" t="str">
        <f>IFERROR(__xludf.DUMMYFUNCTION("""COMPUTED_VALUE"""),"OPERATIVO EN CONJUNTO")</f>
        <v>OPERATIVO EN CONJUNTO</v>
      </c>
      <c r="AH444" s="64" t="str">
        <f>IFERROR(__xludf.DUMMYFUNCTION("""COMPUTED_VALUE"""),"PUESTO DE ATENCION AL USUARIO")</f>
        <v>PUESTO DE ATENCION AL USUARIO</v>
      </c>
      <c r="AI444" s="64" t="str">
        <f>IFERROR(__xludf.DUMMYFUNCTION("""COMPUTED_VALUE"""),"INCENDIO EN RUTA")</f>
        <v>INCENDIO EN RUTA</v>
      </c>
      <c r="AJ444" s="64" t="str">
        <f>IFERROR(__xludf.DUMMYFUNCTION("""COMPUTED_VALUE"""),"APOYO ANTORCHA ")</f>
        <v>APOYO ANTORCHA </v>
      </c>
    </row>
    <row r="445">
      <c r="B445" s="64" t="s">
        <v>38</v>
      </c>
      <c r="C445" s="64" t="str">
        <f>IFERROR(__xludf.DUMMYFUNCTION(" TRANSPOSE( unique ( QUERY(DATOPRO,""select Col2 where Col1 = '""&amp;B445&amp;""'"")))"),"ATAQUE ARMADO")</f>
        <v>ATAQUE ARMADO</v>
      </c>
      <c r="D445" s="64" t="str">
        <f>IFERROR(__xludf.DUMMYFUNCTION("""COMPUTED_VALUE"""),"DESBALANCE DE CARGA")</f>
        <v>DESBALANCE DE CARGA</v>
      </c>
      <c r="E445" s="64" t="str">
        <f>IFERROR(__xludf.DUMMYFUNCTION("""COMPUTED_VALUE"""),"PERSONA FALLECIDA")</f>
        <v>PERSONA FALLECIDA</v>
      </c>
      <c r="F445" s="64" t="str">
        <f>IFERROR(__xludf.DUMMYFUNCTION("""COMPUTED_VALUE"""),"DESPRENDIMIENTO DE NEUMATICO")</f>
        <v>DESPRENDIMIENTO DE NEUMATICO</v>
      </c>
      <c r="G445" s="64" t="str">
        <f>IFERROR(__xludf.DUMMYFUNCTION("""COMPUTED_VALUE"""),"SALIDA DE PISTA")</f>
        <v>SALIDA DE PISTA</v>
      </c>
      <c r="H445" s="64" t="str">
        <f>IFERROR(__xludf.DUMMYFUNCTION("""COMPUTED_VALUE"""),"DESPRENDIMIENTO DE CONTENEDOR")</f>
        <v>DESPRENDIMIENTO DE CONTENEDOR</v>
      </c>
      <c r="I445" s="64" t="str">
        <f>IFERROR(__xludf.DUMMYFUNCTION("""COMPUTED_VALUE"""),"CAÍDA DE CARGA")</f>
        <v>CAÍDA DE CARGA</v>
      </c>
      <c r="J445" s="64" t="str">
        <f>IFERROR(__xludf.DUMMYFUNCTION("""COMPUTED_VALUE"""),"CHOQUE")</f>
        <v>CHOQUE</v>
      </c>
      <c r="K445" s="64" t="str">
        <f>IFERROR(__xludf.DUMMYFUNCTION("""COMPUTED_VALUE"""),"COLISIÓN")</f>
        <v>COLISIÓN</v>
      </c>
      <c r="L445" s="64" t="str">
        <f>IFERROR(__xludf.DUMMYFUNCTION("""COMPUTED_VALUE"""),"COLISIÓN MÚLTIPLE")</f>
        <v>COLISIÓN MÚLTIPLE</v>
      </c>
      <c r="M445" s="64" t="str">
        <f>IFERROR(__xludf.DUMMYFUNCTION("""COMPUTED_VALUE"""),"DERRAPE")</f>
        <v>DERRAPE</v>
      </c>
      <c r="N445" s="64" t="str">
        <f>IFERROR(__xludf.DUMMYFUNCTION("""COMPUTED_VALUE"""),"VEHÍCULO INCENDIADO")</f>
        <v>VEHÍCULO INCENDIADO</v>
      </c>
      <c r="O445" s="64" t="str">
        <f>IFERROR(__xludf.DUMMYFUNCTION("""COMPUTED_VALUE"""),"VUELCO")</f>
        <v>VUELCO</v>
      </c>
      <c r="P445" s="64" t="str">
        <f>IFERROR(__xludf.DUMMYFUNCTION("""COMPUTED_VALUE"""),"DESPRENDIMIENTO")</f>
        <v>DESPRENDIMIENTO</v>
      </c>
      <c r="Q445" s="64" t="str">
        <f>IFERROR(__xludf.DUMMYFUNCTION("""COMPUTED_VALUE"""),"CAÍDA DE ÁRBOL")</f>
        <v>CAÍDA DE ÁRBOL</v>
      </c>
      <c r="R445" s="64" t="str">
        <f>IFERROR(__xludf.DUMMYFUNCTION("""COMPUTED_VALUE"""),"DESPRENDIMIENTO DE EJE")</f>
        <v>DESPRENDIMIENTO DE EJE</v>
      </c>
      <c r="S445" s="64" t="str">
        <f>IFERROR(__xludf.DUMMYFUNCTION("""COMPUTED_VALUE"""),"PERSONA ATROPELLADA")</f>
        <v>PERSONA ATROPELLADA</v>
      </c>
    </row>
    <row r="446">
      <c r="B446" s="64" t="s">
        <v>38</v>
      </c>
      <c r="C446" s="64" t="str">
        <f>IFERROR(__xludf.DUMMYFUNCTION(" TRANSPOSE( unique ( QUERY(DATOPRO,""select Col2 where Col1 = '""&amp;B446&amp;""'"")))"),"ATAQUE ARMADO")</f>
        <v>ATAQUE ARMADO</v>
      </c>
      <c r="D446" s="64" t="str">
        <f>IFERROR(__xludf.DUMMYFUNCTION("""COMPUTED_VALUE"""),"DESBALANCE DE CARGA")</f>
        <v>DESBALANCE DE CARGA</v>
      </c>
      <c r="E446" s="64" t="str">
        <f>IFERROR(__xludf.DUMMYFUNCTION("""COMPUTED_VALUE"""),"PERSONA FALLECIDA")</f>
        <v>PERSONA FALLECIDA</v>
      </c>
      <c r="F446" s="64" t="str">
        <f>IFERROR(__xludf.DUMMYFUNCTION("""COMPUTED_VALUE"""),"DESPRENDIMIENTO DE NEUMATICO")</f>
        <v>DESPRENDIMIENTO DE NEUMATICO</v>
      </c>
      <c r="G446" s="64" t="str">
        <f>IFERROR(__xludf.DUMMYFUNCTION("""COMPUTED_VALUE"""),"SALIDA DE PISTA")</f>
        <v>SALIDA DE PISTA</v>
      </c>
      <c r="H446" s="64" t="str">
        <f>IFERROR(__xludf.DUMMYFUNCTION("""COMPUTED_VALUE"""),"DESPRENDIMIENTO DE CONTENEDOR")</f>
        <v>DESPRENDIMIENTO DE CONTENEDOR</v>
      </c>
      <c r="I446" s="64" t="str">
        <f>IFERROR(__xludf.DUMMYFUNCTION("""COMPUTED_VALUE"""),"CAÍDA DE CARGA")</f>
        <v>CAÍDA DE CARGA</v>
      </c>
      <c r="J446" s="64" t="str">
        <f>IFERROR(__xludf.DUMMYFUNCTION("""COMPUTED_VALUE"""),"CHOQUE")</f>
        <v>CHOQUE</v>
      </c>
      <c r="K446" s="64" t="str">
        <f>IFERROR(__xludf.DUMMYFUNCTION("""COMPUTED_VALUE"""),"COLISIÓN")</f>
        <v>COLISIÓN</v>
      </c>
      <c r="L446" s="64" t="str">
        <f>IFERROR(__xludf.DUMMYFUNCTION("""COMPUTED_VALUE"""),"COLISIÓN MÚLTIPLE")</f>
        <v>COLISIÓN MÚLTIPLE</v>
      </c>
      <c r="M446" s="64" t="str">
        <f>IFERROR(__xludf.DUMMYFUNCTION("""COMPUTED_VALUE"""),"DERRAPE")</f>
        <v>DERRAPE</v>
      </c>
      <c r="N446" s="64" t="str">
        <f>IFERROR(__xludf.DUMMYFUNCTION("""COMPUTED_VALUE"""),"VEHÍCULO INCENDIADO")</f>
        <v>VEHÍCULO INCENDIADO</v>
      </c>
      <c r="O446" s="64" t="str">
        <f>IFERROR(__xludf.DUMMYFUNCTION("""COMPUTED_VALUE"""),"VUELCO")</f>
        <v>VUELCO</v>
      </c>
      <c r="P446" s="64" t="str">
        <f>IFERROR(__xludf.DUMMYFUNCTION("""COMPUTED_VALUE"""),"DESPRENDIMIENTO")</f>
        <v>DESPRENDIMIENTO</v>
      </c>
      <c r="Q446" s="64" t="str">
        <f>IFERROR(__xludf.DUMMYFUNCTION("""COMPUTED_VALUE"""),"CAÍDA DE ÁRBOL")</f>
        <v>CAÍDA DE ÁRBOL</v>
      </c>
      <c r="R446" s="64" t="str">
        <f>IFERROR(__xludf.DUMMYFUNCTION("""COMPUTED_VALUE"""),"DESPRENDIMIENTO DE EJE")</f>
        <v>DESPRENDIMIENTO DE EJE</v>
      </c>
      <c r="S446" s="64" t="str">
        <f>IFERROR(__xludf.DUMMYFUNCTION("""COMPUTED_VALUE"""),"PERSONA ATROPELLADA")</f>
        <v>PERSONA ATROPELLADA</v>
      </c>
    </row>
    <row r="447">
      <c r="B447" s="64" t="s">
        <v>38</v>
      </c>
      <c r="C447" s="64" t="str">
        <f>IFERROR(__xludf.DUMMYFUNCTION(" TRANSPOSE( unique ( QUERY(DATOPRO,""select Col2 where Col1 = '""&amp;B447&amp;""'"")))"),"ATAQUE ARMADO")</f>
        <v>ATAQUE ARMADO</v>
      </c>
      <c r="D447" s="64" t="str">
        <f>IFERROR(__xludf.DUMMYFUNCTION("""COMPUTED_VALUE"""),"DESBALANCE DE CARGA")</f>
        <v>DESBALANCE DE CARGA</v>
      </c>
      <c r="E447" s="64" t="str">
        <f>IFERROR(__xludf.DUMMYFUNCTION("""COMPUTED_VALUE"""),"PERSONA FALLECIDA")</f>
        <v>PERSONA FALLECIDA</v>
      </c>
      <c r="F447" s="64" t="str">
        <f>IFERROR(__xludf.DUMMYFUNCTION("""COMPUTED_VALUE"""),"DESPRENDIMIENTO DE NEUMATICO")</f>
        <v>DESPRENDIMIENTO DE NEUMATICO</v>
      </c>
      <c r="G447" s="64" t="str">
        <f>IFERROR(__xludf.DUMMYFUNCTION("""COMPUTED_VALUE"""),"SALIDA DE PISTA")</f>
        <v>SALIDA DE PISTA</v>
      </c>
      <c r="H447" s="64" t="str">
        <f>IFERROR(__xludf.DUMMYFUNCTION("""COMPUTED_VALUE"""),"DESPRENDIMIENTO DE CONTENEDOR")</f>
        <v>DESPRENDIMIENTO DE CONTENEDOR</v>
      </c>
      <c r="I447" s="64" t="str">
        <f>IFERROR(__xludf.DUMMYFUNCTION("""COMPUTED_VALUE"""),"CAÍDA DE CARGA")</f>
        <v>CAÍDA DE CARGA</v>
      </c>
      <c r="J447" s="64" t="str">
        <f>IFERROR(__xludf.DUMMYFUNCTION("""COMPUTED_VALUE"""),"CHOQUE")</f>
        <v>CHOQUE</v>
      </c>
      <c r="K447" s="64" t="str">
        <f>IFERROR(__xludf.DUMMYFUNCTION("""COMPUTED_VALUE"""),"COLISIÓN")</f>
        <v>COLISIÓN</v>
      </c>
      <c r="L447" s="64" t="str">
        <f>IFERROR(__xludf.DUMMYFUNCTION("""COMPUTED_VALUE"""),"COLISIÓN MÚLTIPLE")</f>
        <v>COLISIÓN MÚLTIPLE</v>
      </c>
      <c r="M447" s="64" t="str">
        <f>IFERROR(__xludf.DUMMYFUNCTION("""COMPUTED_VALUE"""),"DERRAPE")</f>
        <v>DERRAPE</v>
      </c>
      <c r="N447" s="64" t="str">
        <f>IFERROR(__xludf.DUMMYFUNCTION("""COMPUTED_VALUE"""),"VEHÍCULO INCENDIADO")</f>
        <v>VEHÍCULO INCENDIADO</v>
      </c>
      <c r="O447" s="64" t="str">
        <f>IFERROR(__xludf.DUMMYFUNCTION("""COMPUTED_VALUE"""),"VUELCO")</f>
        <v>VUELCO</v>
      </c>
      <c r="P447" s="64" t="str">
        <f>IFERROR(__xludf.DUMMYFUNCTION("""COMPUTED_VALUE"""),"DESPRENDIMIENTO")</f>
        <v>DESPRENDIMIENTO</v>
      </c>
      <c r="Q447" s="64" t="str">
        <f>IFERROR(__xludf.DUMMYFUNCTION("""COMPUTED_VALUE"""),"CAÍDA DE ÁRBOL")</f>
        <v>CAÍDA DE ÁRBOL</v>
      </c>
      <c r="R447" s="64" t="str">
        <f>IFERROR(__xludf.DUMMYFUNCTION("""COMPUTED_VALUE"""),"DESPRENDIMIENTO DE EJE")</f>
        <v>DESPRENDIMIENTO DE EJE</v>
      </c>
      <c r="S447" s="64" t="str">
        <f>IFERROR(__xludf.DUMMYFUNCTION("""COMPUTED_VALUE"""),"PERSONA ATROPELLADA")</f>
        <v>PERSONA ATROPELLADA</v>
      </c>
    </row>
    <row r="448">
      <c r="B448" s="64" t="s">
        <v>54</v>
      </c>
      <c r="C448" s="64" t="str">
        <f>IFERROR(__xludf.DUMMYFUNCTION(" TRANSPOSE( unique ( QUERY(DATOPRO,""select Col2 where Col1 = '""&amp;B448&amp;""'"")))"),"PINCHAZO")</f>
        <v>PINCHAZO</v>
      </c>
      <c r="D448" s="64" t="str">
        <f>IFERROR(__xludf.DUMMYFUNCTION("""COMPUTED_VALUE"""),"TRABAJOS DE CARRETERA")</f>
        <v>TRABAJOS DE CARRETERA</v>
      </c>
      <c r="E448" s="64" t="str">
        <f>IFERROR(__xludf.DUMMYFUNCTION("""COMPUTED_VALUE"""),"CONSIGNACIÓN")</f>
        <v>CONSIGNACIÓN</v>
      </c>
      <c r="F448" s="64" t="str">
        <f>IFERROR(__xludf.DUMMYFUNCTION("""COMPUTED_VALUE"""),"DERRAME")</f>
        <v>DERRAME</v>
      </c>
      <c r="G448" s="64" t="str">
        <f>IFERROR(__xludf.DUMMYFUNCTION("""COMPUTED_VALUE"""),"CALENTAMIENTO")</f>
        <v>CALENTAMIENTO</v>
      </c>
      <c r="H448" s="64" t="str">
        <f>IFERROR(__xludf.DUMMYFUNCTION("""COMPUTED_VALUE"""),"ESCOLTANDO")</f>
        <v>ESCOLTANDO</v>
      </c>
      <c r="I448" s="64" t="str">
        <f>IFERROR(__xludf.DUMMYFUNCTION("""COMPUTED_VALUE"""),"FALTA DE COMBUSTIBLE")</f>
        <v>FALTA DE COMBUSTIBLE</v>
      </c>
      <c r="J448" s="64" t="str">
        <f>IFERROR(__xludf.DUMMYFUNCTION("""COMPUTED_VALUE"""),"DESPERFECTOS MECÁNICOS")</f>
        <v>DESPERFECTOS MECÁNICOS</v>
      </c>
      <c r="K448" s="64" t="str">
        <f>IFERROR(__xludf.DUMMYFUNCTION("""COMPUTED_VALUE"""),"LLAMADA DE ATENCIÓN")</f>
        <v>LLAMADA DE ATENCIÓN</v>
      </c>
      <c r="L448" s="64" t="str">
        <f>IFERROR(__xludf.DUMMYFUNCTION("""COMPUTED_VALUE"""),"OPERATIVOS")</f>
        <v>OPERATIVOS</v>
      </c>
      <c r="M448" s="64" t="str">
        <f>IFERROR(__xludf.DUMMYFUNCTION("""COMPUTED_VALUE"""),"SANCIÓN")</f>
        <v>SANCIÓN</v>
      </c>
      <c r="N448" s="64" t="str">
        <f>IFERROR(__xludf.DUMMYFUNCTION("""COMPUTED_VALUE"""),"SISTEMA ELECTRICO")</f>
        <v>SISTEMA ELECTRICO</v>
      </c>
      <c r="O448" s="64" t="str">
        <f>IFERROR(__xludf.DUMMYFUNCTION("""COMPUTED_VALUE"""),"ASISTENCIA AL USUARIO")</f>
        <v>ASISTENCIA AL USUARIO</v>
      </c>
      <c r="P448" s="64" t="str">
        <f>IFERROR(__xludf.DUMMYFUNCTION("""COMPUTED_VALUE"""),"DOBLE REMOLQUE")</f>
        <v>DOBLE REMOLQUE</v>
      </c>
      <c r="Q448" s="64" t="str">
        <f>IFERROR(__xludf.DUMMYFUNCTION("""COMPUTED_VALUE"""),"SINAPRESE")</f>
        <v>SINAPRESE</v>
      </c>
      <c r="R448" s="64" t="str">
        <f>IFERROR(__xludf.DUMMYFUNCTION("""COMPUTED_VALUE"""),"APOYO ATLETISMO")</f>
        <v>APOYO ATLETISMO</v>
      </c>
      <c r="S448" s="64" t="str">
        <f>IFERROR(__xludf.DUMMYFUNCTION("""COMPUTED_VALUE"""),"APOYO A CICLISMO")</f>
        <v>APOYO A CICLISMO</v>
      </c>
      <c r="T448" s="64" t="str">
        <f>IFERROR(__xludf.DUMMYFUNCTION("""COMPUTED_VALUE"""),"DESCARGA DE BATERÍA")</f>
        <v>DESCARGA DE BATERÍA</v>
      </c>
      <c r="U448" s="64" t="str">
        <f>IFERROR(__xludf.DUMMYFUNCTION("""COMPUTED_VALUE"""),"PROBLEMAS DE SALUD")</f>
        <v>PROBLEMAS DE SALUD</v>
      </c>
      <c r="V448" s="64" t="str">
        <f>IFERROR(__xludf.DUMMYFUNCTION("""COMPUTED_VALUE"""),"OLVIDO LA LLAVE")</f>
        <v>OLVIDO LA LLAVE</v>
      </c>
      <c r="W448" s="64" t="str">
        <f>IFERROR(__xludf.DUMMYFUNCTION("""COMPUTED_VALUE"""),"CARGA SOBREDIMENSIONADA")</f>
        <v>CARGA SOBREDIMENSIONADA</v>
      </c>
      <c r="X448" s="64" t="str">
        <f>IFERROR(__xludf.DUMMYFUNCTION("""COMPUTED_VALUE"""),"VEHÍCULO ABANDONADO")</f>
        <v>VEHÍCULO ABANDONADO</v>
      </c>
      <c r="Y448" s="64" t="str">
        <f>IFERROR(__xludf.DUMMYFUNCTION("""COMPUTED_VALUE"""),"DESPRENDIMIENTO")</f>
        <v>DESPRENDIMIENTO</v>
      </c>
      <c r="Z448" s="64" t="str">
        <f>IFERROR(__xludf.DUMMYFUNCTION("""COMPUTED_VALUE"""),"CAÍDA DE POSTE")</f>
        <v>CAÍDA DE POSTE</v>
      </c>
      <c r="AA448" s="64" t="str">
        <f>IFERROR(__xludf.DUMMYFUNCTION("""COMPUTED_VALUE"""),"CAÍDA DE RAMA")</f>
        <v>CAÍDA DE RAMA</v>
      </c>
      <c r="AB448" s="64" t="str">
        <f>IFERROR(__xludf.DUMMYFUNCTION("""COMPUTED_VALUE"""),"OPERATIVO DGT")</f>
        <v>OPERATIVO DGT</v>
      </c>
      <c r="AC448" s="64" t="str">
        <f>IFERROR(__xludf.DUMMYFUNCTION("""COMPUTED_VALUE"""),"OPERATIVO PMT")</f>
        <v>OPERATIVO PMT</v>
      </c>
      <c r="AD448" s="64" t="str">
        <f>IFERROR(__xludf.DUMMYFUNCTION("""COMPUTED_VALUE"""),"APOYO A DIGEF")</f>
        <v>APOYO A DIGEF</v>
      </c>
      <c r="AE448" s="64" t="str">
        <f>IFERROR(__xludf.DUMMYFUNCTION("""COMPUTED_VALUE"""),"OPERATIVO PNC TRANSITO")</f>
        <v>OPERATIVO PNC TRANSITO</v>
      </c>
      <c r="AF448" s="64" t="str">
        <f>IFERROR(__xludf.DUMMYFUNCTION("""COMPUTED_VALUE"""),"SOBRECARGA ")</f>
        <v>SOBRECARGA </v>
      </c>
      <c r="AG448" s="64" t="str">
        <f>IFERROR(__xludf.DUMMYFUNCTION("""COMPUTED_VALUE"""),"OPERATIVO EN CONJUNTO")</f>
        <v>OPERATIVO EN CONJUNTO</v>
      </c>
      <c r="AH448" s="64" t="str">
        <f>IFERROR(__xludf.DUMMYFUNCTION("""COMPUTED_VALUE"""),"PUESTO DE ATENCION AL USUARIO")</f>
        <v>PUESTO DE ATENCION AL USUARIO</v>
      </c>
      <c r="AI448" s="64" t="str">
        <f>IFERROR(__xludf.DUMMYFUNCTION("""COMPUTED_VALUE"""),"INCENDIO EN RUTA")</f>
        <v>INCENDIO EN RUTA</v>
      </c>
      <c r="AJ448" s="64" t="str">
        <f>IFERROR(__xludf.DUMMYFUNCTION("""COMPUTED_VALUE"""),"APOYO ANTORCHA ")</f>
        <v>APOYO ANTORCHA </v>
      </c>
    </row>
    <row r="449">
      <c r="B449" s="64" t="s">
        <v>54</v>
      </c>
      <c r="C449" s="64" t="str">
        <f>IFERROR(__xludf.DUMMYFUNCTION(" TRANSPOSE( unique ( QUERY(DATOPRO,""select Col2 where Col1 = '""&amp;B449&amp;""'"")))"),"PINCHAZO")</f>
        <v>PINCHAZO</v>
      </c>
      <c r="D449" s="64" t="str">
        <f>IFERROR(__xludf.DUMMYFUNCTION("""COMPUTED_VALUE"""),"TRABAJOS DE CARRETERA")</f>
        <v>TRABAJOS DE CARRETERA</v>
      </c>
      <c r="E449" s="64" t="str">
        <f>IFERROR(__xludf.DUMMYFUNCTION("""COMPUTED_VALUE"""),"CONSIGNACIÓN")</f>
        <v>CONSIGNACIÓN</v>
      </c>
      <c r="F449" s="64" t="str">
        <f>IFERROR(__xludf.DUMMYFUNCTION("""COMPUTED_VALUE"""),"DERRAME")</f>
        <v>DERRAME</v>
      </c>
      <c r="G449" s="64" t="str">
        <f>IFERROR(__xludf.DUMMYFUNCTION("""COMPUTED_VALUE"""),"CALENTAMIENTO")</f>
        <v>CALENTAMIENTO</v>
      </c>
      <c r="H449" s="64" t="str">
        <f>IFERROR(__xludf.DUMMYFUNCTION("""COMPUTED_VALUE"""),"ESCOLTANDO")</f>
        <v>ESCOLTANDO</v>
      </c>
      <c r="I449" s="64" t="str">
        <f>IFERROR(__xludf.DUMMYFUNCTION("""COMPUTED_VALUE"""),"FALTA DE COMBUSTIBLE")</f>
        <v>FALTA DE COMBUSTIBLE</v>
      </c>
      <c r="J449" s="64" t="str">
        <f>IFERROR(__xludf.DUMMYFUNCTION("""COMPUTED_VALUE"""),"DESPERFECTOS MECÁNICOS")</f>
        <v>DESPERFECTOS MECÁNICOS</v>
      </c>
      <c r="K449" s="64" t="str">
        <f>IFERROR(__xludf.DUMMYFUNCTION("""COMPUTED_VALUE"""),"LLAMADA DE ATENCIÓN")</f>
        <v>LLAMADA DE ATENCIÓN</v>
      </c>
      <c r="L449" s="64" t="str">
        <f>IFERROR(__xludf.DUMMYFUNCTION("""COMPUTED_VALUE"""),"OPERATIVOS")</f>
        <v>OPERATIVOS</v>
      </c>
      <c r="M449" s="64" t="str">
        <f>IFERROR(__xludf.DUMMYFUNCTION("""COMPUTED_VALUE"""),"SANCIÓN")</f>
        <v>SANCIÓN</v>
      </c>
      <c r="N449" s="64" t="str">
        <f>IFERROR(__xludf.DUMMYFUNCTION("""COMPUTED_VALUE"""),"SISTEMA ELECTRICO")</f>
        <v>SISTEMA ELECTRICO</v>
      </c>
      <c r="O449" s="64" t="str">
        <f>IFERROR(__xludf.DUMMYFUNCTION("""COMPUTED_VALUE"""),"ASISTENCIA AL USUARIO")</f>
        <v>ASISTENCIA AL USUARIO</v>
      </c>
      <c r="P449" s="64" t="str">
        <f>IFERROR(__xludf.DUMMYFUNCTION("""COMPUTED_VALUE"""),"DOBLE REMOLQUE")</f>
        <v>DOBLE REMOLQUE</v>
      </c>
      <c r="Q449" s="64" t="str">
        <f>IFERROR(__xludf.DUMMYFUNCTION("""COMPUTED_VALUE"""),"SINAPRESE")</f>
        <v>SINAPRESE</v>
      </c>
      <c r="R449" s="64" t="str">
        <f>IFERROR(__xludf.DUMMYFUNCTION("""COMPUTED_VALUE"""),"APOYO ATLETISMO")</f>
        <v>APOYO ATLETISMO</v>
      </c>
      <c r="S449" s="64" t="str">
        <f>IFERROR(__xludf.DUMMYFUNCTION("""COMPUTED_VALUE"""),"APOYO A CICLISMO")</f>
        <v>APOYO A CICLISMO</v>
      </c>
      <c r="T449" s="64" t="str">
        <f>IFERROR(__xludf.DUMMYFUNCTION("""COMPUTED_VALUE"""),"DESCARGA DE BATERÍA")</f>
        <v>DESCARGA DE BATERÍA</v>
      </c>
      <c r="U449" s="64" t="str">
        <f>IFERROR(__xludf.DUMMYFUNCTION("""COMPUTED_VALUE"""),"PROBLEMAS DE SALUD")</f>
        <v>PROBLEMAS DE SALUD</v>
      </c>
      <c r="V449" s="64" t="str">
        <f>IFERROR(__xludf.DUMMYFUNCTION("""COMPUTED_VALUE"""),"OLVIDO LA LLAVE")</f>
        <v>OLVIDO LA LLAVE</v>
      </c>
      <c r="W449" s="64" t="str">
        <f>IFERROR(__xludf.DUMMYFUNCTION("""COMPUTED_VALUE"""),"CARGA SOBREDIMENSIONADA")</f>
        <v>CARGA SOBREDIMENSIONADA</v>
      </c>
      <c r="X449" s="64" t="str">
        <f>IFERROR(__xludf.DUMMYFUNCTION("""COMPUTED_VALUE"""),"VEHÍCULO ABANDONADO")</f>
        <v>VEHÍCULO ABANDONADO</v>
      </c>
      <c r="Y449" s="64" t="str">
        <f>IFERROR(__xludf.DUMMYFUNCTION("""COMPUTED_VALUE"""),"DESPRENDIMIENTO")</f>
        <v>DESPRENDIMIENTO</v>
      </c>
      <c r="Z449" s="64" t="str">
        <f>IFERROR(__xludf.DUMMYFUNCTION("""COMPUTED_VALUE"""),"CAÍDA DE POSTE")</f>
        <v>CAÍDA DE POSTE</v>
      </c>
      <c r="AA449" s="64" t="str">
        <f>IFERROR(__xludf.DUMMYFUNCTION("""COMPUTED_VALUE"""),"CAÍDA DE RAMA")</f>
        <v>CAÍDA DE RAMA</v>
      </c>
      <c r="AB449" s="64" t="str">
        <f>IFERROR(__xludf.DUMMYFUNCTION("""COMPUTED_VALUE"""),"OPERATIVO DGT")</f>
        <v>OPERATIVO DGT</v>
      </c>
      <c r="AC449" s="64" t="str">
        <f>IFERROR(__xludf.DUMMYFUNCTION("""COMPUTED_VALUE"""),"OPERATIVO PMT")</f>
        <v>OPERATIVO PMT</v>
      </c>
      <c r="AD449" s="64" t="str">
        <f>IFERROR(__xludf.DUMMYFUNCTION("""COMPUTED_VALUE"""),"APOYO A DIGEF")</f>
        <v>APOYO A DIGEF</v>
      </c>
      <c r="AE449" s="64" t="str">
        <f>IFERROR(__xludf.DUMMYFUNCTION("""COMPUTED_VALUE"""),"OPERATIVO PNC TRANSITO")</f>
        <v>OPERATIVO PNC TRANSITO</v>
      </c>
      <c r="AF449" s="64" t="str">
        <f>IFERROR(__xludf.DUMMYFUNCTION("""COMPUTED_VALUE"""),"SOBRECARGA ")</f>
        <v>SOBRECARGA </v>
      </c>
      <c r="AG449" s="64" t="str">
        <f>IFERROR(__xludf.DUMMYFUNCTION("""COMPUTED_VALUE"""),"OPERATIVO EN CONJUNTO")</f>
        <v>OPERATIVO EN CONJUNTO</v>
      </c>
      <c r="AH449" s="64" t="str">
        <f>IFERROR(__xludf.DUMMYFUNCTION("""COMPUTED_VALUE"""),"PUESTO DE ATENCION AL USUARIO")</f>
        <v>PUESTO DE ATENCION AL USUARIO</v>
      </c>
      <c r="AI449" s="64" t="str">
        <f>IFERROR(__xludf.DUMMYFUNCTION("""COMPUTED_VALUE"""),"INCENDIO EN RUTA")</f>
        <v>INCENDIO EN RUTA</v>
      </c>
      <c r="AJ449" s="64" t="str">
        <f>IFERROR(__xludf.DUMMYFUNCTION("""COMPUTED_VALUE"""),"APOYO ANTORCHA ")</f>
        <v>APOYO ANTORCHA </v>
      </c>
    </row>
    <row r="450">
      <c r="B450" s="64" t="s">
        <v>38</v>
      </c>
      <c r="C450" s="64" t="str">
        <f>IFERROR(__xludf.DUMMYFUNCTION(" TRANSPOSE( unique ( QUERY(DATOPRO,""select Col2 where Col1 = '""&amp;B450&amp;""'"")))"),"ATAQUE ARMADO")</f>
        <v>ATAQUE ARMADO</v>
      </c>
      <c r="D450" s="64" t="str">
        <f>IFERROR(__xludf.DUMMYFUNCTION("""COMPUTED_VALUE"""),"DESBALANCE DE CARGA")</f>
        <v>DESBALANCE DE CARGA</v>
      </c>
      <c r="E450" s="64" t="str">
        <f>IFERROR(__xludf.DUMMYFUNCTION("""COMPUTED_VALUE"""),"PERSONA FALLECIDA")</f>
        <v>PERSONA FALLECIDA</v>
      </c>
      <c r="F450" s="64" t="str">
        <f>IFERROR(__xludf.DUMMYFUNCTION("""COMPUTED_VALUE"""),"DESPRENDIMIENTO DE NEUMATICO")</f>
        <v>DESPRENDIMIENTO DE NEUMATICO</v>
      </c>
      <c r="G450" s="64" t="str">
        <f>IFERROR(__xludf.DUMMYFUNCTION("""COMPUTED_VALUE"""),"SALIDA DE PISTA")</f>
        <v>SALIDA DE PISTA</v>
      </c>
      <c r="H450" s="64" t="str">
        <f>IFERROR(__xludf.DUMMYFUNCTION("""COMPUTED_VALUE"""),"DESPRENDIMIENTO DE CONTENEDOR")</f>
        <v>DESPRENDIMIENTO DE CONTENEDOR</v>
      </c>
      <c r="I450" s="64" t="str">
        <f>IFERROR(__xludf.DUMMYFUNCTION("""COMPUTED_VALUE"""),"CAÍDA DE CARGA")</f>
        <v>CAÍDA DE CARGA</v>
      </c>
      <c r="J450" s="64" t="str">
        <f>IFERROR(__xludf.DUMMYFUNCTION("""COMPUTED_VALUE"""),"CHOQUE")</f>
        <v>CHOQUE</v>
      </c>
      <c r="K450" s="64" t="str">
        <f>IFERROR(__xludf.DUMMYFUNCTION("""COMPUTED_VALUE"""),"COLISIÓN")</f>
        <v>COLISIÓN</v>
      </c>
      <c r="L450" s="64" t="str">
        <f>IFERROR(__xludf.DUMMYFUNCTION("""COMPUTED_VALUE"""),"COLISIÓN MÚLTIPLE")</f>
        <v>COLISIÓN MÚLTIPLE</v>
      </c>
      <c r="M450" s="64" t="str">
        <f>IFERROR(__xludf.DUMMYFUNCTION("""COMPUTED_VALUE"""),"DERRAPE")</f>
        <v>DERRAPE</v>
      </c>
      <c r="N450" s="64" t="str">
        <f>IFERROR(__xludf.DUMMYFUNCTION("""COMPUTED_VALUE"""),"VEHÍCULO INCENDIADO")</f>
        <v>VEHÍCULO INCENDIADO</v>
      </c>
      <c r="O450" s="64" t="str">
        <f>IFERROR(__xludf.DUMMYFUNCTION("""COMPUTED_VALUE"""),"VUELCO")</f>
        <v>VUELCO</v>
      </c>
      <c r="P450" s="64" t="str">
        <f>IFERROR(__xludf.DUMMYFUNCTION("""COMPUTED_VALUE"""),"DESPRENDIMIENTO")</f>
        <v>DESPRENDIMIENTO</v>
      </c>
      <c r="Q450" s="64" t="str">
        <f>IFERROR(__xludf.DUMMYFUNCTION("""COMPUTED_VALUE"""),"CAÍDA DE ÁRBOL")</f>
        <v>CAÍDA DE ÁRBOL</v>
      </c>
      <c r="R450" s="64" t="str">
        <f>IFERROR(__xludf.DUMMYFUNCTION("""COMPUTED_VALUE"""),"DESPRENDIMIENTO DE EJE")</f>
        <v>DESPRENDIMIENTO DE EJE</v>
      </c>
      <c r="S450" s="64" t="str">
        <f>IFERROR(__xludf.DUMMYFUNCTION("""COMPUTED_VALUE"""),"PERSONA ATROPELLADA")</f>
        <v>PERSONA ATROPELLADA</v>
      </c>
    </row>
    <row r="451">
      <c r="B451" s="64" t="s">
        <v>38</v>
      </c>
      <c r="C451" s="64" t="str">
        <f>IFERROR(__xludf.DUMMYFUNCTION(" TRANSPOSE( unique ( QUERY(DATOPRO,""select Col2 where Col1 = '""&amp;B451&amp;""'"")))"),"ATAQUE ARMADO")</f>
        <v>ATAQUE ARMADO</v>
      </c>
      <c r="D451" s="64" t="str">
        <f>IFERROR(__xludf.DUMMYFUNCTION("""COMPUTED_VALUE"""),"DESBALANCE DE CARGA")</f>
        <v>DESBALANCE DE CARGA</v>
      </c>
      <c r="E451" s="64" t="str">
        <f>IFERROR(__xludf.DUMMYFUNCTION("""COMPUTED_VALUE"""),"PERSONA FALLECIDA")</f>
        <v>PERSONA FALLECIDA</v>
      </c>
      <c r="F451" s="64" t="str">
        <f>IFERROR(__xludf.DUMMYFUNCTION("""COMPUTED_VALUE"""),"DESPRENDIMIENTO DE NEUMATICO")</f>
        <v>DESPRENDIMIENTO DE NEUMATICO</v>
      </c>
      <c r="G451" s="64" t="str">
        <f>IFERROR(__xludf.DUMMYFUNCTION("""COMPUTED_VALUE"""),"SALIDA DE PISTA")</f>
        <v>SALIDA DE PISTA</v>
      </c>
      <c r="H451" s="64" t="str">
        <f>IFERROR(__xludf.DUMMYFUNCTION("""COMPUTED_VALUE"""),"DESPRENDIMIENTO DE CONTENEDOR")</f>
        <v>DESPRENDIMIENTO DE CONTENEDOR</v>
      </c>
      <c r="I451" s="64" t="str">
        <f>IFERROR(__xludf.DUMMYFUNCTION("""COMPUTED_VALUE"""),"CAÍDA DE CARGA")</f>
        <v>CAÍDA DE CARGA</v>
      </c>
      <c r="J451" s="64" t="str">
        <f>IFERROR(__xludf.DUMMYFUNCTION("""COMPUTED_VALUE"""),"CHOQUE")</f>
        <v>CHOQUE</v>
      </c>
      <c r="K451" s="64" t="str">
        <f>IFERROR(__xludf.DUMMYFUNCTION("""COMPUTED_VALUE"""),"COLISIÓN")</f>
        <v>COLISIÓN</v>
      </c>
      <c r="L451" s="64" t="str">
        <f>IFERROR(__xludf.DUMMYFUNCTION("""COMPUTED_VALUE"""),"COLISIÓN MÚLTIPLE")</f>
        <v>COLISIÓN MÚLTIPLE</v>
      </c>
      <c r="M451" s="64" t="str">
        <f>IFERROR(__xludf.DUMMYFUNCTION("""COMPUTED_VALUE"""),"DERRAPE")</f>
        <v>DERRAPE</v>
      </c>
      <c r="N451" s="64" t="str">
        <f>IFERROR(__xludf.DUMMYFUNCTION("""COMPUTED_VALUE"""),"VEHÍCULO INCENDIADO")</f>
        <v>VEHÍCULO INCENDIADO</v>
      </c>
      <c r="O451" s="64" t="str">
        <f>IFERROR(__xludf.DUMMYFUNCTION("""COMPUTED_VALUE"""),"VUELCO")</f>
        <v>VUELCO</v>
      </c>
      <c r="P451" s="64" t="str">
        <f>IFERROR(__xludf.DUMMYFUNCTION("""COMPUTED_VALUE"""),"DESPRENDIMIENTO")</f>
        <v>DESPRENDIMIENTO</v>
      </c>
      <c r="Q451" s="64" t="str">
        <f>IFERROR(__xludf.DUMMYFUNCTION("""COMPUTED_VALUE"""),"CAÍDA DE ÁRBOL")</f>
        <v>CAÍDA DE ÁRBOL</v>
      </c>
      <c r="R451" s="64" t="str">
        <f>IFERROR(__xludf.DUMMYFUNCTION("""COMPUTED_VALUE"""),"DESPRENDIMIENTO DE EJE")</f>
        <v>DESPRENDIMIENTO DE EJE</v>
      </c>
      <c r="S451" s="64" t="str">
        <f>IFERROR(__xludf.DUMMYFUNCTION("""COMPUTED_VALUE"""),"PERSONA ATROPELLADA")</f>
        <v>PERSONA ATROPELLADA</v>
      </c>
    </row>
    <row r="452">
      <c r="B452" s="64" t="s">
        <v>38</v>
      </c>
      <c r="C452" s="64" t="str">
        <f>IFERROR(__xludf.DUMMYFUNCTION(" TRANSPOSE( unique ( QUERY(DATOPRO,""select Col2 where Col1 = '""&amp;B452&amp;""'"")))"),"ATAQUE ARMADO")</f>
        <v>ATAQUE ARMADO</v>
      </c>
      <c r="D452" s="64" t="str">
        <f>IFERROR(__xludf.DUMMYFUNCTION("""COMPUTED_VALUE"""),"DESBALANCE DE CARGA")</f>
        <v>DESBALANCE DE CARGA</v>
      </c>
      <c r="E452" s="64" t="str">
        <f>IFERROR(__xludf.DUMMYFUNCTION("""COMPUTED_VALUE"""),"PERSONA FALLECIDA")</f>
        <v>PERSONA FALLECIDA</v>
      </c>
      <c r="F452" s="64" t="str">
        <f>IFERROR(__xludf.DUMMYFUNCTION("""COMPUTED_VALUE"""),"DESPRENDIMIENTO DE NEUMATICO")</f>
        <v>DESPRENDIMIENTO DE NEUMATICO</v>
      </c>
      <c r="G452" s="64" t="str">
        <f>IFERROR(__xludf.DUMMYFUNCTION("""COMPUTED_VALUE"""),"SALIDA DE PISTA")</f>
        <v>SALIDA DE PISTA</v>
      </c>
      <c r="H452" s="64" t="str">
        <f>IFERROR(__xludf.DUMMYFUNCTION("""COMPUTED_VALUE"""),"DESPRENDIMIENTO DE CONTENEDOR")</f>
        <v>DESPRENDIMIENTO DE CONTENEDOR</v>
      </c>
      <c r="I452" s="64" t="str">
        <f>IFERROR(__xludf.DUMMYFUNCTION("""COMPUTED_VALUE"""),"CAÍDA DE CARGA")</f>
        <v>CAÍDA DE CARGA</v>
      </c>
      <c r="J452" s="64" t="str">
        <f>IFERROR(__xludf.DUMMYFUNCTION("""COMPUTED_VALUE"""),"CHOQUE")</f>
        <v>CHOQUE</v>
      </c>
      <c r="K452" s="64" t="str">
        <f>IFERROR(__xludf.DUMMYFUNCTION("""COMPUTED_VALUE"""),"COLISIÓN")</f>
        <v>COLISIÓN</v>
      </c>
      <c r="L452" s="64" t="str">
        <f>IFERROR(__xludf.DUMMYFUNCTION("""COMPUTED_VALUE"""),"COLISIÓN MÚLTIPLE")</f>
        <v>COLISIÓN MÚLTIPLE</v>
      </c>
      <c r="M452" s="64" t="str">
        <f>IFERROR(__xludf.DUMMYFUNCTION("""COMPUTED_VALUE"""),"DERRAPE")</f>
        <v>DERRAPE</v>
      </c>
      <c r="N452" s="64" t="str">
        <f>IFERROR(__xludf.DUMMYFUNCTION("""COMPUTED_VALUE"""),"VEHÍCULO INCENDIADO")</f>
        <v>VEHÍCULO INCENDIADO</v>
      </c>
      <c r="O452" s="64" t="str">
        <f>IFERROR(__xludf.DUMMYFUNCTION("""COMPUTED_VALUE"""),"VUELCO")</f>
        <v>VUELCO</v>
      </c>
      <c r="P452" s="64" t="str">
        <f>IFERROR(__xludf.DUMMYFUNCTION("""COMPUTED_VALUE"""),"DESPRENDIMIENTO")</f>
        <v>DESPRENDIMIENTO</v>
      </c>
      <c r="Q452" s="64" t="str">
        <f>IFERROR(__xludf.DUMMYFUNCTION("""COMPUTED_VALUE"""),"CAÍDA DE ÁRBOL")</f>
        <v>CAÍDA DE ÁRBOL</v>
      </c>
      <c r="R452" s="64" t="str">
        <f>IFERROR(__xludf.DUMMYFUNCTION("""COMPUTED_VALUE"""),"DESPRENDIMIENTO DE EJE")</f>
        <v>DESPRENDIMIENTO DE EJE</v>
      </c>
      <c r="S452" s="64" t="str">
        <f>IFERROR(__xludf.DUMMYFUNCTION("""COMPUTED_VALUE"""),"PERSONA ATROPELLADA")</f>
        <v>PERSONA ATROPELLADA</v>
      </c>
    </row>
    <row r="453">
      <c r="B453" s="64" t="s">
        <v>54</v>
      </c>
      <c r="C453" s="64" t="str">
        <f>IFERROR(__xludf.DUMMYFUNCTION(" TRANSPOSE( unique ( QUERY(DATOPRO,""select Col2 where Col1 = '""&amp;B453&amp;""'"")))"),"PINCHAZO")</f>
        <v>PINCHAZO</v>
      </c>
      <c r="D453" s="64" t="str">
        <f>IFERROR(__xludf.DUMMYFUNCTION("""COMPUTED_VALUE"""),"TRABAJOS DE CARRETERA")</f>
        <v>TRABAJOS DE CARRETERA</v>
      </c>
      <c r="E453" s="64" t="str">
        <f>IFERROR(__xludf.DUMMYFUNCTION("""COMPUTED_VALUE"""),"CONSIGNACIÓN")</f>
        <v>CONSIGNACIÓN</v>
      </c>
      <c r="F453" s="64" t="str">
        <f>IFERROR(__xludf.DUMMYFUNCTION("""COMPUTED_VALUE"""),"DERRAME")</f>
        <v>DERRAME</v>
      </c>
      <c r="G453" s="64" t="str">
        <f>IFERROR(__xludf.DUMMYFUNCTION("""COMPUTED_VALUE"""),"CALENTAMIENTO")</f>
        <v>CALENTAMIENTO</v>
      </c>
      <c r="H453" s="64" t="str">
        <f>IFERROR(__xludf.DUMMYFUNCTION("""COMPUTED_VALUE"""),"ESCOLTANDO")</f>
        <v>ESCOLTANDO</v>
      </c>
      <c r="I453" s="64" t="str">
        <f>IFERROR(__xludf.DUMMYFUNCTION("""COMPUTED_VALUE"""),"FALTA DE COMBUSTIBLE")</f>
        <v>FALTA DE COMBUSTIBLE</v>
      </c>
      <c r="J453" s="64" t="str">
        <f>IFERROR(__xludf.DUMMYFUNCTION("""COMPUTED_VALUE"""),"DESPERFECTOS MECÁNICOS")</f>
        <v>DESPERFECTOS MECÁNICOS</v>
      </c>
      <c r="K453" s="64" t="str">
        <f>IFERROR(__xludf.DUMMYFUNCTION("""COMPUTED_VALUE"""),"LLAMADA DE ATENCIÓN")</f>
        <v>LLAMADA DE ATENCIÓN</v>
      </c>
      <c r="L453" s="64" t="str">
        <f>IFERROR(__xludf.DUMMYFUNCTION("""COMPUTED_VALUE"""),"OPERATIVOS")</f>
        <v>OPERATIVOS</v>
      </c>
      <c r="M453" s="64" t="str">
        <f>IFERROR(__xludf.DUMMYFUNCTION("""COMPUTED_VALUE"""),"SANCIÓN")</f>
        <v>SANCIÓN</v>
      </c>
      <c r="N453" s="64" t="str">
        <f>IFERROR(__xludf.DUMMYFUNCTION("""COMPUTED_VALUE"""),"SISTEMA ELECTRICO")</f>
        <v>SISTEMA ELECTRICO</v>
      </c>
      <c r="O453" s="64" t="str">
        <f>IFERROR(__xludf.DUMMYFUNCTION("""COMPUTED_VALUE"""),"ASISTENCIA AL USUARIO")</f>
        <v>ASISTENCIA AL USUARIO</v>
      </c>
      <c r="P453" s="64" t="str">
        <f>IFERROR(__xludf.DUMMYFUNCTION("""COMPUTED_VALUE"""),"DOBLE REMOLQUE")</f>
        <v>DOBLE REMOLQUE</v>
      </c>
      <c r="Q453" s="64" t="str">
        <f>IFERROR(__xludf.DUMMYFUNCTION("""COMPUTED_VALUE"""),"SINAPRESE")</f>
        <v>SINAPRESE</v>
      </c>
      <c r="R453" s="64" t="str">
        <f>IFERROR(__xludf.DUMMYFUNCTION("""COMPUTED_VALUE"""),"APOYO ATLETISMO")</f>
        <v>APOYO ATLETISMO</v>
      </c>
      <c r="S453" s="64" t="str">
        <f>IFERROR(__xludf.DUMMYFUNCTION("""COMPUTED_VALUE"""),"APOYO A CICLISMO")</f>
        <v>APOYO A CICLISMO</v>
      </c>
      <c r="T453" s="64" t="str">
        <f>IFERROR(__xludf.DUMMYFUNCTION("""COMPUTED_VALUE"""),"DESCARGA DE BATERÍA")</f>
        <v>DESCARGA DE BATERÍA</v>
      </c>
      <c r="U453" s="64" t="str">
        <f>IFERROR(__xludf.DUMMYFUNCTION("""COMPUTED_VALUE"""),"PROBLEMAS DE SALUD")</f>
        <v>PROBLEMAS DE SALUD</v>
      </c>
      <c r="V453" s="64" t="str">
        <f>IFERROR(__xludf.DUMMYFUNCTION("""COMPUTED_VALUE"""),"OLVIDO LA LLAVE")</f>
        <v>OLVIDO LA LLAVE</v>
      </c>
      <c r="W453" s="64" t="str">
        <f>IFERROR(__xludf.DUMMYFUNCTION("""COMPUTED_VALUE"""),"CARGA SOBREDIMENSIONADA")</f>
        <v>CARGA SOBREDIMENSIONADA</v>
      </c>
      <c r="X453" s="64" t="str">
        <f>IFERROR(__xludf.DUMMYFUNCTION("""COMPUTED_VALUE"""),"VEHÍCULO ABANDONADO")</f>
        <v>VEHÍCULO ABANDONADO</v>
      </c>
      <c r="Y453" s="64" t="str">
        <f>IFERROR(__xludf.DUMMYFUNCTION("""COMPUTED_VALUE"""),"DESPRENDIMIENTO")</f>
        <v>DESPRENDIMIENTO</v>
      </c>
      <c r="Z453" s="64" t="str">
        <f>IFERROR(__xludf.DUMMYFUNCTION("""COMPUTED_VALUE"""),"CAÍDA DE POSTE")</f>
        <v>CAÍDA DE POSTE</v>
      </c>
      <c r="AA453" s="64" t="str">
        <f>IFERROR(__xludf.DUMMYFUNCTION("""COMPUTED_VALUE"""),"CAÍDA DE RAMA")</f>
        <v>CAÍDA DE RAMA</v>
      </c>
      <c r="AB453" s="64" t="str">
        <f>IFERROR(__xludf.DUMMYFUNCTION("""COMPUTED_VALUE"""),"OPERATIVO DGT")</f>
        <v>OPERATIVO DGT</v>
      </c>
      <c r="AC453" s="64" t="str">
        <f>IFERROR(__xludf.DUMMYFUNCTION("""COMPUTED_VALUE"""),"OPERATIVO PMT")</f>
        <v>OPERATIVO PMT</v>
      </c>
      <c r="AD453" s="64" t="str">
        <f>IFERROR(__xludf.DUMMYFUNCTION("""COMPUTED_VALUE"""),"APOYO A DIGEF")</f>
        <v>APOYO A DIGEF</v>
      </c>
      <c r="AE453" s="64" t="str">
        <f>IFERROR(__xludf.DUMMYFUNCTION("""COMPUTED_VALUE"""),"OPERATIVO PNC TRANSITO")</f>
        <v>OPERATIVO PNC TRANSITO</v>
      </c>
      <c r="AF453" s="64" t="str">
        <f>IFERROR(__xludf.DUMMYFUNCTION("""COMPUTED_VALUE"""),"SOBRECARGA ")</f>
        <v>SOBRECARGA </v>
      </c>
      <c r="AG453" s="64" t="str">
        <f>IFERROR(__xludf.DUMMYFUNCTION("""COMPUTED_VALUE"""),"OPERATIVO EN CONJUNTO")</f>
        <v>OPERATIVO EN CONJUNTO</v>
      </c>
      <c r="AH453" s="64" t="str">
        <f>IFERROR(__xludf.DUMMYFUNCTION("""COMPUTED_VALUE"""),"PUESTO DE ATENCION AL USUARIO")</f>
        <v>PUESTO DE ATENCION AL USUARIO</v>
      </c>
      <c r="AI453" s="64" t="str">
        <f>IFERROR(__xludf.DUMMYFUNCTION("""COMPUTED_VALUE"""),"INCENDIO EN RUTA")</f>
        <v>INCENDIO EN RUTA</v>
      </c>
      <c r="AJ453" s="64" t="str">
        <f>IFERROR(__xludf.DUMMYFUNCTION("""COMPUTED_VALUE"""),"APOYO ANTORCHA ")</f>
        <v>APOYO ANTORCHA </v>
      </c>
    </row>
    <row r="454">
      <c r="B454" s="64" t="s">
        <v>54</v>
      </c>
      <c r="C454" s="64" t="str">
        <f>IFERROR(__xludf.DUMMYFUNCTION(" TRANSPOSE( unique ( QUERY(DATOPRO,""select Col2 where Col1 = '""&amp;B454&amp;""'"")))"),"PINCHAZO")</f>
        <v>PINCHAZO</v>
      </c>
      <c r="D454" s="64" t="str">
        <f>IFERROR(__xludf.DUMMYFUNCTION("""COMPUTED_VALUE"""),"TRABAJOS DE CARRETERA")</f>
        <v>TRABAJOS DE CARRETERA</v>
      </c>
      <c r="E454" s="64" t="str">
        <f>IFERROR(__xludf.DUMMYFUNCTION("""COMPUTED_VALUE"""),"CONSIGNACIÓN")</f>
        <v>CONSIGNACIÓN</v>
      </c>
      <c r="F454" s="64" t="str">
        <f>IFERROR(__xludf.DUMMYFUNCTION("""COMPUTED_VALUE"""),"DERRAME")</f>
        <v>DERRAME</v>
      </c>
      <c r="G454" s="64" t="str">
        <f>IFERROR(__xludf.DUMMYFUNCTION("""COMPUTED_VALUE"""),"CALENTAMIENTO")</f>
        <v>CALENTAMIENTO</v>
      </c>
      <c r="H454" s="64" t="str">
        <f>IFERROR(__xludf.DUMMYFUNCTION("""COMPUTED_VALUE"""),"ESCOLTANDO")</f>
        <v>ESCOLTANDO</v>
      </c>
      <c r="I454" s="64" t="str">
        <f>IFERROR(__xludf.DUMMYFUNCTION("""COMPUTED_VALUE"""),"FALTA DE COMBUSTIBLE")</f>
        <v>FALTA DE COMBUSTIBLE</v>
      </c>
      <c r="J454" s="64" t="str">
        <f>IFERROR(__xludf.DUMMYFUNCTION("""COMPUTED_VALUE"""),"DESPERFECTOS MECÁNICOS")</f>
        <v>DESPERFECTOS MECÁNICOS</v>
      </c>
      <c r="K454" s="64" t="str">
        <f>IFERROR(__xludf.DUMMYFUNCTION("""COMPUTED_VALUE"""),"LLAMADA DE ATENCIÓN")</f>
        <v>LLAMADA DE ATENCIÓN</v>
      </c>
      <c r="L454" s="64" t="str">
        <f>IFERROR(__xludf.DUMMYFUNCTION("""COMPUTED_VALUE"""),"OPERATIVOS")</f>
        <v>OPERATIVOS</v>
      </c>
      <c r="M454" s="64" t="str">
        <f>IFERROR(__xludf.DUMMYFUNCTION("""COMPUTED_VALUE"""),"SANCIÓN")</f>
        <v>SANCIÓN</v>
      </c>
      <c r="N454" s="64" t="str">
        <f>IFERROR(__xludf.DUMMYFUNCTION("""COMPUTED_VALUE"""),"SISTEMA ELECTRICO")</f>
        <v>SISTEMA ELECTRICO</v>
      </c>
      <c r="O454" s="64" t="str">
        <f>IFERROR(__xludf.DUMMYFUNCTION("""COMPUTED_VALUE"""),"ASISTENCIA AL USUARIO")</f>
        <v>ASISTENCIA AL USUARIO</v>
      </c>
      <c r="P454" s="64" t="str">
        <f>IFERROR(__xludf.DUMMYFUNCTION("""COMPUTED_VALUE"""),"DOBLE REMOLQUE")</f>
        <v>DOBLE REMOLQUE</v>
      </c>
      <c r="Q454" s="64" t="str">
        <f>IFERROR(__xludf.DUMMYFUNCTION("""COMPUTED_VALUE"""),"SINAPRESE")</f>
        <v>SINAPRESE</v>
      </c>
      <c r="R454" s="64" t="str">
        <f>IFERROR(__xludf.DUMMYFUNCTION("""COMPUTED_VALUE"""),"APOYO ATLETISMO")</f>
        <v>APOYO ATLETISMO</v>
      </c>
      <c r="S454" s="64" t="str">
        <f>IFERROR(__xludf.DUMMYFUNCTION("""COMPUTED_VALUE"""),"APOYO A CICLISMO")</f>
        <v>APOYO A CICLISMO</v>
      </c>
      <c r="T454" s="64" t="str">
        <f>IFERROR(__xludf.DUMMYFUNCTION("""COMPUTED_VALUE"""),"DESCARGA DE BATERÍA")</f>
        <v>DESCARGA DE BATERÍA</v>
      </c>
      <c r="U454" s="64" t="str">
        <f>IFERROR(__xludf.DUMMYFUNCTION("""COMPUTED_VALUE"""),"PROBLEMAS DE SALUD")</f>
        <v>PROBLEMAS DE SALUD</v>
      </c>
      <c r="V454" s="64" t="str">
        <f>IFERROR(__xludf.DUMMYFUNCTION("""COMPUTED_VALUE"""),"OLVIDO LA LLAVE")</f>
        <v>OLVIDO LA LLAVE</v>
      </c>
      <c r="W454" s="64" t="str">
        <f>IFERROR(__xludf.DUMMYFUNCTION("""COMPUTED_VALUE"""),"CARGA SOBREDIMENSIONADA")</f>
        <v>CARGA SOBREDIMENSIONADA</v>
      </c>
      <c r="X454" s="64" t="str">
        <f>IFERROR(__xludf.DUMMYFUNCTION("""COMPUTED_VALUE"""),"VEHÍCULO ABANDONADO")</f>
        <v>VEHÍCULO ABANDONADO</v>
      </c>
      <c r="Y454" s="64" t="str">
        <f>IFERROR(__xludf.DUMMYFUNCTION("""COMPUTED_VALUE"""),"DESPRENDIMIENTO")</f>
        <v>DESPRENDIMIENTO</v>
      </c>
      <c r="Z454" s="64" t="str">
        <f>IFERROR(__xludf.DUMMYFUNCTION("""COMPUTED_VALUE"""),"CAÍDA DE POSTE")</f>
        <v>CAÍDA DE POSTE</v>
      </c>
      <c r="AA454" s="64" t="str">
        <f>IFERROR(__xludf.DUMMYFUNCTION("""COMPUTED_VALUE"""),"CAÍDA DE RAMA")</f>
        <v>CAÍDA DE RAMA</v>
      </c>
      <c r="AB454" s="64" t="str">
        <f>IFERROR(__xludf.DUMMYFUNCTION("""COMPUTED_VALUE"""),"OPERATIVO DGT")</f>
        <v>OPERATIVO DGT</v>
      </c>
      <c r="AC454" s="64" t="str">
        <f>IFERROR(__xludf.DUMMYFUNCTION("""COMPUTED_VALUE"""),"OPERATIVO PMT")</f>
        <v>OPERATIVO PMT</v>
      </c>
      <c r="AD454" s="64" t="str">
        <f>IFERROR(__xludf.DUMMYFUNCTION("""COMPUTED_VALUE"""),"APOYO A DIGEF")</f>
        <v>APOYO A DIGEF</v>
      </c>
      <c r="AE454" s="64" t="str">
        <f>IFERROR(__xludf.DUMMYFUNCTION("""COMPUTED_VALUE"""),"OPERATIVO PNC TRANSITO")</f>
        <v>OPERATIVO PNC TRANSITO</v>
      </c>
      <c r="AF454" s="64" t="str">
        <f>IFERROR(__xludf.DUMMYFUNCTION("""COMPUTED_VALUE"""),"SOBRECARGA ")</f>
        <v>SOBRECARGA </v>
      </c>
      <c r="AG454" s="64" t="str">
        <f>IFERROR(__xludf.DUMMYFUNCTION("""COMPUTED_VALUE"""),"OPERATIVO EN CONJUNTO")</f>
        <v>OPERATIVO EN CONJUNTO</v>
      </c>
      <c r="AH454" s="64" t="str">
        <f>IFERROR(__xludf.DUMMYFUNCTION("""COMPUTED_VALUE"""),"PUESTO DE ATENCION AL USUARIO")</f>
        <v>PUESTO DE ATENCION AL USUARIO</v>
      </c>
      <c r="AI454" s="64" t="str">
        <f>IFERROR(__xludf.DUMMYFUNCTION("""COMPUTED_VALUE"""),"INCENDIO EN RUTA")</f>
        <v>INCENDIO EN RUTA</v>
      </c>
      <c r="AJ454" s="64" t="str">
        <f>IFERROR(__xludf.DUMMYFUNCTION("""COMPUTED_VALUE"""),"APOYO ANTORCHA ")</f>
        <v>APOYO ANTORCHA </v>
      </c>
    </row>
    <row r="455">
      <c r="B455" s="64" t="s">
        <v>54</v>
      </c>
      <c r="C455" s="64" t="str">
        <f>IFERROR(__xludf.DUMMYFUNCTION(" TRANSPOSE( unique ( QUERY(DATOPRO,""select Col2 where Col1 = '""&amp;B455&amp;""'"")))"),"PINCHAZO")</f>
        <v>PINCHAZO</v>
      </c>
      <c r="D455" s="64" t="str">
        <f>IFERROR(__xludf.DUMMYFUNCTION("""COMPUTED_VALUE"""),"TRABAJOS DE CARRETERA")</f>
        <v>TRABAJOS DE CARRETERA</v>
      </c>
      <c r="E455" s="64" t="str">
        <f>IFERROR(__xludf.DUMMYFUNCTION("""COMPUTED_VALUE"""),"CONSIGNACIÓN")</f>
        <v>CONSIGNACIÓN</v>
      </c>
      <c r="F455" s="64" t="str">
        <f>IFERROR(__xludf.DUMMYFUNCTION("""COMPUTED_VALUE"""),"DERRAME")</f>
        <v>DERRAME</v>
      </c>
      <c r="G455" s="64" t="str">
        <f>IFERROR(__xludf.DUMMYFUNCTION("""COMPUTED_VALUE"""),"CALENTAMIENTO")</f>
        <v>CALENTAMIENTO</v>
      </c>
      <c r="H455" s="64" t="str">
        <f>IFERROR(__xludf.DUMMYFUNCTION("""COMPUTED_VALUE"""),"ESCOLTANDO")</f>
        <v>ESCOLTANDO</v>
      </c>
      <c r="I455" s="64" t="str">
        <f>IFERROR(__xludf.DUMMYFUNCTION("""COMPUTED_VALUE"""),"FALTA DE COMBUSTIBLE")</f>
        <v>FALTA DE COMBUSTIBLE</v>
      </c>
      <c r="J455" s="64" t="str">
        <f>IFERROR(__xludf.DUMMYFUNCTION("""COMPUTED_VALUE"""),"DESPERFECTOS MECÁNICOS")</f>
        <v>DESPERFECTOS MECÁNICOS</v>
      </c>
      <c r="K455" s="64" t="str">
        <f>IFERROR(__xludf.DUMMYFUNCTION("""COMPUTED_VALUE"""),"LLAMADA DE ATENCIÓN")</f>
        <v>LLAMADA DE ATENCIÓN</v>
      </c>
      <c r="L455" s="64" t="str">
        <f>IFERROR(__xludf.DUMMYFUNCTION("""COMPUTED_VALUE"""),"OPERATIVOS")</f>
        <v>OPERATIVOS</v>
      </c>
      <c r="M455" s="64" t="str">
        <f>IFERROR(__xludf.DUMMYFUNCTION("""COMPUTED_VALUE"""),"SANCIÓN")</f>
        <v>SANCIÓN</v>
      </c>
      <c r="N455" s="64" t="str">
        <f>IFERROR(__xludf.DUMMYFUNCTION("""COMPUTED_VALUE"""),"SISTEMA ELECTRICO")</f>
        <v>SISTEMA ELECTRICO</v>
      </c>
      <c r="O455" s="64" t="str">
        <f>IFERROR(__xludf.DUMMYFUNCTION("""COMPUTED_VALUE"""),"ASISTENCIA AL USUARIO")</f>
        <v>ASISTENCIA AL USUARIO</v>
      </c>
      <c r="P455" s="64" t="str">
        <f>IFERROR(__xludf.DUMMYFUNCTION("""COMPUTED_VALUE"""),"DOBLE REMOLQUE")</f>
        <v>DOBLE REMOLQUE</v>
      </c>
      <c r="Q455" s="64" t="str">
        <f>IFERROR(__xludf.DUMMYFUNCTION("""COMPUTED_VALUE"""),"SINAPRESE")</f>
        <v>SINAPRESE</v>
      </c>
      <c r="R455" s="64" t="str">
        <f>IFERROR(__xludf.DUMMYFUNCTION("""COMPUTED_VALUE"""),"APOYO ATLETISMO")</f>
        <v>APOYO ATLETISMO</v>
      </c>
      <c r="S455" s="64" t="str">
        <f>IFERROR(__xludf.DUMMYFUNCTION("""COMPUTED_VALUE"""),"APOYO A CICLISMO")</f>
        <v>APOYO A CICLISMO</v>
      </c>
      <c r="T455" s="64" t="str">
        <f>IFERROR(__xludf.DUMMYFUNCTION("""COMPUTED_VALUE"""),"DESCARGA DE BATERÍA")</f>
        <v>DESCARGA DE BATERÍA</v>
      </c>
      <c r="U455" s="64" t="str">
        <f>IFERROR(__xludf.DUMMYFUNCTION("""COMPUTED_VALUE"""),"PROBLEMAS DE SALUD")</f>
        <v>PROBLEMAS DE SALUD</v>
      </c>
      <c r="V455" s="64" t="str">
        <f>IFERROR(__xludf.DUMMYFUNCTION("""COMPUTED_VALUE"""),"OLVIDO LA LLAVE")</f>
        <v>OLVIDO LA LLAVE</v>
      </c>
      <c r="W455" s="64" t="str">
        <f>IFERROR(__xludf.DUMMYFUNCTION("""COMPUTED_VALUE"""),"CARGA SOBREDIMENSIONADA")</f>
        <v>CARGA SOBREDIMENSIONADA</v>
      </c>
      <c r="X455" s="64" t="str">
        <f>IFERROR(__xludf.DUMMYFUNCTION("""COMPUTED_VALUE"""),"VEHÍCULO ABANDONADO")</f>
        <v>VEHÍCULO ABANDONADO</v>
      </c>
      <c r="Y455" s="64" t="str">
        <f>IFERROR(__xludf.DUMMYFUNCTION("""COMPUTED_VALUE"""),"DESPRENDIMIENTO")</f>
        <v>DESPRENDIMIENTO</v>
      </c>
      <c r="Z455" s="64" t="str">
        <f>IFERROR(__xludf.DUMMYFUNCTION("""COMPUTED_VALUE"""),"CAÍDA DE POSTE")</f>
        <v>CAÍDA DE POSTE</v>
      </c>
      <c r="AA455" s="64" t="str">
        <f>IFERROR(__xludf.DUMMYFUNCTION("""COMPUTED_VALUE"""),"CAÍDA DE RAMA")</f>
        <v>CAÍDA DE RAMA</v>
      </c>
      <c r="AB455" s="64" t="str">
        <f>IFERROR(__xludf.DUMMYFUNCTION("""COMPUTED_VALUE"""),"OPERATIVO DGT")</f>
        <v>OPERATIVO DGT</v>
      </c>
      <c r="AC455" s="64" t="str">
        <f>IFERROR(__xludf.DUMMYFUNCTION("""COMPUTED_VALUE"""),"OPERATIVO PMT")</f>
        <v>OPERATIVO PMT</v>
      </c>
      <c r="AD455" s="64" t="str">
        <f>IFERROR(__xludf.DUMMYFUNCTION("""COMPUTED_VALUE"""),"APOYO A DIGEF")</f>
        <v>APOYO A DIGEF</v>
      </c>
      <c r="AE455" s="64" t="str">
        <f>IFERROR(__xludf.DUMMYFUNCTION("""COMPUTED_VALUE"""),"OPERATIVO PNC TRANSITO")</f>
        <v>OPERATIVO PNC TRANSITO</v>
      </c>
      <c r="AF455" s="64" t="str">
        <f>IFERROR(__xludf.DUMMYFUNCTION("""COMPUTED_VALUE"""),"SOBRECARGA ")</f>
        <v>SOBRECARGA </v>
      </c>
      <c r="AG455" s="64" t="str">
        <f>IFERROR(__xludf.DUMMYFUNCTION("""COMPUTED_VALUE"""),"OPERATIVO EN CONJUNTO")</f>
        <v>OPERATIVO EN CONJUNTO</v>
      </c>
      <c r="AH455" s="64" t="str">
        <f>IFERROR(__xludf.DUMMYFUNCTION("""COMPUTED_VALUE"""),"PUESTO DE ATENCION AL USUARIO")</f>
        <v>PUESTO DE ATENCION AL USUARIO</v>
      </c>
      <c r="AI455" s="64" t="str">
        <f>IFERROR(__xludf.DUMMYFUNCTION("""COMPUTED_VALUE"""),"INCENDIO EN RUTA")</f>
        <v>INCENDIO EN RUTA</v>
      </c>
      <c r="AJ455" s="64" t="str">
        <f>IFERROR(__xludf.DUMMYFUNCTION("""COMPUTED_VALUE"""),"APOYO ANTORCHA ")</f>
        <v>APOYO ANTORCHA </v>
      </c>
    </row>
    <row r="456">
      <c r="B456" s="64"/>
      <c r="C456" s="64" t="str">
        <f>IFERROR(__xludf.DUMMYFUNCTION(" TRANSPOSE( unique ( QUERY(DATOPRO,""select Col2 where Col1 = '""&amp;B456&amp;""'"")))"),"")</f>
        <v/>
      </c>
    </row>
    <row r="457">
      <c r="B457" s="64" t="s">
        <v>38</v>
      </c>
      <c r="C457" s="64" t="str">
        <f>IFERROR(__xludf.DUMMYFUNCTION(" TRANSPOSE( unique ( QUERY(DATOPRO,""select Col2 where Col1 = '""&amp;B457&amp;""'"")))"),"ATAQUE ARMADO")</f>
        <v>ATAQUE ARMADO</v>
      </c>
      <c r="D457" s="64" t="str">
        <f>IFERROR(__xludf.DUMMYFUNCTION("""COMPUTED_VALUE"""),"DESBALANCE DE CARGA")</f>
        <v>DESBALANCE DE CARGA</v>
      </c>
      <c r="E457" s="64" t="str">
        <f>IFERROR(__xludf.DUMMYFUNCTION("""COMPUTED_VALUE"""),"PERSONA FALLECIDA")</f>
        <v>PERSONA FALLECIDA</v>
      </c>
      <c r="F457" s="64" t="str">
        <f>IFERROR(__xludf.DUMMYFUNCTION("""COMPUTED_VALUE"""),"DESPRENDIMIENTO DE NEUMATICO")</f>
        <v>DESPRENDIMIENTO DE NEUMATICO</v>
      </c>
      <c r="G457" s="64" t="str">
        <f>IFERROR(__xludf.DUMMYFUNCTION("""COMPUTED_VALUE"""),"SALIDA DE PISTA")</f>
        <v>SALIDA DE PISTA</v>
      </c>
      <c r="H457" s="64" t="str">
        <f>IFERROR(__xludf.DUMMYFUNCTION("""COMPUTED_VALUE"""),"DESPRENDIMIENTO DE CONTENEDOR")</f>
        <v>DESPRENDIMIENTO DE CONTENEDOR</v>
      </c>
      <c r="I457" s="64" t="str">
        <f>IFERROR(__xludf.DUMMYFUNCTION("""COMPUTED_VALUE"""),"CAÍDA DE CARGA")</f>
        <v>CAÍDA DE CARGA</v>
      </c>
      <c r="J457" s="64" t="str">
        <f>IFERROR(__xludf.DUMMYFUNCTION("""COMPUTED_VALUE"""),"CHOQUE")</f>
        <v>CHOQUE</v>
      </c>
      <c r="K457" s="64" t="str">
        <f>IFERROR(__xludf.DUMMYFUNCTION("""COMPUTED_VALUE"""),"COLISIÓN")</f>
        <v>COLISIÓN</v>
      </c>
      <c r="L457" s="64" t="str">
        <f>IFERROR(__xludf.DUMMYFUNCTION("""COMPUTED_VALUE"""),"COLISIÓN MÚLTIPLE")</f>
        <v>COLISIÓN MÚLTIPLE</v>
      </c>
      <c r="M457" s="64" t="str">
        <f>IFERROR(__xludf.DUMMYFUNCTION("""COMPUTED_VALUE"""),"DERRAPE")</f>
        <v>DERRAPE</v>
      </c>
      <c r="N457" s="64" t="str">
        <f>IFERROR(__xludf.DUMMYFUNCTION("""COMPUTED_VALUE"""),"VEHÍCULO INCENDIADO")</f>
        <v>VEHÍCULO INCENDIADO</v>
      </c>
      <c r="O457" s="64" t="str">
        <f>IFERROR(__xludf.DUMMYFUNCTION("""COMPUTED_VALUE"""),"VUELCO")</f>
        <v>VUELCO</v>
      </c>
      <c r="P457" s="64" t="str">
        <f>IFERROR(__xludf.DUMMYFUNCTION("""COMPUTED_VALUE"""),"DESPRENDIMIENTO")</f>
        <v>DESPRENDIMIENTO</v>
      </c>
      <c r="Q457" s="64" t="str">
        <f>IFERROR(__xludf.DUMMYFUNCTION("""COMPUTED_VALUE"""),"CAÍDA DE ÁRBOL")</f>
        <v>CAÍDA DE ÁRBOL</v>
      </c>
      <c r="R457" s="64" t="str">
        <f>IFERROR(__xludf.DUMMYFUNCTION("""COMPUTED_VALUE"""),"DESPRENDIMIENTO DE EJE")</f>
        <v>DESPRENDIMIENTO DE EJE</v>
      </c>
      <c r="S457" s="64" t="str">
        <f>IFERROR(__xludf.DUMMYFUNCTION("""COMPUTED_VALUE"""),"PERSONA ATROPELLADA")</f>
        <v>PERSONA ATROPELLADA</v>
      </c>
    </row>
    <row r="458">
      <c r="B458" s="64" t="s">
        <v>54</v>
      </c>
      <c r="C458" s="64" t="str">
        <f>IFERROR(__xludf.DUMMYFUNCTION(" TRANSPOSE( unique ( QUERY(DATOPRO,""select Col2 where Col1 = '""&amp;B458&amp;""'"")))"),"PINCHAZO")</f>
        <v>PINCHAZO</v>
      </c>
      <c r="D458" s="64" t="str">
        <f>IFERROR(__xludf.DUMMYFUNCTION("""COMPUTED_VALUE"""),"TRABAJOS DE CARRETERA")</f>
        <v>TRABAJOS DE CARRETERA</v>
      </c>
      <c r="E458" s="64" t="str">
        <f>IFERROR(__xludf.DUMMYFUNCTION("""COMPUTED_VALUE"""),"CONSIGNACIÓN")</f>
        <v>CONSIGNACIÓN</v>
      </c>
      <c r="F458" s="64" t="str">
        <f>IFERROR(__xludf.DUMMYFUNCTION("""COMPUTED_VALUE"""),"DERRAME")</f>
        <v>DERRAME</v>
      </c>
      <c r="G458" s="64" t="str">
        <f>IFERROR(__xludf.DUMMYFUNCTION("""COMPUTED_VALUE"""),"CALENTAMIENTO")</f>
        <v>CALENTAMIENTO</v>
      </c>
      <c r="H458" s="64" t="str">
        <f>IFERROR(__xludf.DUMMYFUNCTION("""COMPUTED_VALUE"""),"ESCOLTANDO")</f>
        <v>ESCOLTANDO</v>
      </c>
      <c r="I458" s="64" t="str">
        <f>IFERROR(__xludf.DUMMYFUNCTION("""COMPUTED_VALUE"""),"FALTA DE COMBUSTIBLE")</f>
        <v>FALTA DE COMBUSTIBLE</v>
      </c>
      <c r="J458" s="64" t="str">
        <f>IFERROR(__xludf.DUMMYFUNCTION("""COMPUTED_VALUE"""),"DESPERFECTOS MECÁNICOS")</f>
        <v>DESPERFECTOS MECÁNICOS</v>
      </c>
      <c r="K458" s="64" t="str">
        <f>IFERROR(__xludf.DUMMYFUNCTION("""COMPUTED_VALUE"""),"LLAMADA DE ATENCIÓN")</f>
        <v>LLAMADA DE ATENCIÓN</v>
      </c>
      <c r="L458" s="64" t="str">
        <f>IFERROR(__xludf.DUMMYFUNCTION("""COMPUTED_VALUE"""),"OPERATIVOS")</f>
        <v>OPERATIVOS</v>
      </c>
      <c r="M458" s="64" t="str">
        <f>IFERROR(__xludf.DUMMYFUNCTION("""COMPUTED_VALUE"""),"SANCIÓN")</f>
        <v>SANCIÓN</v>
      </c>
      <c r="N458" s="64" t="str">
        <f>IFERROR(__xludf.DUMMYFUNCTION("""COMPUTED_VALUE"""),"SISTEMA ELECTRICO")</f>
        <v>SISTEMA ELECTRICO</v>
      </c>
      <c r="O458" s="64" t="str">
        <f>IFERROR(__xludf.DUMMYFUNCTION("""COMPUTED_VALUE"""),"ASISTENCIA AL USUARIO")</f>
        <v>ASISTENCIA AL USUARIO</v>
      </c>
      <c r="P458" s="64" t="str">
        <f>IFERROR(__xludf.DUMMYFUNCTION("""COMPUTED_VALUE"""),"DOBLE REMOLQUE")</f>
        <v>DOBLE REMOLQUE</v>
      </c>
      <c r="Q458" s="64" t="str">
        <f>IFERROR(__xludf.DUMMYFUNCTION("""COMPUTED_VALUE"""),"SINAPRESE")</f>
        <v>SINAPRESE</v>
      </c>
      <c r="R458" s="64" t="str">
        <f>IFERROR(__xludf.DUMMYFUNCTION("""COMPUTED_VALUE"""),"APOYO ATLETISMO")</f>
        <v>APOYO ATLETISMO</v>
      </c>
      <c r="S458" s="64" t="str">
        <f>IFERROR(__xludf.DUMMYFUNCTION("""COMPUTED_VALUE"""),"APOYO A CICLISMO")</f>
        <v>APOYO A CICLISMO</v>
      </c>
      <c r="T458" s="64" t="str">
        <f>IFERROR(__xludf.DUMMYFUNCTION("""COMPUTED_VALUE"""),"DESCARGA DE BATERÍA")</f>
        <v>DESCARGA DE BATERÍA</v>
      </c>
      <c r="U458" s="64" t="str">
        <f>IFERROR(__xludf.DUMMYFUNCTION("""COMPUTED_VALUE"""),"PROBLEMAS DE SALUD")</f>
        <v>PROBLEMAS DE SALUD</v>
      </c>
      <c r="V458" s="64" t="str">
        <f>IFERROR(__xludf.DUMMYFUNCTION("""COMPUTED_VALUE"""),"OLVIDO LA LLAVE")</f>
        <v>OLVIDO LA LLAVE</v>
      </c>
      <c r="W458" s="64" t="str">
        <f>IFERROR(__xludf.DUMMYFUNCTION("""COMPUTED_VALUE"""),"CARGA SOBREDIMENSIONADA")</f>
        <v>CARGA SOBREDIMENSIONADA</v>
      </c>
      <c r="X458" s="64" t="str">
        <f>IFERROR(__xludf.DUMMYFUNCTION("""COMPUTED_VALUE"""),"VEHÍCULO ABANDONADO")</f>
        <v>VEHÍCULO ABANDONADO</v>
      </c>
      <c r="Y458" s="64" t="str">
        <f>IFERROR(__xludf.DUMMYFUNCTION("""COMPUTED_VALUE"""),"DESPRENDIMIENTO")</f>
        <v>DESPRENDIMIENTO</v>
      </c>
      <c r="Z458" s="64" t="str">
        <f>IFERROR(__xludf.DUMMYFUNCTION("""COMPUTED_VALUE"""),"CAÍDA DE POSTE")</f>
        <v>CAÍDA DE POSTE</v>
      </c>
      <c r="AA458" s="64" t="str">
        <f>IFERROR(__xludf.DUMMYFUNCTION("""COMPUTED_VALUE"""),"CAÍDA DE RAMA")</f>
        <v>CAÍDA DE RAMA</v>
      </c>
      <c r="AB458" s="64" t="str">
        <f>IFERROR(__xludf.DUMMYFUNCTION("""COMPUTED_VALUE"""),"OPERATIVO DGT")</f>
        <v>OPERATIVO DGT</v>
      </c>
      <c r="AC458" s="64" t="str">
        <f>IFERROR(__xludf.DUMMYFUNCTION("""COMPUTED_VALUE"""),"OPERATIVO PMT")</f>
        <v>OPERATIVO PMT</v>
      </c>
      <c r="AD458" s="64" t="str">
        <f>IFERROR(__xludf.DUMMYFUNCTION("""COMPUTED_VALUE"""),"APOYO A DIGEF")</f>
        <v>APOYO A DIGEF</v>
      </c>
      <c r="AE458" s="64" t="str">
        <f>IFERROR(__xludf.DUMMYFUNCTION("""COMPUTED_VALUE"""),"OPERATIVO PNC TRANSITO")</f>
        <v>OPERATIVO PNC TRANSITO</v>
      </c>
      <c r="AF458" s="64" t="str">
        <f>IFERROR(__xludf.DUMMYFUNCTION("""COMPUTED_VALUE"""),"SOBRECARGA ")</f>
        <v>SOBRECARGA </v>
      </c>
      <c r="AG458" s="64" t="str">
        <f>IFERROR(__xludf.DUMMYFUNCTION("""COMPUTED_VALUE"""),"OPERATIVO EN CONJUNTO")</f>
        <v>OPERATIVO EN CONJUNTO</v>
      </c>
      <c r="AH458" s="64" t="str">
        <f>IFERROR(__xludf.DUMMYFUNCTION("""COMPUTED_VALUE"""),"PUESTO DE ATENCION AL USUARIO")</f>
        <v>PUESTO DE ATENCION AL USUARIO</v>
      </c>
      <c r="AI458" s="64" t="str">
        <f>IFERROR(__xludf.DUMMYFUNCTION("""COMPUTED_VALUE"""),"INCENDIO EN RUTA")</f>
        <v>INCENDIO EN RUTA</v>
      </c>
      <c r="AJ458" s="64" t="str">
        <f>IFERROR(__xludf.DUMMYFUNCTION("""COMPUTED_VALUE"""),"APOYO ANTORCHA ")</f>
        <v>APOYO ANTORCHA </v>
      </c>
    </row>
    <row r="459">
      <c r="B459" s="64" t="s">
        <v>54</v>
      </c>
      <c r="C459" s="64" t="str">
        <f>IFERROR(__xludf.DUMMYFUNCTION(" TRANSPOSE( unique ( QUERY(DATOPRO,""select Col2 where Col1 = '""&amp;B459&amp;""'"")))"),"PINCHAZO")</f>
        <v>PINCHAZO</v>
      </c>
      <c r="D459" s="64" t="str">
        <f>IFERROR(__xludf.DUMMYFUNCTION("""COMPUTED_VALUE"""),"TRABAJOS DE CARRETERA")</f>
        <v>TRABAJOS DE CARRETERA</v>
      </c>
      <c r="E459" s="64" t="str">
        <f>IFERROR(__xludf.DUMMYFUNCTION("""COMPUTED_VALUE"""),"CONSIGNACIÓN")</f>
        <v>CONSIGNACIÓN</v>
      </c>
      <c r="F459" s="64" t="str">
        <f>IFERROR(__xludf.DUMMYFUNCTION("""COMPUTED_VALUE"""),"DERRAME")</f>
        <v>DERRAME</v>
      </c>
      <c r="G459" s="64" t="str">
        <f>IFERROR(__xludf.DUMMYFUNCTION("""COMPUTED_VALUE"""),"CALENTAMIENTO")</f>
        <v>CALENTAMIENTO</v>
      </c>
      <c r="H459" s="64" t="str">
        <f>IFERROR(__xludf.DUMMYFUNCTION("""COMPUTED_VALUE"""),"ESCOLTANDO")</f>
        <v>ESCOLTANDO</v>
      </c>
      <c r="I459" s="64" t="str">
        <f>IFERROR(__xludf.DUMMYFUNCTION("""COMPUTED_VALUE"""),"FALTA DE COMBUSTIBLE")</f>
        <v>FALTA DE COMBUSTIBLE</v>
      </c>
      <c r="J459" s="64" t="str">
        <f>IFERROR(__xludf.DUMMYFUNCTION("""COMPUTED_VALUE"""),"DESPERFECTOS MECÁNICOS")</f>
        <v>DESPERFECTOS MECÁNICOS</v>
      </c>
      <c r="K459" s="64" t="str">
        <f>IFERROR(__xludf.DUMMYFUNCTION("""COMPUTED_VALUE"""),"LLAMADA DE ATENCIÓN")</f>
        <v>LLAMADA DE ATENCIÓN</v>
      </c>
      <c r="L459" s="64" t="str">
        <f>IFERROR(__xludf.DUMMYFUNCTION("""COMPUTED_VALUE"""),"OPERATIVOS")</f>
        <v>OPERATIVOS</v>
      </c>
      <c r="M459" s="64" t="str">
        <f>IFERROR(__xludf.DUMMYFUNCTION("""COMPUTED_VALUE"""),"SANCIÓN")</f>
        <v>SANCIÓN</v>
      </c>
      <c r="N459" s="64" t="str">
        <f>IFERROR(__xludf.DUMMYFUNCTION("""COMPUTED_VALUE"""),"SISTEMA ELECTRICO")</f>
        <v>SISTEMA ELECTRICO</v>
      </c>
      <c r="O459" s="64" t="str">
        <f>IFERROR(__xludf.DUMMYFUNCTION("""COMPUTED_VALUE"""),"ASISTENCIA AL USUARIO")</f>
        <v>ASISTENCIA AL USUARIO</v>
      </c>
      <c r="P459" s="64" t="str">
        <f>IFERROR(__xludf.DUMMYFUNCTION("""COMPUTED_VALUE"""),"DOBLE REMOLQUE")</f>
        <v>DOBLE REMOLQUE</v>
      </c>
      <c r="Q459" s="64" t="str">
        <f>IFERROR(__xludf.DUMMYFUNCTION("""COMPUTED_VALUE"""),"SINAPRESE")</f>
        <v>SINAPRESE</v>
      </c>
      <c r="R459" s="64" t="str">
        <f>IFERROR(__xludf.DUMMYFUNCTION("""COMPUTED_VALUE"""),"APOYO ATLETISMO")</f>
        <v>APOYO ATLETISMO</v>
      </c>
      <c r="S459" s="64" t="str">
        <f>IFERROR(__xludf.DUMMYFUNCTION("""COMPUTED_VALUE"""),"APOYO A CICLISMO")</f>
        <v>APOYO A CICLISMO</v>
      </c>
      <c r="T459" s="64" t="str">
        <f>IFERROR(__xludf.DUMMYFUNCTION("""COMPUTED_VALUE"""),"DESCARGA DE BATERÍA")</f>
        <v>DESCARGA DE BATERÍA</v>
      </c>
      <c r="U459" s="64" t="str">
        <f>IFERROR(__xludf.DUMMYFUNCTION("""COMPUTED_VALUE"""),"PROBLEMAS DE SALUD")</f>
        <v>PROBLEMAS DE SALUD</v>
      </c>
      <c r="V459" s="64" t="str">
        <f>IFERROR(__xludf.DUMMYFUNCTION("""COMPUTED_VALUE"""),"OLVIDO LA LLAVE")</f>
        <v>OLVIDO LA LLAVE</v>
      </c>
      <c r="W459" s="64" t="str">
        <f>IFERROR(__xludf.DUMMYFUNCTION("""COMPUTED_VALUE"""),"CARGA SOBREDIMENSIONADA")</f>
        <v>CARGA SOBREDIMENSIONADA</v>
      </c>
      <c r="X459" s="64" t="str">
        <f>IFERROR(__xludf.DUMMYFUNCTION("""COMPUTED_VALUE"""),"VEHÍCULO ABANDONADO")</f>
        <v>VEHÍCULO ABANDONADO</v>
      </c>
      <c r="Y459" s="64" t="str">
        <f>IFERROR(__xludf.DUMMYFUNCTION("""COMPUTED_VALUE"""),"DESPRENDIMIENTO")</f>
        <v>DESPRENDIMIENTO</v>
      </c>
      <c r="Z459" s="64" t="str">
        <f>IFERROR(__xludf.DUMMYFUNCTION("""COMPUTED_VALUE"""),"CAÍDA DE POSTE")</f>
        <v>CAÍDA DE POSTE</v>
      </c>
      <c r="AA459" s="64" t="str">
        <f>IFERROR(__xludf.DUMMYFUNCTION("""COMPUTED_VALUE"""),"CAÍDA DE RAMA")</f>
        <v>CAÍDA DE RAMA</v>
      </c>
      <c r="AB459" s="64" t="str">
        <f>IFERROR(__xludf.DUMMYFUNCTION("""COMPUTED_VALUE"""),"OPERATIVO DGT")</f>
        <v>OPERATIVO DGT</v>
      </c>
      <c r="AC459" s="64" t="str">
        <f>IFERROR(__xludf.DUMMYFUNCTION("""COMPUTED_VALUE"""),"OPERATIVO PMT")</f>
        <v>OPERATIVO PMT</v>
      </c>
      <c r="AD459" s="64" t="str">
        <f>IFERROR(__xludf.DUMMYFUNCTION("""COMPUTED_VALUE"""),"APOYO A DIGEF")</f>
        <v>APOYO A DIGEF</v>
      </c>
      <c r="AE459" s="64" t="str">
        <f>IFERROR(__xludf.DUMMYFUNCTION("""COMPUTED_VALUE"""),"OPERATIVO PNC TRANSITO")</f>
        <v>OPERATIVO PNC TRANSITO</v>
      </c>
      <c r="AF459" s="64" t="str">
        <f>IFERROR(__xludf.DUMMYFUNCTION("""COMPUTED_VALUE"""),"SOBRECARGA ")</f>
        <v>SOBRECARGA </v>
      </c>
      <c r="AG459" s="64" t="str">
        <f>IFERROR(__xludf.DUMMYFUNCTION("""COMPUTED_VALUE"""),"OPERATIVO EN CONJUNTO")</f>
        <v>OPERATIVO EN CONJUNTO</v>
      </c>
      <c r="AH459" s="64" t="str">
        <f>IFERROR(__xludf.DUMMYFUNCTION("""COMPUTED_VALUE"""),"PUESTO DE ATENCION AL USUARIO")</f>
        <v>PUESTO DE ATENCION AL USUARIO</v>
      </c>
      <c r="AI459" s="64" t="str">
        <f>IFERROR(__xludf.DUMMYFUNCTION("""COMPUTED_VALUE"""),"INCENDIO EN RUTA")</f>
        <v>INCENDIO EN RUTA</v>
      </c>
      <c r="AJ459" s="64" t="str">
        <f>IFERROR(__xludf.DUMMYFUNCTION("""COMPUTED_VALUE"""),"APOYO ANTORCHA ")</f>
        <v>APOYO ANTORCHA </v>
      </c>
    </row>
    <row r="460">
      <c r="B460" s="64" t="s">
        <v>54</v>
      </c>
      <c r="C460" s="64" t="str">
        <f>IFERROR(__xludf.DUMMYFUNCTION(" TRANSPOSE( unique ( QUERY(DATOPRO,""select Col2 where Col1 = '""&amp;B460&amp;""'"")))"),"PINCHAZO")</f>
        <v>PINCHAZO</v>
      </c>
      <c r="D460" s="64" t="str">
        <f>IFERROR(__xludf.DUMMYFUNCTION("""COMPUTED_VALUE"""),"TRABAJOS DE CARRETERA")</f>
        <v>TRABAJOS DE CARRETERA</v>
      </c>
      <c r="E460" s="64" t="str">
        <f>IFERROR(__xludf.DUMMYFUNCTION("""COMPUTED_VALUE"""),"CONSIGNACIÓN")</f>
        <v>CONSIGNACIÓN</v>
      </c>
      <c r="F460" s="64" t="str">
        <f>IFERROR(__xludf.DUMMYFUNCTION("""COMPUTED_VALUE"""),"DERRAME")</f>
        <v>DERRAME</v>
      </c>
      <c r="G460" s="64" t="str">
        <f>IFERROR(__xludf.DUMMYFUNCTION("""COMPUTED_VALUE"""),"CALENTAMIENTO")</f>
        <v>CALENTAMIENTO</v>
      </c>
      <c r="H460" s="64" t="str">
        <f>IFERROR(__xludf.DUMMYFUNCTION("""COMPUTED_VALUE"""),"ESCOLTANDO")</f>
        <v>ESCOLTANDO</v>
      </c>
      <c r="I460" s="64" t="str">
        <f>IFERROR(__xludf.DUMMYFUNCTION("""COMPUTED_VALUE"""),"FALTA DE COMBUSTIBLE")</f>
        <v>FALTA DE COMBUSTIBLE</v>
      </c>
      <c r="J460" s="64" t="str">
        <f>IFERROR(__xludf.DUMMYFUNCTION("""COMPUTED_VALUE"""),"DESPERFECTOS MECÁNICOS")</f>
        <v>DESPERFECTOS MECÁNICOS</v>
      </c>
      <c r="K460" s="64" t="str">
        <f>IFERROR(__xludf.DUMMYFUNCTION("""COMPUTED_VALUE"""),"LLAMADA DE ATENCIÓN")</f>
        <v>LLAMADA DE ATENCIÓN</v>
      </c>
      <c r="L460" s="64" t="str">
        <f>IFERROR(__xludf.DUMMYFUNCTION("""COMPUTED_VALUE"""),"OPERATIVOS")</f>
        <v>OPERATIVOS</v>
      </c>
      <c r="M460" s="64" t="str">
        <f>IFERROR(__xludf.DUMMYFUNCTION("""COMPUTED_VALUE"""),"SANCIÓN")</f>
        <v>SANCIÓN</v>
      </c>
      <c r="N460" s="64" t="str">
        <f>IFERROR(__xludf.DUMMYFUNCTION("""COMPUTED_VALUE"""),"SISTEMA ELECTRICO")</f>
        <v>SISTEMA ELECTRICO</v>
      </c>
      <c r="O460" s="64" t="str">
        <f>IFERROR(__xludf.DUMMYFUNCTION("""COMPUTED_VALUE"""),"ASISTENCIA AL USUARIO")</f>
        <v>ASISTENCIA AL USUARIO</v>
      </c>
      <c r="P460" s="64" t="str">
        <f>IFERROR(__xludf.DUMMYFUNCTION("""COMPUTED_VALUE"""),"DOBLE REMOLQUE")</f>
        <v>DOBLE REMOLQUE</v>
      </c>
      <c r="Q460" s="64" t="str">
        <f>IFERROR(__xludf.DUMMYFUNCTION("""COMPUTED_VALUE"""),"SINAPRESE")</f>
        <v>SINAPRESE</v>
      </c>
      <c r="R460" s="64" t="str">
        <f>IFERROR(__xludf.DUMMYFUNCTION("""COMPUTED_VALUE"""),"APOYO ATLETISMO")</f>
        <v>APOYO ATLETISMO</v>
      </c>
      <c r="S460" s="64" t="str">
        <f>IFERROR(__xludf.DUMMYFUNCTION("""COMPUTED_VALUE"""),"APOYO A CICLISMO")</f>
        <v>APOYO A CICLISMO</v>
      </c>
      <c r="T460" s="64" t="str">
        <f>IFERROR(__xludf.DUMMYFUNCTION("""COMPUTED_VALUE"""),"DESCARGA DE BATERÍA")</f>
        <v>DESCARGA DE BATERÍA</v>
      </c>
      <c r="U460" s="64" t="str">
        <f>IFERROR(__xludf.DUMMYFUNCTION("""COMPUTED_VALUE"""),"PROBLEMAS DE SALUD")</f>
        <v>PROBLEMAS DE SALUD</v>
      </c>
      <c r="V460" s="64" t="str">
        <f>IFERROR(__xludf.DUMMYFUNCTION("""COMPUTED_VALUE"""),"OLVIDO LA LLAVE")</f>
        <v>OLVIDO LA LLAVE</v>
      </c>
      <c r="W460" s="64" t="str">
        <f>IFERROR(__xludf.DUMMYFUNCTION("""COMPUTED_VALUE"""),"CARGA SOBREDIMENSIONADA")</f>
        <v>CARGA SOBREDIMENSIONADA</v>
      </c>
      <c r="X460" s="64" t="str">
        <f>IFERROR(__xludf.DUMMYFUNCTION("""COMPUTED_VALUE"""),"VEHÍCULO ABANDONADO")</f>
        <v>VEHÍCULO ABANDONADO</v>
      </c>
      <c r="Y460" s="64" t="str">
        <f>IFERROR(__xludf.DUMMYFUNCTION("""COMPUTED_VALUE"""),"DESPRENDIMIENTO")</f>
        <v>DESPRENDIMIENTO</v>
      </c>
      <c r="Z460" s="64" t="str">
        <f>IFERROR(__xludf.DUMMYFUNCTION("""COMPUTED_VALUE"""),"CAÍDA DE POSTE")</f>
        <v>CAÍDA DE POSTE</v>
      </c>
      <c r="AA460" s="64" t="str">
        <f>IFERROR(__xludf.DUMMYFUNCTION("""COMPUTED_VALUE"""),"CAÍDA DE RAMA")</f>
        <v>CAÍDA DE RAMA</v>
      </c>
      <c r="AB460" s="64" t="str">
        <f>IFERROR(__xludf.DUMMYFUNCTION("""COMPUTED_VALUE"""),"OPERATIVO DGT")</f>
        <v>OPERATIVO DGT</v>
      </c>
      <c r="AC460" s="64" t="str">
        <f>IFERROR(__xludf.DUMMYFUNCTION("""COMPUTED_VALUE"""),"OPERATIVO PMT")</f>
        <v>OPERATIVO PMT</v>
      </c>
      <c r="AD460" s="64" t="str">
        <f>IFERROR(__xludf.DUMMYFUNCTION("""COMPUTED_VALUE"""),"APOYO A DIGEF")</f>
        <v>APOYO A DIGEF</v>
      </c>
      <c r="AE460" s="64" t="str">
        <f>IFERROR(__xludf.DUMMYFUNCTION("""COMPUTED_VALUE"""),"OPERATIVO PNC TRANSITO")</f>
        <v>OPERATIVO PNC TRANSITO</v>
      </c>
      <c r="AF460" s="64" t="str">
        <f>IFERROR(__xludf.DUMMYFUNCTION("""COMPUTED_VALUE"""),"SOBRECARGA ")</f>
        <v>SOBRECARGA </v>
      </c>
      <c r="AG460" s="64" t="str">
        <f>IFERROR(__xludf.DUMMYFUNCTION("""COMPUTED_VALUE"""),"OPERATIVO EN CONJUNTO")</f>
        <v>OPERATIVO EN CONJUNTO</v>
      </c>
      <c r="AH460" s="64" t="str">
        <f>IFERROR(__xludf.DUMMYFUNCTION("""COMPUTED_VALUE"""),"PUESTO DE ATENCION AL USUARIO")</f>
        <v>PUESTO DE ATENCION AL USUARIO</v>
      </c>
      <c r="AI460" s="64" t="str">
        <f>IFERROR(__xludf.DUMMYFUNCTION("""COMPUTED_VALUE"""),"INCENDIO EN RUTA")</f>
        <v>INCENDIO EN RUTA</v>
      </c>
      <c r="AJ460" s="64" t="str">
        <f>IFERROR(__xludf.DUMMYFUNCTION("""COMPUTED_VALUE"""),"APOYO ANTORCHA ")</f>
        <v>APOYO ANTORCHA </v>
      </c>
    </row>
    <row r="461">
      <c r="B461" s="64" t="s">
        <v>54</v>
      </c>
      <c r="C461" s="64" t="str">
        <f>IFERROR(__xludf.DUMMYFUNCTION(" TRANSPOSE( unique ( QUERY(DATOPRO,""select Col2 where Col1 = '""&amp;B461&amp;""'"")))"),"PINCHAZO")</f>
        <v>PINCHAZO</v>
      </c>
      <c r="D461" s="64" t="str">
        <f>IFERROR(__xludf.DUMMYFUNCTION("""COMPUTED_VALUE"""),"TRABAJOS DE CARRETERA")</f>
        <v>TRABAJOS DE CARRETERA</v>
      </c>
      <c r="E461" s="64" t="str">
        <f>IFERROR(__xludf.DUMMYFUNCTION("""COMPUTED_VALUE"""),"CONSIGNACIÓN")</f>
        <v>CONSIGNACIÓN</v>
      </c>
      <c r="F461" s="64" t="str">
        <f>IFERROR(__xludf.DUMMYFUNCTION("""COMPUTED_VALUE"""),"DERRAME")</f>
        <v>DERRAME</v>
      </c>
      <c r="G461" s="64" t="str">
        <f>IFERROR(__xludf.DUMMYFUNCTION("""COMPUTED_VALUE"""),"CALENTAMIENTO")</f>
        <v>CALENTAMIENTO</v>
      </c>
      <c r="H461" s="64" t="str">
        <f>IFERROR(__xludf.DUMMYFUNCTION("""COMPUTED_VALUE"""),"ESCOLTANDO")</f>
        <v>ESCOLTANDO</v>
      </c>
      <c r="I461" s="64" t="str">
        <f>IFERROR(__xludf.DUMMYFUNCTION("""COMPUTED_VALUE"""),"FALTA DE COMBUSTIBLE")</f>
        <v>FALTA DE COMBUSTIBLE</v>
      </c>
      <c r="J461" s="64" t="str">
        <f>IFERROR(__xludf.DUMMYFUNCTION("""COMPUTED_VALUE"""),"DESPERFECTOS MECÁNICOS")</f>
        <v>DESPERFECTOS MECÁNICOS</v>
      </c>
      <c r="K461" s="64" t="str">
        <f>IFERROR(__xludf.DUMMYFUNCTION("""COMPUTED_VALUE"""),"LLAMADA DE ATENCIÓN")</f>
        <v>LLAMADA DE ATENCIÓN</v>
      </c>
      <c r="L461" s="64" t="str">
        <f>IFERROR(__xludf.DUMMYFUNCTION("""COMPUTED_VALUE"""),"OPERATIVOS")</f>
        <v>OPERATIVOS</v>
      </c>
      <c r="M461" s="64" t="str">
        <f>IFERROR(__xludf.DUMMYFUNCTION("""COMPUTED_VALUE"""),"SANCIÓN")</f>
        <v>SANCIÓN</v>
      </c>
      <c r="N461" s="64" t="str">
        <f>IFERROR(__xludf.DUMMYFUNCTION("""COMPUTED_VALUE"""),"SISTEMA ELECTRICO")</f>
        <v>SISTEMA ELECTRICO</v>
      </c>
      <c r="O461" s="64" t="str">
        <f>IFERROR(__xludf.DUMMYFUNCTION("""COMPUTED_VALUE"""),"ASISTENCIA AL USUARIO")</f>
        <v>ASISTENCIA AL USUARIO</v>
      </c>
      <c r="P461" s="64" t="str">
        <f>IFERROR(__xludf.DUMMYFUNCTION("""COMPUTED_VALUE"""),"DOBLE REMOLQUE")</f>
        <v>DOBLE REMOLQUE</v>
      </c>
      <c r="Q461" s="64" t="str">
        <f>IFERROR(__xludf.DUMMYFUNCTION("""COMPUTED_VALUE"""),"SINAPRESE")</f>
        <v>SINAPRESE</v>
      </c>
      <c r="R461" s="64" t="str">
        <f>IFERROR(__xludf.DUMMYFUNCTION("""COMPUTED_VALUE"""),"APOYO ATLETISMO")</f>
        <v>APOYO ATLETISMO</v>
      </c>
      <c r="S461" s="64" t="str">
        <f>IFERROR(__xludf.DUMMYFUNCTION("""COMPUTED_VALUE"""),"APOYO A CICLISMO")</f>
        <v>APOYO A CICLISMO</v>
      </c>
      <c r="T461" s="64" t="str">
        <f>IFERROR(__xludf.DUMMYFUNCTION("""COMPUTED_VALUE"""),"DESCARGA DE BATERÍA")</f>
        <v>DESCARGA DE BATERÍA</v>
      </c>
      <c r="U461" s="64" t="str">
        <f>IFERROR(__xludf.DUMMYFUNCTION("""COMPUTED_VALUE"""),"PROBLEMAS DE SALUD")</f>
        <v>PROBLEMAS DE SALUD</v>
      </c>
      <c r="V461" s="64" t="str">
        <f>IFERROR(__xludf.DUMMYFUNCTION("""COMPUTED_VALUE"""),"OLVIDO LA LLAVE")</f>
        <v>OLVIDO LA LLAVE</v>
      </c>
      <c r="W461" s="64" t="str">
        <f>IFERROR(__xludf.DUMMYFUNCTION("""COMPUTED_VALUE"""),"CARGA SOBREDIMENSIONADA")</f>
        <v>CARGA SOBREDIMENSIONADA</v>
      </c>
      <c r="X461" s="64" t="str">
        <f>IFERROR(__xludf.DUMMYFUNCTION("""COMPUTED_VALUE"""),"VEHÍCULO ABANDONADO")</f>
        <v>VEHÍCULO ABANDONADO</v>
      </c>
      <c r="Y461" s="64" t="str">
        <f>IFERROR(__xludf.DUMMYFUNCTION("""COMPUTED_VALUE"""),"DESPRENDIMIENTO")</f>
        <v>DESPRENDIMIENTO</v>
      </c>
      <c r="Z461" s="64" t="str">
        <f>IFERROR(__xludf.DUMMYFUNCTION("""COMPUTED_VALUE"""),"CAÍDA DE POSTE")</f>
        <v>CAÍDA DE POSTE</v>
      </c>
      <c r="AA461" s="64" t="str">
        <f>IFERROR(__xludf.DUMMYFUNCTION("""COMPUTED_VALUE"""),"CAÍDA DE RAMA")</f>
        <v>CAÍDA DE RAMA</v>
      </c>
      <c r="AB461" s="64" t="str">
        <f>IFERROR(__xludf.DUMMYFUNCTION("""COMPUTED_VALUE"""),"OPERATIVO DGT")</f>
        <v>OPERATIVO DGT</v>
      </c>
      <c r="AC461" s="64" t="str">
        <f>IFERROR(__xludf.DUMMYFUNCTION("""COMPUTED_VALUE"""),"OPERATIVO PMT")</f>
        <v>OPERATIVO PMT</v>
      </c>
      <c r="AD461" s="64" t="str">
        <f>IFERROR(__xludf.DUMMYFUNCTION("""COMPUTED_VALUE"""),"APOYO A DIGEF")</f>
        <v>APOYO A DIGEF</v>
      </c>
      <c r="AE461" s="64" t="str">
        <f>IFERROR(__xludf.DUMMYFUNCTION("""COMPUTED_VALUE"""),"OPERATIVO PNC TRANSITO")</f>
        <v>OPERATIVO PNC TRANSITO</v>
      </c>
      <c r="AF461" s="64" t="str">
        <f>IFERROR(__xludf.DUMMYFUNCTION("""COMPUTED_VALUE"""),"SOBRECARGA ")</f>
        <v>SOBRECARGA </v>
      </c>
      <c r="AG461" s="64" t="str">
        <f>IFERROR(__xludf.DUMMYFUNCTION("""COMPUTED_VALUE"""),"OPERATIVO EN CONJUNTO")</f>
        <v>OPERATIVO EN CONJUNTO</v>
      </c>
      <c r="AH461" s="64" t="str">
        <f>IFERROR(__xludf.DUMMYFUNCTION("""COMPUTED_VALUE"""),"PUESTO DE ATENCION AL USUARIO")</f>
        <v>PUESTO DE ATENCION AL USUARIO</v>
      </c>
      <c r="AI461" s="64" t="str">
        <f>IFERROR(__xludf.DUMMYFUNCTION("""COMPUTED_VALUE"""),"INCENDIO EN RUTA")</f>
        <v>INCENDIO EN RUTA</v>
      </c>
      <c r="AJ461" s="64" t="str">
        <f>IFERROR(__xludf.DUMMYFUNCTION("""COMPUTED_VALUE"""),"APOYO ANTORCHA ")</f>
        <v>APOYO ANTORCHA </v>
      </c>
    </row>
    <row r="462">
      <c r="B462" s="64" t="s">
        <v>54</v>
      </c>
      <c r="C462" s="64" t="str">
        <f>IFERROR(__xludf.DUMMYFUNCTION(" TRANSPOSE( unique ( QUERY(DATOPRO,""select Col2 where Col1 = '""&amp;B462&amp;""'"")))"),"PINCHAZO")</f>
        <v>PINCHAZO</v>
      </c>
      <c r="D462" s="64" t="str">
        <f>IFERROR(__xludf.DUMMYFUNCTION("""COMPUTED_VALUE"""),"TRABAJOS DE CARRETERA")</f>
        <v>TRABAJOS DE CARRETERA</v>
      </c>
      <c r="E462" s="64" t="str">
        <f>IFERROR(__xludf.DUMMYFUNCTION("""COMPUTED_VALUE"""),"CONSIGNACIÓN")</f>
        <v>CONSIGNACIÓN</v>
      </c>
      <c r="F462" s="64" t="str">
        <f>IFERROR(__xludf.DUMMYFUNCTION("""COMPUTED_VALUE"""),"DERRAME")</f>
        <v>DERRAME</v>
      </c>
      <c r="G462" s="64" t="str">
        <f>IFERROR(__xludf.DUMMYFUNCTION("""COMPUTED_VALUE"""),"CALENTAMIENTO")</f>
        <v>CALENTAMIENTO</v>
      </c>
      <c r="H462" s="64" t="str">
        <f>IFERROR(__xludf.DUMMYFUNCTION("""COMPUTED_VALUE"""),"ESCOLTANDO")</f>
        <v>ESCOLTANDO</v>
      </c>
      <c r="I462" s="64" t="str">
        <f>IFERROR(__xludf.DUMMYFUNCTION("""COMPUTED_VALUE"""),"FALTA DE COMBUSTIBLE")</f>
        <v>FALTA DE COMBUSTIBLE</v>
      </c>
      <c r="J462" s="64" t="str">
        <f>IFERROR(__xludf.DUMMYFUNCTION("""COMPUTED_VALUE"""),"DESPERFECTOS MECÁNICOS")</f>
        <v>DESPERFECTOS MECÁNICOS</v>
      </c>
      <c r="K462" s="64" t="str">
        <f>IFERROR(__xludf.DUMMYFUNCTION("""COMPUTED_VALUE"""),"LLAMADA DE ATENCIÓN")</f>
        <v>LLAMADA DE ATENCIÓN</v>
      </c>
      <c r="L462" s="64" t="str">
        <f>IFERROR(__xludf.DUMMYFUNCTION("""COMPUTED_VALUE"""),"OPERATIVOS")</f>
        <v>OPERATIVOS</v>
      </c>
      <c r="M462" s="64" t="str">
        <f>IFERROR(__xludf.DUMMYFUNCTION("""COMPUTED_VALUE"""),"SANCIÓN")</f>
        <v>SANCIÓN</v>
      </c>
      <c r="N462" s="64" t="str">
        <f>IFERROR(__xludf.DUMMYFUNCTION("""COMPUTED_VALUE"""),"SISTEMA ELECTRICO")</f>
        <v>SISTEMA ELECTRICO</v>
      </c>
      <c r="O462" s="64" t="str">
        <f>IFERROR(__xludf.DUMMYFUNCTION("""COMPUTED_VALUE"""),"ASISTENCIA AL USUARIO")</f>
        <v>ASISTENCIA AL USUARIO</v>
      </c>
      <c r="P462" s="64" t="str">
        <f>IFERROR(__xludf.DUMMYFUNCTION("""COMPUTED_VALUE"""),"DOBLE REMOLQUE")</f>
        <v>DOBLE REMOLQUE</v>
      </c>
      <c r="Q462" s="64" t="str">
        <f>IFERROR(__xludf.DUMMYFUNCTION("""COMPUTED_VALUE"""),"SINAPRESE")</f>
        <v>SINAPRESE</v>
      </c>
      <c r="R462" s="64" t="str">
        <f>IFERROR(__xludf.DUMMYFUNCTION("""COMPUTED_VALUE"""),"APOYO ATLETISMO")</f>
        <v>APOYO ATLETISMO</v>
      </c>
      <c r="S462" s="64" t="str">
        <f>IFERROR(__xludf.DUMMYFUNCTION("""COMPUTED_VALUE"""),"APOYO A CICLISMO")</f>
        <v>APOYO A CICLISMO</v>
      </c>
      <c r="T462" s="64" t="str">
        <f>IFERROR(__xludf.DUMMYFUNCTION("""COMPUTED_VALUE"""),"DESCARGA DE BATERÍA")</f>
        <v>DESCARGA DE BATERÍA</v>
      </c>
      <c r="U462" s="64" t="str">
        <f>IFERROR(__xludf.DUMMYFUNCTION("""COMPUTED_VALUE"""),"PROBLEMAS DE SALUD")</f>
        <v>PROBLEMAS DE SALUD</v>
      </c>
      <c r="V462" s="64" t="str">
        <f>IFERROR(__xludf.DUMMYFUNCTION("""COMPUTED_VALUE"""),"OLVIDO LA LLAVE")</f>
        <v>OLVIDO LA LLAVE</v>
      </c>
      <c r="W462" s="64" t="str">
        <f>IFERROR(__xludf.DUMMYFUNCTION("""COMPUTED_VALUE"""),"CARGA SOBREDIMENSIONADA")</f>
        <v>CARGA SOBREDIMENSIONADA</v>
      </c>
      <c r="X462" s="64" t="str">
        <f>IFERROR(__xludf.DUMMYFUNCTION("""COMPUTED_VALUE"""),"VEHÍCULO ABANDONADO")</f>
        <v>VEHÍCULO ABANDONADO</v>
      </c>
      <c r="Y462" s="64" t="str">
        <f>IFERROR(__xludf.DUMMYFUNCTION("""COMPUTED_VALUE"""),"DESPRENDIMIENTO")</f>
        <v>DESPRENDIMIENTO</v>
      </c>
      <c r="Z462" s="64" t="str">
        <f>IFERROR(__xludf.DUMMYFUNCTION("""COMPUTED_VALUE"""),"CAÍDA DE POSTE")</f>
        <v>CAÍDA DE POSTE</v>
      </c>
      <c r="AA462" s="64" t="str">
        <f>IFERROR(__xludf.DUMMYFUNCTION("""COMPUTED_VALUE"""),"CAÍDA DE RAMA")</f>
        <v>CAÍDA DE RAMA</v>
      </c>
      <c r="AB462" s="64" t="str">
        <f>IFERROR(__xludf.DUMMYFUNCTION("""COMPUTED_VALUE"""),"OPERATIVO DGT")</f>
        <v>OPERATIVO DGT</v>
      </c>
      <c r="AC462" s="64" t="str">
        <f>IFERROR(__xludf.DUMMYFUNCTION("""COMPUTED_VALUE"""),"OPERATIVO PMT")</f>
        <v>OPERATIVO PMT</v>
      </c>
      <c r="AD462" s="64" t="str">
        <f>IFERROR(__xludf.DUMMYFUNCTION("""COMPUTED_VALUE"""),"APOYO A DIGEF")</f>
        <v>APOYO A DIGEF</v>
      </c>
      <c r="AE462" s="64" t="str">
        <f>IFERROR(__xludf.DUMMYFUNCTION("""COMPUTED_VALUE"""),"OPERATIVO PNC TRANSITO")</f>
        <v>OPERATIVO PNC TRANSITO</v>
      </c>
      <c r="AF462" s="64" t="str">
        <f>IFERROR(__xludf.DUMMYFUNCTION("""COMPUTED_VALUE"""),"SOBRECARGA ")</f>
        <v>SOBRECARGA </v>
      </c>
      <c r="AG462" s="64" t="str">
        <f>IFERROR(__xludf.DUMMYFUNCTION("""COMPUTED_VALUE"""),"OPERATIVO EN CONJUNTO")</f>
        <v>OPERATIVO EN CONJUNTO</v>
      </c>
      <c r="AH462" s="64" t="str">
        <f>IFERROR(__xludf.DUMMYFUNCTION("""COMPUTED_VALUE"""),"PUESTO DE ATENCION AL USUARIO")</f>
        <v>PUESTO DE ATENCION AL USUARIO</v>
      </c>
      <c r="AI462" s="64" t="str">
        <f>IFERROR(__xludf.DUMMYFUNCTION("""COMPUTED_VALUE"""),"INCENDIO EN RUTA")</f>
        <v>INCENDIO EN RUTA</v>
      </c>
      <c r="AJ462" s="64" t="str">
        <f>IFERROR(__xludf.DUMMYFUNCTION("""COMPUTED_VALUE"""),"APOYO ANTORCHA ")</f>
        <v>APOYO ANTORCHA </v>
      </c>
    </row>
    <row r="463">
      <c r="B463" s="64" t="s">
        <v>54</v>
      </c>
      <c r="C463" s="64" t="str">
        <f>IFERROR(__xludf.DUMMYFUNCTION(" TRANSPOSE( unique ( QUERY(DATOPRO,""select Col2 where Col1 = '""&amp;B463&amp;""'"")))"),"PINCHAZO")</f>
        <v>PINCHAZO</v>
      </c>
      <c r="D463" s="64" t="str">
        <f>IFERROR(__xludf.DUMMYFUNCTION("""COMPUTED_VALUE"""),"TRABAJOS DE CARRETERA")</f>
        <v>TRABAJOS DE CARRETERA</v>
      </c>
      <c r="E463" s="64" t="str">
        <f>IFERROR(__xludf.DUMMYFUNCTION("""COMPUTED_VALUE"""),"CONSIGNACIÓN")</f>
        <v>CONSIGNACIÓN</v>
      </c>
      <c r="F463" s="64" t="str">
        <f>IFERROR(__xludf.DUMMYFUNCTION("""COMPUTED_VALUE"""),"DERRAME")</f>
        <v>DERRAME</v>
      </c>
      <c r="G463" s="64" t="str">
        <f>IFERROR(__xludf.DUMMYFUNCTION("""COMPUTED_VALUE"""),"CALENTAMIENTO")</f>
        <v>CALENTAMIENTO</v>
      </c>
      <c r="H463" s="64" t="str">
        <f>IFERROR(__xludf.DUMMYFUNCTION("""COMPUTED_VALUE"""),"ESCOLTANDO")</f>
        <v>ESCOLTANDO</v>
      </c>
      <c r="I463" s="64" t="str">
        <f>IFERROR(__xludf.DUMMYFUNCTION("""COMPUTED_VALUE"""),"FALTA DE COMBUSTIBLE")</f>
        <v>FALTA DE COMBUSTIBLE</v>
      </c>
      <c r="J463" s="64" t="str">
        <f>IFERROR(__xludf.DUMMYFUNCTION("""COMPUTED_VALUE"""),"DESPERFECTOS MECÁNICOS")</f>
        <v>DESPERFECTOS MECÁNICOS</v>
      </c>
      <c r="K463" s="64" t="str">
        <f>IFERROR(__xludf.DUMMYFUNCTION("""COMPUTED_VALUE"""),"LLAMADA DE ATENCIÓN")</f>
        <v>LLAMADA DE ATENCIÓN</v>
      </c>
      <c r="L463" s="64" t="str">
        <f>IFERROR(__xludf.DUMMYFUNCTION("""COMPUTED_VALUE"""),"OPERATIVOS")</f>
        <v>OPERATIVOS</v>
      </c>
      <c r="M463" s="64" t="str">
        <f>IFERROR(__xludf.DUMMYFUNCTION("""COMPUTED_VALUE"""),"SANCIÓN")</f>
        <v>SANCIÓN</v>
      </c>
      <c r="N463" s="64" t="str">
        <f>IFERROR(__xludf.DUMMYFUNCTION("""COMPUTED_VALUE"""),"SISTEMA ELECTRICO")</f>
        <v>SISTEMA ELECTRICO</v>
      </c>
      <c r="O463" s="64" t="str">
        <f>IFERROR(__xludf.DUMMYFUNCTION("""COMPUTED_VALUE"""),"ASISTENCIA AL USUARIO")</f>
        <v>ASISTENCIA AL USUARIO</v>
      </c>
      <c r="P463" s="64" t="str">
        <f>IFERROR(__xludf.DUMMYFUNCTION("""COMPUTED_VALUE"""),"DOBLE REMOLQUE")</f>
        <v>DOBLE REMOLQUE</v>
      </c>
      <c r="Q463" s="64" t="str">
        <f>IFERROR(__xludf.DUMMYFUNCTION("""COMPUTED_VALUE"""),"SINAPRESE")</f>
        <v>SINAPRESE</v>
      </c>
      <c r="R463" s="64" t="str">
        <f>IFERROR(__xludf.DUMMYFUNCTION("""COMPUTED_VALUE"""),"APOYO ATLETISMO")</f>
        <v>APOYO ATLETISMO</v>
      </c>
      <c r="S463" s="64" t="str">
        <f>IFERROR(__xludf.DUMMYFUNCTION("""COMPUTED_VALUE"""),"APOYO A CICLISMO")</f>
        <v>APOYO A CICLISMO</v>
      </c>
      <c r="T463" s="64" t="str">
        <f>IFERROR(__xludf.DUMMYFUNCTION("""COMPUTED_VALUE"""),"DESCARGA DE BATERÍA")</f>
        <v>DESCARGA DE BATERÍA</v>
      </c>
      <c r="U463" s="64" t="str">
        <f>IFERROR(__xludf.DUMMYFUNCTION("""COMPUTED_VALUE"""),"PROBLEMAS DE SALUD")</f>
        <v>PROBLEMAS DE SALUD</v>
      </c>
      <c r="V463" s="64" t="str">
        <f>IFERROR(__xludf.DUMMYFUNCTION("""COMPUTED_VALUE"""),"OLVIDO LA LLAVE")</f>
        <v>OLVIDO LA LLAVE</v>
      </c>
      <c r="W463" s="64" t="str">
        <f>IFERROR(__xludf.DUMMYFUNCTION("""COMPUTED_VALUE"""),"CARGA SOBREDIMENSIONADA")</f>
        <v>CARGA SOBREDIMENSIONADA</v>
      </c>
      <c r="X463" s="64" t="str">
        <f>IFERROR(__xludf.DUMMYFUNCTION("""COMPUTED_VALUE"""),"VEHÍCULO ABANDONADO")</f>
        <v>VEHÍCULO ABANDONADO</v>
      </c>
      <c r="Y463" s="64" t="str">
        <f>IFERROR(__xludf.DUMMYFUNCTION("""COMPUTED_VALUE"""),"DESPRENDIMIENTO")</f>
        <v>DESPRENDIMIENTO</v>
      </c>
      <c r="Z463" s="64" t="str">
        <f>IFERROR(__xludf.DUMMYFUNCTION("""COMPUTED_VALUE"""),"CAÍDA DE POSTE")</f>
        <v>CAÍDA DE POSTE</v>
      </c>
      <c r="AA463" s="64" t="str">
        <f>IFERROR(__xludf.DUMMYFUNCTION("""COMPUTED_VALUE"""),"CAÍDA DE RAMA")</f>
        <v>CAÍDA DE RAMA</v>
      </c>
      <c r="AB463" s="64" t="str">
        <f>IFERROR(__xludf.DUMMYFUNCTION("""COMPUTED_VALUE"""),"OPERATIVO DGT")</f>
        <v>OPERATIVO DGT</v>
      </c>
      <c r="AC463" s="64" t="str">
        <f>IFERROR(__xludf.DUMMYFUNCTION("""COMPUTED_VALUE"""),"OPERATIVO PMT")</f>
        <v>OPERATIVO PMT</v>
      </c>
      <c r="AD463" s="64" t="str">
        <f>IFERROR(__xludf.DUMMYFUNCTION("""COMPUTED_VALUE"""),"APOYO A DIGEF")</f>
        <v>APOYO A DIGEF</v>
      </c>
      <c r="AE463" s="64" t="str">
        <f>IFERROR(__xludf.DUMMYFUNCTION("""COMPUTED_VALUE"""),"OPERATIVO PNC TRANSITO")</f>
        <v>OPERATIVO PNC TRANSITO</v>
      </c>
      <c r="AF463" s="64" t="str">
        <f>IFERROR(__xludf.DUMMYFUNCTION("""COMPUTED_VALUE"""),"SOBRECARGA ")</f>
        <v>SOBRECARGA </v>
      </c>
      <c r="AG463" s="64" t="str">
        <f>IFERROR(__xludf.DUMMYFUNCTION("""COMPUTED_VALUE"""),"OPERATIVO EN CONJUNTO")</f>
        <v>OPERATIVO EN CONJUNTO</v>
      </c>
      <c r="AH463" s="64" t="str">
        <f>IFERROR(__xludf.DUMMYFUNCTION("""COMPUTED_VALUE"""),"PUESTO DE ATENCION AL USUARIO")</f>
        <v>PUESTO DE ATENCION AL USUARIO</v>
      </c>
      <c r="AI463" s="64" t="str">
        <f>IFERROR(__xludf.DUMMYFUNCTION("""COMPUTED_VALUE"""),"INCENDIO EN RUTA")</f>
        <v>INCENDIO EN RUTA</v>
      </c>
      <c r="AJ463" s="64" t="str">
        <f>IFERROR(__xludf.DUMMYFUNCTION("""COMPUTED_VALUE"""),"APOYO ANTORCHA ")</f>
        <v>APOYO ANTORCHA </v>
      </c>
    </row>
    <row r="464">
      <c r="B464" s="64" t="s">
        <v>54</v>
      </c>
      <c r="C464" s="64" t="str">
        <f>IFERROR(__xludf.DUMMYFUNCTION(" TRANSPOSE( unique ( QUERY(DATOPRO,""select Col2 where Col1 = '""&amp;B464&amp;""'"")))"),"PINCHAZO")</f>
        <v>PINCHAZO</v>
      </c>
      <c r="D464" s="64" t="str">
        <f>IFERROR(__xludf.DUMMYFUNCTION("""COMPUTED_VALUE"""),"TRABAJOS DE CARRETERA")</f>
        <v>TRABAJOS DE CARRETERA</v>
      </c>
      <c r="E464" s="64" t="str">
        <f>IFERROR(__xludf.DUMMYFUNCTION("""COMPUTED_VALUE"""),"CONSIGNACIÓN")</f>
        <v>CONSIGNACIÓN</v>
      </c>
      <c r="F464" s="64" t="str">
        <f>IFERROR(__xludf.DUMMYFUNCTION("""COMPUTED_VALUE"""),"DERRAME")</f>
        <v>DERRAME</v>
      </c>
      <c r="G464" s="64" t="str">
        <f>IFERROR(__xludf.DUMMYFUNCTION("""COMPUTED_VALUE"""),"CALENTAMIENTO")</f>
        <v>CALENTAMIENTO</v>
      </c>
      <c r="H464" s="64" t="str">
        <f>IFERROR(__xludf.DUMMYFUNCTION("""COMPUTED_VALUE"""),"ESCOLTANDO")</f>
        <v>ESCOLTANDO</v>
      </c>
      <c r="I464" s="64" t="str">
        <f>IFERROR(__xludf.DUMMYFUNCTION("""COMPUTED_VALUE"""),"FALTA DE COMBUSTIBLE")</f>
        <v>FALTA DE COMBUSTIBLE</v>
      </c>
      <c r="J464" s="64" t="str">
        <f>IFERROR(__xludf.DUMMYFUNCTION("""COMPUTED_VALUE"""),"DESPERFECTOS MECÁNICOS")</f>
        <v>DESPERFECTOS MECÁNICOS</v>
      </c>
      <c r="K464" s="64" t="str">
        <f>IFERROR(__xludf.DUMMYFUNCTION("""COMPUTED_VALUE"""),"LLAMADA DE ATENCIÓN")</f>
        <v>LLAMADA DE ATENCIÓN</v>
      </c>
      <c r="L464" s="64" t="str">
        <f>IFERROR(__xludf.DUMMYFUNCTION("""COMPUTED_VALUE"""),"OPERATIVOS")</f>
        <v>OPERATIVOS</v>
      </c>
      <c r="M464" s="64" t="str">
        <f>IFERROR(__xludf.DUMMYFUNCTION("""COMPUTED_VALUE"""),"SANCIÓN")</f>
        <v>SANCIÓN</v>
      </c>
      <c r="N464" s="64" t="str">
        <f>IFERROR(__xludf.DUMMYFUNCTION("""COMPUTED_VALUE"""),"SISTEMA ELECTRICO")</f>
        <v>SISTEMA ELECTRICO</v>
      </c>
      <c r="O464" s="64" t="str">
        <f>IFERROR(__xludf.DUMMYFUNCTION("""COMPUTED_VALUE"""),"ASISTENCIA AL USUARIO")</f>
        <v>ASISTENCIA AL USUARIO</v>
      </c>
      <c r="P464" s="64" t="str">
        <f>IFERROR(__xludf.DUMMYFUNCTION("""COMPUTED_VALUE"""),"DOBLE REMOLQUE")</f>
        <v>DOBLE REMOLQUE</v>
      </c>
      <c r="Q464" s="64" t="str">
        <f>IFERROR(__xludf.DUMMYFUNCTION("""COMPUTED_VALUE"""),"SINAPRESE")</f>
        <v>SINAPRESE</v>
      </c>
      <c r="R464" s="64" t="str">
        <f>IFERROR(__xludf.DUMMYFUNCTION("""COMPUTED_VALUE"""),"APOYO ATLETISMO")</f>
        <v>APOYO ATLETISMO</v>
      </c>
      <c r="S464" s="64" t="str">
        <f>IFERROR(__xludf.DUMMYFUNCTION("""COMPUTED_VALUE"""),"APOYO A CICLISMO")</f>
        <v>APOYO A CICLISMO</v>
      </c>
      <c r="T464" s="64" t="str">
        <f>IFERROR(__xludf.DUMMYFUNCTION("""COMPUTED_VALUE"""),"DESCARGA DE BATERÍA")</f>
        <v>DESCARGA DE BATERÍA</v>
      </c>
      <c r="U464" s="64" t="str">
        <f>IFERROR(__xludf.DUMMYFUNCTION("""COMPUTED_VALUE"""),"PROBLEMAS DE SALUD")</f>
        <v>PROBLEMAS DE SALUD</v>
      </c>
      <c r="V464" s="64" t="str">
        <f>IFERROR(__xludf.DUMMYFUNCTION("""COMPUTED_VALUE"""),"OLVIDO LA LLAVE")</f>
        <v>OLVIDO LA LLAVE</v>
      </c>
      <c r="W464" s="64" t="str">
        <f>IFERROR(__xludf.DUMMYFUNCTION("""COMPUTED_VALUE"""),"CARGA SOBREDIMENSIONADA")</f>
        <v>CARGA SOBREDIMENSIONADA</v>
      </c>
      <c r="X464" s="64" t="str">
        <f>IFERROR(__xludf.DUMMYFUNCTION("""COMPUTED_VALUE"""),"VEHÍCULO ABANDONADO")</f>
        <v>VEHÍCULO ABANDONADO</v>
      </c>
      <c r="Y464" s="64" t="str">
        <f>IFERROR(__xludf.DUMMYFUNCTION("""COMPUTED_VALUE"""),"DESPRENDIMIENTO")</f>
        <v>DESPRENDIMIENTO</v>
      </c>
      <c r="Z464" s="64" t="str">
        <f>IFERROR(__xludf.DUMMYFUNCTION("""COMPUTED_VALUE"""),"CAÍDA DE POSTE")</f>
        <v>CAÍDA DE POSTE</v>
      </c>
      <c r="AA464" s="64" t="str">
        <f>IFERROR(__xludf.DUMMYFUNCTION("""COMPUTED_VALUE"""),"CAÍDA DE RAMA")</f>
        <v>CAÍDA DE RAMA</v>
      </c>
      <c r="AB464" s="64" t="str">
        <f>IFERROR(__xludf.DUMMYFUNCTION("""COMPUTED_VALUE"""),"OPERATIVO DGT")</f>
        <v>OPERATIVO DGT</v>
      </c>
      <c r="AC464" s="64" t="str">
        <f>IFERROR(__xludf.DUMMYFUNCTION("""COMPUTED_VALUE"""),"OPERATIVO PMT")</f>
        <v>OPERATIVO PMT</v>
      </c>
      <c r="AD464" s="64" t="str">
        <f>IFERROR(__xludf.DUMMYFUNCTION("""COMPUTED_VALUE"""),"APOYO A DIGEF")</f>
        <v>APOYO A DIGEF</v>
      </c>
      <c r="AE464" s="64" t="str">
        <f>IFERROR(__xludf.DUMMYFUNCTION("""COMPUTED_VALUE"""),"OPERATIVO PNC TRANSITO")</f>
        <v>OPERATIVO PNC TRANSITO</v>
      </c>
      <c r="AF464" s="64" t="str">
        <f>IFERROR(__xludf.DUMMYFUNCTION("""COMPUTED_VALUE"""),"SOBRECARGA ")</f>
        <v>SOBRECARGA </v>
      </c>
      <c r="AG464" s="64" t="str">
        <f>IFERROR(__xludf.DUMMYFUNCTION("""COMPUTED_VALUE"""),"OPERATIVO EN CONJUNTO")</f>
        <v>OPERATIVO EN CONJUNTO</v>
      </c>
      <c r="AH464" s="64" t="str">
        <f>IFERROR(__xludf.DUMMYFUNCTION("""COMPUTED_VALUE"""),"PUESTO DE ATENCION AL USUARIO")</f>
        <v>PUESTO DE ATENCION AL USUARIO</v>
      </c>
      <c r="AI464" s="64" t="str">
        <f>IFERROR(__xludf.DUMMYFUNCTION("""COMPUTED_VALUE"""),"INCENDIO EN RUTA")</f>
        <v>INCENDIO EN RUTA</v>
      </c>
      <c r="AJ464" s="64" t="str">
        <f>IFERROR(__xludf.DUMMYFUNCTION("""COMPUTED_VALUE"""),"APOYO ANTORCHA ")</f>
        <v>APOYO ANTORCHA </v>
      </c>
    </row>
    <row r="465">
      <c r="B465" s="64" t="s">
        <v>54</v>
      </c>
      <c r="C465" s="64" t="str">
        <f>IFERROR(__xludf.DUMMYFUNCTION(" TRANSPOSE( unique ( QUERY(DATOPRO,""select Col2 where Col1 = '""&amp;B465&amp;""'"")))"),"PINCHAZO")</f>
        <v>PINCHAZO</v>
      </c>
      <c r="D465" s="64" t="str">
        <f>IFERROR(__xludf.DUMMYFUNCTION("""COMPUTED_VALUE"""),"TRABAJOS DE CARRETERA")</f>
        <v>TRABAJOS DE CARRETERA</v>
      </c>
      <c r="E465" s="64" t="str">
        <f>IFERROR(__xludf.DUMMYFUNCTION("""COMPUTED_VALUE"""),"CONSIGNACIÓN")</f>
        <v>CONSIGNACIÓN</v>
      </c>
      <c r="F465" s="64" t="str">
        <f>IFERROR(__xludf.DUMMYFUNCTION("""COMPUTED_VALUE"""),"DERRAME")</f>
        <v>DERRAME</v>
      </c>
      <c r="G465" s="64" t="str">
        <f>IFERROR(__xludf.DUMMYFUNCTION("""COMPUTED_VALUE"""),"CALENTAMIENTO")</f>
        <v>CALENTAMIENTO</v>
      </c>
      <c r="H465" s="64" t="str">
        <f>IFERROR(__xludf.DUMMYFUNCTION("""COMPUTED_VALUE"""),"ESCOLTANDO")</f>
        <v>ESCOLTANDO</v>
      </c>
      <c r="I465" s="64" t="str">
        <f>IFERROR(__xludf.DUMMYFUNCTION("""COMPUTED_VALUE"""),"FALTA DE COMBUSTIBLE")</f>
        <v>FALTA DE COMBUSTIBLE</v>
      </c>
      <c r="J465" s="64" t="str">
        <f>IFERROR(__xludf.DUMMYFUNCTION("""COMPUTED_VALUE"""),"DESPERFECTOS MECÁNICOS")</f>
        <v>DESPERFECTOS MECÁNICOS</v>
      </c>
      <c r="K465" s="64" t="str">
        <f>IFERROR(__xludf.DUMMYFUNCTION("""COMPUTED_VALUE"""),"LLAMADA DE ATENCIÓN")</f>
        <v>LLAMADA DE ATENCIÓN</v>
      </c>
      <c r="L465" s="64" t="str">
        <f>IFERROR(__xludf.DUMMYFUNCTION("""COMPUTED_VALUE"""),"OPERATIVOS")</f>
        <v>OPERATIVOS</v>
      </c>
      <c r="M465" s="64" t="str">
        <f>IFERROR(__xludf.DUMMYFUNCTION("""COMPUTED_VALUE"""),"SANCIÓN")</f>
        <v>SANCIÓN</v>
      </c>
      <c r="N465" s="64" t="str">
        <f>IFERROR(__xludf.DUMMYFUNCTION("""COMPUTED_VALUE"""),"SISTEMA ELECTRICO")</f>
        <v>SISTEMA ELECTRICO</v>
      </c>
      <c r="O465" s="64" t="str">
        <f>IFERROR(__xludf.DUMMYFUNCTION("""COMPUTED_VALUE"""),"ASISTENCIA AL USUARIO")</f>
        <v>ASISTENCIA AL USUARIO</v>
      </c>
      <c r="P465" s="64" t="str">
        <f>IFERROR(__xludf.DUMMYFUNCTION("""COMPUTED_VALUE"""),"DOBLE REMOLQUE")</f>
        <v>DOBLE REMOLQUE</v>
      </c>
      <c r="Q465" s="64" t="str">
        <f>IFERROR(__xludf.DUMMYFUNCTION("""COMPUTED_VALUE"""),"SINAPRESE")</f>
        <v>SINAPRESE</v>
      </c>
      <c r="R465" s="64" t="str">
        <f>IFERROR(__xludf.DUMMYFUNCTION("""COMPUTED_VALUE"""),"APOYO ATLETISMO")</f>
        <v>APOYO ATLETISMO</v>
      </c>
      <c r="S465" s="64" t="str">
        <f>IFERROR(__xludf.DUMMYFUNCTION("""COMPUTED_VALUE"""),"APOYO A CICLISMO")</f>
        <v>APOYO A CICLISMO</v>
      </c>
      <c r="T465" s="64" t="str">
        <f>IFERROR(__xludf.DUMMYFUNCTION("""COMPUTED_VALUE"""),"DESCARGA DE BATERÍA")</f>
        <v>DESCARGA DE BATERÍA</v>
      </c>
      <c r="U465" s="64" t="str">
        <f>IFERROR(__xludf.DUMMYFUNCTION("""COMPUTED_VALUE"""),"PROBLEMAS DE SALUD")</f>
        <v>PROBLEMAS DE SALUD</v>
      </c>
      <c r="V465" s="64" t="str">
        <f>IFERROR(__xludf.DUMMYFUNCTION("""COMPUTED_VALUE"""),"OLVIDO LA LLAVE")</f>
        <v>OLVIDO LA LLAVE</v>
      </c>
      <c r="W465" s="64" t="str">
        <f>IFERROR(__xludf.DUMMYFUNCTION("""COMPUTED_VALUE"""),"CARGA SOBREDIMENSIONADA")</f>
        <v>CARGA SOBREDIMENSIONADA</v>
      </c>
      <c r="X465" s="64" t="str">
        <f>IFERROR(__xludf.DUMMYFUNCTION("""COMPUTED_VALUE"""),"VEHÍCULO ABANDONADO")</f>
        <v>VEHÍCULO ABANDONADO</v>
      </c>
      <c r="Y465" s="64" t="str">
        <f>IFERROR(__xludf.DUMMYFUNCTION("""COMPUTED_VALUE"""),"DESPRENDIMIENTO")</f>
        <v>DESPRENDIMIENTO</v>
      </c>
      <c r="Z465" s="64" t="str">
        <f>IFERROR(__xludf.DUMMYFUNCTION("""COMPUTED_VALUE"""),"CAÍDA DE POSTE")</f>
        <v>CAÍDA DE POSTE</v>
      </c>
      <c r="AA465" s="64" t="str">
        <f>IFERROR(__xludf.DUMMYFUNCTION("""COMPUTED_VALUE"""),"CAÍDA DE RAMA")</f>
        <v>CAÍDA DE RAMA</v>
      </c>
      <c r="AB465" s="64" t="str">
        <f>IFERROR(__xludf.DUMMYFUNCTION("""COMPUTED_VALUE"""),"OPERATIVO DGT")</f>
        <v>OPERATIVO DGT</v>
      </c>
      <c r="AC465" s="64" t="str">
        <f>IFERROR(__xludf.DUMMYFUNCTION("""COMPUTED_VALUE"""),"OPERATIVO PMT")</f>
        <v>OPERATIVO PMT</v>
      </c>
      <c r="AD465" s="64" t="str">
        <f>IFERROR(__xludf.DUMMYFUNCTION("""COMPUTED_VALUE"""),"APOYO A DIGEF")</f>
        <v>APOYO A DIGEF</v>
      </c>
      <c r="AE465" s="64" t="str">
        <f>IFERROR(__xludf.DUMMYFUNCTION("""COMPUTED_VALUE"""),"OPERATIVO PNC TRANSITO")</f>
        <v>OPERATIVO PNC TRANSITO</v>
      </c>
      <c r="AF465" s="64" t="str">
        <f>IFERROR(__xludf.DUMMYFUNCTION("""COMPUTED_VALUE"""),"SOBRECARGA ")</f>
        <v>SOBRECARGA </v>
      </c>
      <c r="AG465" s="64" t="str">
        <f>IFERROR(__xludf.DUMMYFUNCTION("""COMPUTED_VALUE"""),"OPERATIVO EN CONJUNTO")</f>
        <v>OPERATIVO EN CONJUNTO</v>
      </c>
      <c r="AH465" s="64" t="str">
        <f>IFERROR(__xludf.DUMMYFUNCTION("""COMPUTED_VALUE"""),"PUESTO DE ATENCION AL USUARIO")</f>
        <v>PUESTO DE ATENCION AL USUARIO</v>
      </c>
      <c r="AI465" s="64" t="str">
        <f>IFERROR(__xludf.DUMMYFUNCTION("""COMPUTED_VALUE"""),"INCENDIO EN RUTA")</f>
        <v>INCENDIO EN RUTA</v>
      </c>
      <c r="AJ465" s="64" t="str">
        <f>IFERROR(__xludf.DUMMYFUNCTION("""COMPUTED_VALUE"""),"APOYO ANTORCHA ")</f>
        <v>APOYO ANTORCHA </v>
      </c>
    </row>
    <row r="466">
      <c r="B466" s="64" t="s">
        <v>54</v>
      </c>
      <c r="C466" s="64" t="str">
        <f>IFERROR(__xludf.DUMMYFUNCTION(" TRANSPOSE( unique ( QUERY(DATOPRO,""select Col2 where Col1 = '""&amp;B466&amp;""'"")))"),"PINCHAZO")</f>
        <v>PINCHAZO</v>
      </c>
      <c r="D466" s="64" t="str">
        <f>IFERROR(__xludf.DUMMYFUNCTION("""COMPUTED_VALUE"""),"TRABAJOS DE CARRETERA")</f>
        <v>TRABAJOS DE CARRETERA</v>
      </c>
      <c r="E466" s="64" t="str">
        <f>IFERROR(__xludf.DUMMYFUNCTION("""COMPUTED_VALUE"""),"CONSIGNACIÓN")</f>
        <v>CONSIGNACIÓN</v>
      </c>
      <c r="F466" s="64" t="str">
        <f>IFERROR(__xludf.DUMMYFUNCTION("""COMPUTED_VALUE"""),"DERRAME")</f>
        <v>DERRAME</v>
      </c>
      <c r="G466" s="64" t="str">
        <f>IFERROR(__xludf.DUMMYFUNCTION("""COMPUTED_VALUE"""),"CALENTAMIENTO")</f>
        <v>CALENTAMIENTO</v>
      </c>
      <c r="H466" s="64" t="str">
        <f>IFERROR(__xludf.DUMMYFUNCTION("""COMPUTED_VALUE"""),"ESCOLTANDO")</f>
        <v>ESCOLTANDO</v>
      </c>
      <c r="I466" s="64" t="str">
        <f>IFERROR(__xludf.DUMMYFUNCTION("""COMPUTED_VALUE"""),"FALTA DE COMBUSTIBLE")</f>
        <v>FALTA DE COMBUSTIBLE</v>
      </c>
      <c r="J466" s="64" t="str">
        <f>IFERROR(__xludf.DUMMYFUNCTION("""COMPUTED_VALUE"""),"DESPERFECTOS MECÁNICOS")</f>
        <v>DESPERFECTOS MECÁNICOS</v>
      </c>
      <c r="K466" s="64" t="str">
        <f>IFERROR(__xludf.DUMMYFUNCTION("""COMPUTED_VALUE"""),"LLAMADA DE ATENCIÓN")</f>
        <v>LLAMADA DE ATENCIÓN</v>
      </c>
      <c r="L466" s="64" t="str">
        <f>IFERROR(__xludf.DUMMYFUNCTION("""COMPUTED_VALUE"""),"OPERATIVOS")</f>
        <v>OPERATIVOS</v>
      </c>
      <c r="M466" s="64" t="str">
        <f>IFERROR(__xludf.DUMMYFUNCTION("""COMPUTED_VALUE"""),"SANCIÓN")</f>
        <v>SANCIÓN</v>
      </c>
      <c r="N466" s="64" t="str">
        <f>IFERROR(__xludf.DUMMYFUNCTION("""COMPUTED_VALUE"""),"SISTEMA ELECTRICO")</f>
        <v>SISTEMA ELECTRICO</v>
      </c>
      <c r="O466" s="64" t="str">
        <f>IFERROR(__xludf.DUMMYFUNCTION("""COMPUTED_VALUE"""),"ASISTENCIA AL USUARIO")</f>
        <v>ASISTENCIA AL USUARIO</v>
      </c>
      <c r="P466" s="64" t="str">
        <f>IFERROR(__xludf.DUMMYFUNCTION("""COMPUTED_VALUE"""),"DOBLE REMOLQUE")</f>
        <v>DOBLE REMOLQUE</v>
      </c>
      <c r="Q466" s="64" t="str">
        <f>IFERROR(__xludf.DUMMYFUNCTION("""COMPUTED_VALUE"""),"SINAPRESE")</f>
        <v>SINAPRESE</v>
      </c>
      <c r="R466" s="64" t="str">
        <f>IFERROR(__xludf.DUMMYFUNCTION("""COMPUTED_VALUE"""),"APOYO ATLETISMO")</f>
        <v>APOYO ATLETISMO</v>
      </c>
      <c r="S466" s="64" t="str">
        <f>IFERROR(__xludf.DUMMYFUNCTION("""COMPUTED_VALUE"""),"APOYO A CICLISMO")</f>
        <v>APOYO A CICLISMO</v>
      </c>
      <c r="T466" s="64" t="str">
        <f>IFERROR(__xludf.DUMMYFUNCTION("""COMPUTED_VALUE"""),"DESCARGA DE BATERÍA")</f>
        <v>DESCARGA DE BATERÍA</v>
      </c>
      <c r="U466" s="64" t="str">
        <f>IFERROR(__xludf.DUMMYFUNCTION("""COMPUTED_VALUE"""),"PROBLEMAS DE SALUD")</f>
        <v>PROBLEMAS DE SALUD</v>
      </c>
      <c r="V466" s="64" t="str">
        <f>IFERROR(__xludf.DUMMYFUNCTION("""COMPUTED_VALUE"""),"OLVIDO LA LLAVE")</f>
        <v>OLVIDO LA LLAVE</v>
      </c>
      <c r="W466" s="64" t="str">
        <f>IFERROR(__xludf.DUMMYFUNCTION("""COMPUTED_VALUE"""),"CARGA SOBREDIMENSIONADA")</f>
        <v>CARGA SOBREDIMENSIONADA</v>
      </c>
      <c r="X466" s="64" t="str">
        <f>IFERROR(__xludf.DUMMYFUNCTION("""COMPUTED_VALUE"""),"VEHÍCULO ABANDONADO")</f>
        <v>VEHÍCULO ABANDONADO</v>
      </c>
      <c r="Y466" s="64" t="str">
        <f>IFERROR(__xludf.DUMMYFUNCTION("""COMPUTED_VALUE"""),"DESPRENDIMIENTO")</f>
        <v>DESPRENDIMIENTO</v>
      </c>
      <c r="Z466" s="64" t="str">
        <f>IFERROR(__xludf.DUMMYFUNCTION("""COMPUTED_VALUE"""),"CAÍDA DE POSTE")</f>
        <v>CAÍDA DE POSTE</v>
      </c>
      <c r="AA466" s="64" t="str">
        <f>IFERROR(__xludf.DUMMYFUNCTION("""COMPUTED_VALUE"""),"CAÍDA DE RAMA")</f>
        <v>CAÍDA DE RAMA</v>
      </c>
      <c r="AB466" s="64" t="str">
        <f>IFERROR(__xludf.DUMMYFUNCTION("""COMPUTED_VALUE"""),"OPERATIVO DGT")</f>
        <v>OPERATIVO DGT</v>
      </c>
      <c r="AC466" s="64" t="str">
        <f>IFERROR(__xludf.DUMMYFUNCTION("""COMPUTED_VALUE"""),"OPERATIVO PMT")</f>
        <v>OPERATIVO PMT</v>
      </c>
      <c r="AD466" s="64" t="str">
        <f>IFERROR(__xludf.DUMMYFUNCTION("""COMPUTED_VALUE"""),"APOYO A DIGEF")</f>
        <v>APOYO A DIGEF</v>
      </c>
      <c r="AE466" s="64" t="str">
        <f>IFERROR(__xludf.DUMMYFUNCTION("""COMPUTED_VALUE"""),"OPERATIVO PNC TRANSITO")</f>
        <v>OPERATIVO PNC TRANSITO</v>
      </c>
      <c r="AF466" s="64" t="str">
        <f>IFERROR(__xludf.DUMMYFUNCTION("""COMPUTED_VALUE"""),"SOBRECARGA ")</f>
        <v>SOBRECARGA </v>
      </c>
      <c r="AG466" s="64" t="str">
        <f>IFERROR(__xludf.DUMMYFUNCTION("""COMPUTED_VALUE"""),"OPERATIVO EN CONJUNTO")</f>
        <v>OPERATIVO EN CONJUNTO</v>
      </c>
      <c r="AH466" s="64" t="str">
        <f>IFERROR(__xludf.DUMMYFUNCTION("""COMPUTED_VALUE"""),"PUESTO DE ATENCION AL USUARIO")</f>
        <v>PUESTO DE ATENCION AL USUARIO</v>
      </c>
      <c r="AI466" s="64" t="str">
        <f>IFERROR(__xludf.DUMMYFUNCTION("""COMPUTED_VALUE"""),"INCENDIO EN RUTA")</f>
        <v>INCENDIO EN RUTA</v>
      </c>
      <c r="AJ466" s="64" t="str">
        <f>IFERROR(__xludf.DUMMYFUNCTION("""COMPUTED_VALUE"""),"APOYO ANTORCHA ")</f>
        <v>APOYO ANTORCHA </v>
      </c>
    </row>
    <row r="467">
      <c r="B467" s="64" t="s">
        <v>38</v>
      </c>
      <c r="C467" s="64" t="str">
        <f>IFERROR(__xludf.DUMMYFUNCTION(" TRANSPOSE( unique ( QUERY(DATOPRO,""select Col2 where Col1 = '""&amp;B467&amp;""'"")))"),"ATAQUE ARMADO")</f>
        <v>ATAQUE ARMADO</v>
      </c>
      <c r="D467" s="64" t="str">
        <f>IFERROR(__xludf.DUMMYFUNCTION("""COMPUTED_VALUE"""),"DESBALANCE DE CARGA")</f>
        <v>DESBALANCE DE CARGA</v>
      </c>
      <c r="E467" s="64" t="str">
        <f>IFERROR(__xludf.DUMMYFUNCTION("""COMPUTED_VALUE"""),"PERSONA FALLECIDA")</f>
        <v>PERSONA FALLECIDA</v>
      </c>
      <c r="F467" s="64" t="str">
        <f>IFERROR(__xludf.DUMMYFUNCTION("""COMPUTED_VALUE"""),"DESPRENDIMIENTO DE NEUMATICO")</f>
        <v>DESPRENDIMIENTO DE NEUMATICO</v>
      </c>
      <c r="G467" s="64" t="str">
        <f>IFERROR(__xludf.DUMMYFUNCTION("""COMPUTED_VALUE"""),"SALIDA DE PISTA")</f>
        <v>SALIDA DE PISTA</v>
      </c>
      <c r="H467" s="64" t="str">
        <f>IFERROR(__xludf.DUMMYFUNCTION("""COMPUTED_VALUE"""),"DESPRENDIMIENTO DE CONTENEDOR")</f>
        <v>DESPRENDIMIENTO DE CONTENEDOR</v>
      </c>
      <c r="I467" s="64" t="str">
        <f>IFERROR(__xludf.DUMMYFUNCTION("""COMPUTED_VALUE"""),"CAÍDA DE CARGA")</f>
        <v>CAÍDA DE CARGA</v>
      </c>
      <c r="J467" s="64" t="str">
        <f>IFERROR(__xludf.DUMMYFUNCTION("""COMPUTED_VALUE"""),"CHOQUE")</f>
        <v>CHOQUE</v>
      </c>
      <c r="K467" s="64" t="str">
        <f>IFERROR(__xludf.DUMMYFUNCTION("""COMPUTED_VALUE"""),"COLISIÓN")</f>
        <v>COLISIÓN</v>
      </c>
      <c r="L467" s="64" t="str">
        <f>IFERROR(__xludf.DUMMYFUNCTION("""COMPUTED_VALUE"""),"COLISIÓN MÚLTIPLE")</f>
        <v>COLISIÓN MÚLTIPLE</v>
      </c>
      <c r="M467" s="64" t="str">
        <f>IFERROR(__xludf.DUMMYFUNCTION("""COMPUTED_VALUE"""),"DERRAPE")</f>
        <v>DERRAPE</v>
      </c>
      <c r="N467" s="64" t="str">
        <f>IFERROR(__xludf.DUMMYFUNCTION("""COMPUTED_VALUE"""),"VEHÍCULO INCENDIADO")</f>
        <v>VEHÍCULO INCENDIADO</v>
      </c>
      <c r="O467" s="64" t="str">
        <f>IFERROR(__xludf.DUMMYFUNCTION("""COMPUTED_VALUE"""),"VUELCO")</f>
        <v>VUELCO</v>
      </c>
      <c r="P467" s="64" t="str">
        <f>IFERROR(__xludf.DUMMYFUNCTION("""COMPUTED_VALUE"""),"DESPRENDIMIENTO")</f>
        <v>DESPRENDIMIENTO</v>
      </c>
      <c r="Q467" s="64" t="str">
        <f>IFERROR(__xludf.DUMMYFUNCTION("""COMPUTED_VALUE"""),"CAÍDA DE ÁRBOL")</f>
        <v>CAÍDA DE ÁRBOL</v>
      </c>
      <c r="R467" s="64" t="str">
        <f>IFERROR(__xludf.DUMMYFUNCTION("""COMPUTED_VALUE"""),"DESPRENDIMIENTO DE EJE")</f>
        <v>DESPRENDIMIENTO DE EJE</v>
      </c>
      <c r="S467" s="64" t="str">
        <f>IFERROR(__xludf.DUMMYFUNCTION("""COMPUTED_VALUE"""),"PERSONA ATROPELLADA")</f>
        <v>PERSONA ATROPELLADA</v>
      </c>
    </row>
    <row r="468">
      <c r="B468" s="64" t="s">
        <v>38</v>
      </c>
      <c r="C468" s="64" t="str">
        <f>IFERROR(__xludf.DUMMYFUNCTION(" TRANSPOSE( unique ( QUERY(DATOPRO,""select Col2 where Col1 = '""&amp;B468&amp;""'"")))"),"ATAQUE ARMADO")</f>
        <v>ATAQUE ARMADO</v>
      </c>
      <c r="D468" s="64" t="str">
        <f>IFERROR(__xludf.DUMMYFUNCTION("""COMPUTED_VALUE"""),"DESBALANCE DE CARGA")</f>
        <v>DESBALANCE DE CARGA</v>
      </c>
      <c r="E468" s="64" t="str">
        <f>IFERROR(__xludf.DUMMYFUNCTION("""COMPUTED_VALUE"""),"PERSONA FALLECIDA")</f>
        <v>PERSONA FALLECIDA</v>
      </c>
      <c r="F468" s="64" t="str">
        <f>IFERROR(__xludf.DUMMYFUNCTION("""COMPUTED_VALUE"""),"DESPRENDIMIENTO DE NEUMATICO")</f>
        <v>DESPRENDIMIENTO DE NEUMATICO</v>
      </c>
      <c r="G468" s="64" t="str">
        <f>IFERROR(__xludf.DUMMYFUNCTION("""COMPUTED_VALUE"""),"SALIDA DE PISTA")</f>
        <v>SALIDA DE PISTA</v>
      </c>
      <c r="H468" s="64" t="str">
        <f>IFERROR(__xludf.DUMMYFUNCTION("""COMPUTED_VALUE"""),"DESPRENDIMIENTO DE CONTENEDOR")</f>
        <v>DESPRENDIMIENTO DE CONTENEDOR</v>
      </c>
      <c r="I468" s="64" t="str">
        <f>IFERROR(__xludf.DUMMYFUNCTION("""COMPUTED_VALUE"""),"CAÍDA DE CARGA")</f>
        <v>CAÍDA DE CARGA</v>
      </c>
      <c r="J468" s="64" t="str">
        <f>IFERROR(__xludf.DUMMYFUNCTION("""COMPUTED_VALUE"""),"CHOQUE")</f>
        <v>CHOQUE</v>
      </c>
      <c r="K468" s="64" t="str">
        <f>IFERROR(__xludf.DUMMYFUNCTION("""COMPUTED_VALUE"""),"COLISIÓN")</f>
        <v>COLISIÓN</v>
      </c>
      <c r="L468" s="64" t="str">
        <f>IFERROR(__xludf.DUMMYFUNCTION("""COMPUTED_VALUE"""),"COLISIÓN MÚLTIPLE")</f>
        <v>COLISIÓN MÚLTIPLE</v>
      </c>
      <c r="M468" s="64" t="str">
        <f>IFERROR(__xludf.DUMMYFUNCTION("""COMPUTED_VALUE"""),"DERRAPE")</f>
        <v>DERRAPE</v>
      </c>
      <c r="N468" s="64" t="str">
        <f>IFERROR(__xludf.DUMMYFUNCTION("""COMPUTED_VALUE"""),"VEHÍCULO INCENDIADO")</f>
        <v>VEHÍCULO INCENDIADO</v>
      </c>
      <c r="O468" s="64" t="str">
        <f>IFERROR(__xludf.DUMMYFUNCTION("""COMPUTED_VALUE"""),"VUELCO")</f>
        <v>VUELCO</v>
      </c>
      <c r="P468" s="64" t="str">
        <f>IFERROR(__xludf.DUMMYFUNCTION("""COMPUTED_VALUE"""),"DESPRENDIMIENTO")</f>
        <v>DESPRENDIMIENTO</v>
      </c>
      <c r="Q468" s="64" t="str">
        <f>IFERROR(__xludf.DUMMYFUNCTION("""COMPUTED_VALUE"""),"CAÍDA DE ÁRBOL")</f>
        <v>CAÍDA DE ÁRBOL</v>
      </c>
      <c r="R468" s="64" t="str">
        <f>IFERROR(__xludf.DUMMYFUNCTION("""COMPUTED_VALUE"""),"DESPRENDIMIENTO DE EJE")</f>
        <v>DESPRENDIMIENTO DE EJE</v>
      </c>
      <c r="S468" s="64" t="str">
        <f>IFERROR(__xludf.DUMMYFUNCTION("""COMPUTED_VALUE"""),"PERSONA ATROPELLADA")</f>
        <v>PERSONA ATROPELLADA</v>
      </c>
    </row>
    <row r="469">
      <c r="B469" s="64"/>
      <c r="C469" s="64" t="str">
        <f>IFERROR(__xludf.DUMMYFUNCTION(" TRANSPOSE( unique ( QUERY(DATOPRO,""select Col2 where Col1 = '""&amp;B469&amp;""'"")))"),"")</f>
        <v/>
      </c>
    </row>
    <row r="470">
      <c r="B470" s="64" t="s">
        <v>38</v>
      </c>
      <c r="C470" s="64" t="str">
        <f>IFERROR(__xludf.DUMMYFUNCTION(" TRANSPOSE( unique ( QUERY(DATOPRO,""select Col2 where Col1 = '""&amp;B470&amp;""'"")))"),"ATAQUE ARMADO")</f>
        <v>ATAQUE ARMADO</v>
      </c>
      <c r="D470" s="64" t="str">
        <f>IFERROR(__xludf.DUMMYFUNCTION("""COMPUTED_VALUE"""),"DESBALANCE DE CARGA")</f>
        <v>DESBALANCE DE CARGA</v>
      </c>
      <c r="E470" s="64" t="str">
        <f>IFERROR(__xludf.DUMMYFUNCTION("""COMPUTED_VALUE"""),"PERSONA FALLECIDA")</f>
        <v>PERSONA FALLECIDA</v>
      </c>
      <c r="F470" s="64" t="str">
        <f>IFERROR(__xludf.DUMMYFUNCTION("""COMPUTED_VALUE"""),"DESPRENDIMIENTO DE NEUMATICO")</f>
        <v>DESPRENDIMIENTO DE NEUMATICO</v>
      </c>
      <c r="G470" s="64" t="str">
        <f>IFERROR(__xludf.DUMMYFUNCTION("""COMPUTED_VALUE"""),"SALIDA DE PISTA")</f>
        <v>SALIDA DE PISTA</v>
      </c>
      <c r="H470" s="64" t="str">
        <f>IFERROR(__xludf.DUMMYFUNCTION("""COMPUTED_VALUE"""),"DESPRENDIMIENTO DE CONTENEDOR")</f>
        <v>DESPRENDIMIENTO DE CONTENEDOR</v>
      </c>
      <c r="I470" s="64" t="str">
        <f>IFERROR(__xludf.DUMMYFUNCTION("""COMPUTED_VALUE"""),"CAÍDA DE CARGA")</f>
        <v>CAÍDA DE CARGA</v>
      </c>
      <c r="J470" s="64" t="str">
        <f>IFERROR(__xludf.DUMMYFUNCTION("""COMPUTED_VALUE"""),"CHOQUE")</f>
        <v>CHOQUE</v>
      </c>
      <c r="K470" s="64" t="str">
        <f>IFERROR(__xludf.DUMMYFUNCTION("""COMPUTED_VALUE"""),"COLISIÓN")</f>
        <v>COLISIÓN</v>
      </c>
      <c r="L470" s="64" t="str">
        <f>IFERROR(__xludf.DUMMYFUNCTION("""COMPUTED_VALUE"""),"COLISIÓN MÚLTIPLE")</f>
        <v>COLISIÓN MÚLTIPLE</v>
      </c>
      <c r="M470" s="64" t="str">
        <f>IFERROR(__xludf.DUMMYFUNCTION("""COMPUTED_VALUE"""),"DERRAPE")</f>
        <v>DERRAPE</v>
      </c>
      <c r="N470" s="64" t="str">
        <f>IFERROR(__xludf.DUMMYFUNCTION("""COMPUTED_VALUE"""),"VEHÍCULO INCENDIADO")</f>
        <v>VEHÍCULO INCENDIADO</v>
      </c>
      <c r="O470" s="64" t="str">
        <f>IFERROR(__xludf.DUMMYFUNCTION("""COMPUTED_VALUE"""),"VUELCO")</f>
        <v>VUELCO</v>
      </c>
      <c r="P470" s="64" t="str">
        <f>IFERROR(__xludf.DUMMYFUNCTION("""COMPUTED_VALUE"""),"DESPRENDIMIENTO")</f>
        <v>DESPRENDIMIENTO</v>
      </c>
      <c r="Q470" s="64" t="str">
        <f>IFERROR(__xludf.DUMMYFUNCTION("""COMPUTED_VALUE"""),"CAÍDA DE ÁRBOL")</f>
        <v>CAÍDA DE ÁRBOL</v>
      </c>
      <c r="R470" s="64" t="str">
        <f>IFERROR(__xludf.DUMMYFUNCTION("""COMPUTED_VALUE"""),"DESPRENDIMIENTO DE EJE")</f>
        <v>DESPRENDIMIENTO DE EJE</v>
      </c>
      <c r="S470" s="64" t="str">
        <f>IFERROR(__xludf.DUMMYFUNCTION("""COMPUTED_VALUE"""),"PERSONA ATROPELLADA")</f>
        <v>PERSONA ATROPELLADA</v>
      </c>
    </row>
    <row r="471">
      <c r="B471" s="64" t="s">
        <v>54</v>
      </c>
      <c r="C471" s="64" t="str">
        <f>IFERROR(__xludf.DUMMYFUNCTION(" TRANSPOSE( unique ( QUERY(DATOPRO,""select Col2 where Col1 = '""&amp;B471&amp;""'"")))"),"PINCHAZO")</f>
        <v>PINCHAZO</v>
      </c>
      <c r="D471" s="64" t="str">
        <f>IFERROR(__xludf.DUMMYFUNCTION("""COMPUTED_VALUE"""),"TRABAJOS DE CARRETERA")</f>
        <v>TRABAJOS DE CARRETERA</v>
      </c>
      <c r="E471" s="64" t="str">
        <f>IFERROR(__xludf.DUMMYFUNCTION("""COMPUTED_VALUE"""),"CONSIGNACIÓN")</f>
        <v>CONSIGNACIÓN</v>
      </c>
      <c r="F471" s="64" t="str">
        <f>IFERROR(__xludf.DUMMYFUNCTION("""COMPUTED_VALUE"""),"DERRAME")</f>
        <v>DERRAME</v>
      </c>
      <c r="G471" s="64" t="str">
        <f>IFERROR(__xludf.DUMMYFUNCTION("""COMPUTED_VALUE"""),"CALENTAMIENTO")</f>
        <v>CALENTAMIENTO</v>
      </c>
      <c r="H471" s="64" t="str">
        <f>IFERROR(__xludf.DUMMYFUNCTION("""COMPUTED_VALUE"""),"ESCOLTANDO")</f>
        <v>ESCOLTANDO</v>
      </c>
      <c r="I471" s="64" t="str">
        <f>IFERROR(__xludf.DUMMYFUNCTION("""COMPUTED_VALUE"""),"FALTA DE COMBUSTIBLE")</f>
        <v>FALTA DE COMBUSTIBLE</v>
      </c>
      <c r="J471" s="64" t="str">
        <f>IFERROR(__xludf.DUMMYFUNCTION("""COMPUTED_VALUE"""),"DESPERFECTOS MECÁNICOS")</f>
        <v>DESPERFECTOS MECÁNICOS</v>
      </c>
      <c r="K471" s="64" t="str">
        <f>IFERROR(__xludf.DUMMYFUNCTION("""COMPUTED_VALUE"""),"LLAMADA DE ATENCIÓN")</f>
        <v>LLAMADA DE ATENCIÓN</v>
      </c>
      <c r="L471" s="64" t="str">
        <f>IFERROR(__xludf.DUMMYFUNCTION("""COMPUTED_VALUE"""),"OPERATIVOS")</f>
        <v>OPERATIVOS</v>
      </c>
      <c r="M471" s="64" t="str">
        <f>IFERROR(__xludf.DUMMYFUNCTION("""COMPUTED_VALUE"""),"SANCIÓN")</f>
        <v>SANCIÓN</v>
      </c>
      <c r="N471" s="64" t="str">
        <f>IFERROR(__xludf.DUMMYFUNCTION("""COMPUTED_VALUE"""),"SISTEMA ELECTRICO")</f>
        <v>SISTEMA ELECTRICO</v>
      </c>
      <c r="O471" s="64" t="str">
        <f>IFERROR(__xludf.DUMMYFUNCTION("""COMPUTED_VALUE"""),"ASISTENCIA AL USUARIO")</f>
        <v>ASISTENCIA AL USUARIO</v>
      </c>
      <c r="P471" s="64" t="str">
        <f>IFERROR(__xludf.DUMMYFUNCTION("""COMPUTED_VALUE"""),"DOBLE REMOLQUE")</f>
        <v>DOBLE REMOLQUE</v>
      </c>
      <c r="Q471" s="64" t="str">
        <f>IFERROR(__xludf.DUMMYFUNCTION("""COMPUTED_VALUE"""),"SINAPRESE")</f>
        <v>SINAPRESE</v>
      </c>
      <c r="R471" s="64" t="str">
        <f>IFERROR(__xludf.DUMMYFUNCTION("""COMPUTED_VALUE"""),"APOYO ATLETISMO")</f>
        <v>APOYO ATLETISMO</v>
      </c>
      <c r="S471" s="64" t="str">
        <f>IFERROR(__xludf.DUMMYFUNCTION("""COMPUTED_VALUE"""),"APOYO A CICLISMO")</f>
        <v>APOYO A CICLISMO</v>
      </c>
      <c r="T471" s="64" t="str">
        <f>IFERROR(__xludf.DUMMYFUNCTION("""COMPUTED_VALUE"""),"DESCARGA DE BATERÍA")</f>
        <v>DESCARGA DE BATERÍA</v>
      </c>
      <c r="U471" s="64" t="str">
        <f>IFERROR(__xludf.DUMMYFUNCTION("""COMPUTED_VALUE"""),"PROBLEMAS DE SALUD")</f>
        <v>PROBLEMAS DE SALUD</v>
      </c>
      <c r="V471" s="64" t="str">
        <f>IFERROR(__xludf.DUMMYFUNCTION("""COMPUTED_VALUE"""),"OLVIDO LA LLAVE")</f>
        <v>OLVIDO LA LLAVE</v>
      </c>
      <c r="W471" s="64" t="str">
        <f>IFERROR(__xludf.DUMMYFUNCTION("""COMPUTED_VALUE"""),"CARGA SOBREDIMENSIONADA")</f>
        <v>CARGA SOBREDIMENSIONADA</v>
      </c>
      <c r="X471" s="64" t="str">
        <f>IFERROR(__xludf.DUMMYFUNCTION("""COMPUTED_VALUE"""),"VEHÍCULO ABANDONADO")</f>
        <v>VEHÍCULO ABANDONADO</v>
      </c>
      <c r="Y471" s="64" t="str">
        <f>IFERROR(__xludf.DUMMYFUNCTION("""COMPUTED_VALUE"""),"DESPRENDIMIENTO")</f>
        <v>DESPRENDIMIENTO</v>
      </c>
      <c r="Z471" s="64" t="str">
        <f>IFERROR(__xludf.DUMMYFUNCTION("""COMPUTED_VALUE"""),"CAÍDA DE POSTE")</f>
        <v>CAÍDA DE POSTE</v>
      </c>
      <c r="AA471" s="64" t="str">
        <f>IFERROR(__xludf.DUMMYFUNCTION("""COMPUTED_VALUE"""),"CAÍDA DE RAMA")</f>
        <v>CAÍDA DE RAMA</v>
      </c>
      <c r="AB471" s="64" t="str">
        <f>IFERROR(__xludf.DUMMYFUNCTION("""COMPUTED_VALUE"""),"OPERATIVO DGT")</f>
        <v>OPERATIVO DGT</v>
      </c>
      <c r="AC471" s="64" t="str">
        <f>IFERROR(__xludf.DUMMYFUNCTION("""COMPUTED_VALUE"""),"OPERATIVO PMT")</f>
        <v>OPERATIVO PMT</v>
      </c>
      <c r="AD471" s="64" t="str">
        <f>IFERROR(__xludf.DUMMYFUNCTION("""COMPUTED_VALUE"""),"APOYO A DIGEF")</f>
        <v>APOYO A DIGEF</v>
      </c>
      <c r="AE471" s="64" t="str">
        <f>IFERROR(__xludf.DUMMYFUNCTION("""COMPUTED_VALUE"""),"OPERATIVO PNC TRANSITO")</f>
        <v>OPERATIVO PNC TRANSITO</v>
      </c>
      <c r="AF471" s="64" t="str">
        <f>IFERROR(__xludf.DUMMYFUNCTION("""COMPUTED_VALUE"""),"SOBRECARGA ")</f>
        <v>SOBRECARGA </v>
      </c>
      <c r="AG471" s="64" t="str">
        <f>IFERROR(__xludf.DUMMYFUNCTION("""COMPUTED_VALUE"""),"OPERATIVO EN CONJUNTO")</f>
        <v>OPERATIVO EN CONJUNTO</v>
      </c>
      <c r="AH471" s="64" t="str">
        <f>IFERROR(__xludf.DUMMYFUNCTION("""COMPUTED_VALUE"""),"PUESTO DE ATENCION AL USUARIO")</f>
        <v>PUESTO DE ATENCION AL USUARIO</v>
      </c>
      <c r="AI471" s="64" t="str">
        <f>IFERROR(__xludf.DUMMYFUNCTION("""COMPUTED_VALUE"""),"INCENDIO EN RUTA")</f>
        <v>INCENDIO EN RUTA</v>
      </c>
      <c r="AJ471" s="64" t="str">
        <f>IFERROR(__xludf.DUMMYFUNCTION("""COMPUTED_VALUE"""),"APOYO ANTORCHA ")</f>
        <v>APOYO ANTORCHA </v>
      </c>
    </row>
    <row r="472">
      <c r="B472" s="64" t="s">
        <v>54</v>
      </c>
      <c r="C472" s="64" t="str">
        <f>IFERROR(__xludf.DUMMYFUNCTION(" TRANSPOSE( unique ( QUERY(DATOPRO,""select Col2 where Col1 = '""&amp;B472&amp;""'"")))"),"PINCHAZO")</f>
        <v>PINCHAZO</v>
      </c>
      <c r="D472" s="64" t="str">
        <f>IFERROR(__xludf.DUMMYFUNCTION("""COMPUTED_VALUE"""),"TRABAJOS DE CARRETERA")</f>
        <v>TRABAJOS DE CARRETERA</v>
      </c>
      <c r="E472" s="64" t="str">
        <f>IFERROR(__xludf.DUMMYFUNCTION("""COMPUTED_VALUE"""),"CONSIGNACIÓN")</f>
        <v>CONSIGNACIÓN</v>
      </c>
      <c r="F472" s="64" t="str">
        <f>IFERROR(__xludf.DUMMYFUNCTION("""COMPUTED_VALUE"""),"DERRAME")</f>
        <v>DERRAME</v>
      </c>
      <c r="G472" s="64" t="str">
        <f>IFERROR(__xludf.DUMMYFUNCTION("""COMPUTED_VALUE"""),"CALENTAMIENTO")</f>
        <v>CALENTAMIENTO</v>
      </c>
      <c r="H472" s="64" t="str">
        <f>IFERROR(__xludf.DUMMYFUNCTION("""COMPUTED_VALUE"""),"ESCOLTANDO")</f>
        <v>ESCOLTANDO</v>
      </c>
      <c r="I472" s="64" t="str">
        <f>IFERROR(__xludf.DUMMYFUNCTION("""COMPUTED_VALUE"""),"FALTA DE COMBUSTIBLE")</f>
        <v>FALTA DE COMBUSTIBLE</v>
      </c>
      <c r="J472" s="64" t="str">
        <f>IFERROR(__xludf.DUMMYFUNCTION("""COMPUTED_VALUE"""),"DESPERFECTOS MECÁNICOS")</f>
        <v>DESPERFECTOS MECÁNICOS</v>
      </c>
      <c r="K472" s="64" t="str">
        <f>IFERROR(__xludf.DUMMYFUNCTION("""COMPUTED_VALUE"""),"LLAMADA DE ATENCIÓN")</f>
        <v>LLAMADA DE ATENCIÓN</v>
      </c>
      <c r="L472" s="64" t="str">
        <f>IFERROR(__xludf.DUMMYFUNCTION("""COMPUTED_VALUE"""),"OPERATIVOS")</f>
        <v>OPERATIVOS</v>
      </c>
      <c r="M472" s="64" t="str">
        <f>IFERROR(__xludf.DUMMYFUNCTION("""COMPUTED_VALUE"""),"SANCIÓN")</f>
        <v>SANCIÓN</v>
      </c>
      <c r="N472" s="64" t="str">
        <f>IFERROR(__xludf.DUMMYFUNCTION("""COMPUTED_VALUE"""),"SISTEMA ELECTRICO")</f>
        <v>SISTEMA ELECTRICO</v>
      </c>
      <c r="O472" s="64" t="str">
        <f>IFERROR(__xludf.DUMMYFUNCTION("""COMPUTED_VALUE"""),"ASISTENCIA AL USUARIO")</f>
        <v>ASISTENCIA AL USUARIO</v>
      </c>
      <c r="P472" s="64" t="str">
        <f>IFERROR(__xludf.DUMMYFUNCTION("""COMPUTED_VALUE"""),"DOBLE REMOLQUE")</f>
        <v>DOBLE REMOLQUE</v>
      </c>
      <c r="Q472" s="64" t="str">
        <f>IFERROR(__xludf.DUMMYFUNCTION("""COMPUTED_VALUE"""),"SINAPRESE")</f>
        <v>SINAPRESE</v>
      </c>
      <c r="R472" s="64" t="str">
        <f>IFERROR(__xludf.DUMMYFUNCTION("""COMPUTED_VALUE"""),"APOYO ATLETISMO")</f>
        <v>APOYO ATLETISMO</v>
      </c>
      <c r="S472" s="64" t="str">
        <f>IFERROR(__xludf.DUMMYFUNCTION("""COMPUTED_VALUE"""),"APOYO A CICLISMO")</f>
        <v>APOYO A CICLISMO</v>
      </c>
      <c r="T472" s="64" t="str">
        <f>IFERROR(__xludf.DUMMYFUNCTION("""COMPUTED_VALUE"""),"DESCARGA DE BATERÍA")</f>
        <v>DESCARGA DE BATERÍA</v>
      </c>
      <c r="U472" s="64" t="str">
        <f>IFERROR(__xludf.DUMMYFUNCTION("""COMPUTED_VALUE"""),"PROBLEMAS DE SALUD")</f>
        <v>PROBLEMAS DE SALUD</v>
      </c>
      <c r="V472" s="64" t="str">
        <f>IFERROR(__xludf.DUMMYFUNCTION("""COMPUTED_VALUE"""),"OLVIDO LA LLAVE")</f>
        <v>OLVIDO LA LLAVE</v>
      </c>
      <c r="W472" s="64" t="str">
        <f>IFERROR(__xludf.DUMMYFUNCTION("""COMPUTED_VALUE"""),"CARGA SOBREDIMENSIONADA")</f>
        <v>CARGA SOBREDIMENSIONADA</v>
      </c>
      <c r="X472" s="64" t="str">
        <f>IFERROR(__xludf.DUMMYFUNCTION("""COMPUTED_VALUE"""),"VEHÍCULO ABANDONADO")</f>
        <v>VEHÍCULO ABANDONADO</v>
      </c>
      <c r="Y472" s="64" t="str">
        <f>IFERROR(__xludf.DUMMYFUNCTION("""COMPUTED_VALUE"""),"DESPRENDIMIENTO")</f>
        <v>DESPRENDIMIENTO</v>
      </c>
      <c r="Z472" s="64" t="str">
        <f>IFERROR(__xludf.DUMMYFUNCTION("""COMPUTED_VALUE"""),"CAÍDA DE POSTE")</f>
        <v>CAÍDA DE POSTE</v>
      </c>
      <c r="AA472" s="64" t="str">
        <f>IFERROR(__xludf.DUMMYFUNCTION("""COMPUTED_VALUE"""),"CAÍDA DE RAMA")</f>
        <v>CAÍDA DE RAMA</v>
      </c>
      <c r="AB472" s="64" t="str">
        <f>IFERROR(__xludf.DUMMYFUNCTION("""COMPUTED_VALUE"""),"OPERATIVO DGT")</f>
        <v>OPERATIVO DGT</v>
      </c>
      <c r="AC472" s="64" t="str">
        <f>IFERROR(__xludf.DUMMYFUNCTION("""COMPUTED_VALUE"""),"OPERATIVO PMT")</f>
        <v>OPERATIVO PMT</v>
      </c>
      <c r="AD472" s="64" t="str">
        <f>IFERROR(__xludf.DUMMYFUNCTION("""COMPUTED_VALUE"""),"APOYO A DIGEF")</f>
        <v>APOYO A DIGEF</v>
      </c>
      <c r="AE472" s="64" t="str">
        <f>IFERROR(__xludf.DUMMYFUNCTION("""COMPUTED_VALUE"""),"OPERATIVO PNC TRANSITO")</f>
        <v>OPERATIVO PNC TRANSITO</v>
      </c>
      <c r="AF472" s="64" t="str">
        <f>IFERROR(__xludf.DUMMYFUNCTION("""COMPUTED_VALUE"""),"SOBRECARGA ")</f>
        <v>SOBRECARGA </v>
      </c>
      <c r="AG472" s="64" t="str">
        <f>IFERROR(__xludf.DUMMYFUNCTION("""COMPUTED_VALUE"""),"OPERATIVO EN CONJUNTO")</f>
        <v>OPERATIVO EN CONJUNTO</v>
      </c>
      <c r="AH472" s="64" t="str">
        <f>IFERROR(__xludf.DUMMYFUNCTION("""COMPUTED_VALUE"""),"PUESTO DE ATENCION AL USUARIO")</f>
        <v>PUESTO DE ATENCION AL USUARIO</v>
      </c>
      <c r="AI472" s="64" t="str">
        <f>IFERROR(__xludf.DUMMYFUNCTION("""COMPUTED_VALUE"""),"INCENDIO EN RUTA")</f>
        <v>INCENDIO EN RUTA</v>
      </c>
      <c r="AJ472" s="64" t="str">
        <f>IFERROR(__xludf.DUMMYFUNCTION("""COMPUTED_VALUE"""),"APOYO ANTORCHA ")</f>
        <v>APOYO ANTORCHA </v>
      </c>
    </row>
    <row r="473">
      <c r="B473" s="64" t="s">
        <v>38</v>
      </c>
      <c r="C473" s="64" t="str">
        <f>IFERROR(__xludf.DUMMYFUNCTION(" TRANSPOSE( unique ( QUERY(DATOPRO,""select Col2 where Col1 = '""&amp;B473&amp;""'"")))"),"ATAQUE ARMADO")</f>
        <v>ATAQUE ARMADO</v>
      </c>
      <c r="D473" s="64" t="str">
        <f>IFERROR(__xludf.DUMMYFUNCTION("""COMPUTED_VALUE"""),"DESBALANCE DE CARGA")</f>
        <v>DESBALANCE DE CARGA</v>
      </c>
      <c r="E473" s="64" t="str">
        <f>IFERROR(__xludf.DUMMYFUNCTION("""COMPUTED_VALUE"""),"PERSONA FALLECIDA")</f>
        <v>PERSONA FALLECIDA</v>
      </c>
      <c r="F473" s="64" t="str">
        <f>IFERROR(__xludf.DUMMYFUNCTION("""COMPUTED_VALUE"""),"DESPRENDIMIENTO DE NEUMATICO")</f>
        <v>DESPRENDIMIENTO DE NEUMATICO</v>
      </c>
      <c r="G473" s="64" t="str">
        <f>IFERROR(__xludf.DUMMYFUNCTION("""COMPUTED_VALUE"""),"SALIDA DE PISTA")</f>
        <v>SALIDA DE PISTA</v>
      </c>
      <c r="H473" s="64" t="str">
        <f>IFERROR(__xludf.DUMMYFUNCTION("""COMPUTED_VALUE"""),"DESPRENDIMIENTO DE CONTENEDOR")</f>
        <v>DESPRENDIMIENTO DE CONTENEDOR</v>
      </c>
      <c r="I473" s="64" t="str">
        <f>IFERROR(__xludf.DUMMYFUNCTION("""COMPUTED_VALUE"""),"CAÍDA DE CARGA")</f>
        <v>CAÍDA DE CARGA</v>
      </c>
      <c r="J473" s="64" t="str">
        <f>IFERROR(__xludf.DUMMYFUNCTION("""COMPUTED_VALUE"""),"CHOQUE")</f>
        <v>CHOQUE</v>
      </c>
      <c r="K473" s="64" t="str">
        <f>IFERROR(__xludf.DUMMYFUNCTION("""COMPUTED_VALUE"""),"COLISIÓN")</f>
        <v>COLISIÓN</v>
      </c>
      <c r="L473" s="64" t="str">
        <f>IFERROR(__xludf.DUMMYFUNCTION("""COMPUTED_VALUE"""),"COLISIÓN MÚLTIPLE")</f>
        <v>COLISIÓN MÚLTIPLE</v>
      </c>
      <c r="M473" s="64" t="str">
        <f>IFERROR(__xludf.DUMMYFUNCTION("""COMPUTED_VALUE"""),"DERRAPE")</f>
        <v>DERRAPE</v>
      </c>
      <c r="N473" s="64" t="str">
        <f>IFERROR(__xludf.DUMMYFUNCTION("""COMPUTED_VALUE"""),"VEHÍCULO INCENDIADO")</f>
        <v>VEHÍCULO INCENDIADO</v>
      </c>
      <c r="O473" s="64" t="str">
        <f>IFERROR(__xludf.DUMMYFUNCTION("""COMPUTED_VALUE"""),"VUELCO")</f>
        <v>VUELCO</v>
      </c>
      <c r="P473" s="64" t="str">
        <f>IFERROR(__xludf.DUMMYFUNCTION("""COMPUTED_VALUE"""),"DESPRENDIMIENTO")</f>
        <v>DESPRENDIMIENTO</v>
      </c>
      <c r="Q473" s="64" t="str">
        <f>IFERROR(__xludf.DUMMYFUNCTION("""COMPUTED_VALUE"""),"CAÍDA DE ÁRBOL")</f>
        <v>CAÍDA DE ÁRBOL</v>
      </c>
      <c r="R473" s="64" t="str">
        <f>IFERROR(__xludf.DUMMYFUNCTION("""COMPUTED_VALUE"""),"DESPRENDIMIENTO DE EJE")</f>
        <v>DESPRENDIMIENTO DE EJE</v>
      </c>
      <c r="S473" s="64" t="str">
        <f>IFERROR(__xludf.DUMMYFUNCTION("""COMPUTED_VALUE"""),"PERSONA ATROPELLADA")</f>
        <v>PERSONA ATROPELLADA</v>
      </c>
    </row>
    <row r="474">
      <c r="B474" s="64" t="s">
        <v>54</v>
      </c>
      <c r="C474" s="64" t="str">
        <f>IFERROR(__xludf.DUMMYFUNCTION(" TRANSPOSE( unique ( QUERY(DATOPRO,""select Col2 where Col1 = '""&amp;B474&amp;""'"")))"),"PINCHAZO")</f>
        <v>PINCHAZO</v>
      </c>
      <c r="D474" s="64" t="str">
        <f>IFERROR(__xludf.DUMMYFUNCTION("""COMPUTED_VALUE"""),"TRABAJOS DE CARRETERA")</f>
        <v>TRABAJOS DE CARRETERA</v>
      </c>
      <c r="E474" s="64" t="str">
        <f>IFERROR(__xludf.DUMMYFUNCTION("""COMPUTED_VALUE"""),"CONSIGNACIÓN")</f>
        <v>CONSIGNACIÓN</v>
      </c>
      <c r="F474" s="64" t="str">
        <f>IFERROR(__xludf.DUMMYFUNCTION("""COMPUTED_VALUE"""),"DERRAME")</f>
        <v>DERRAME</v>
      </c>
      <c r="G474" s="64" t="str">
        <f>IFERROR(__xludf.DUMMYFUNCTION("""COMPUTED_VALUE"""),"CALENTAMIENTO")</f>
        <v>CALENTAMIENTO</v>
      </c>
      <c r="H474" s="64" t="str">
        <f>IFERROR(__xludf.DUMMYFUNCTION("""COMPUTED_VALUE"""),"ESCOLTANDO")</f>
        <v>ESCOLTANDO</v>
      </c>
      <c r="I474" s="64" t="str">
        <f>IFERROR(__xludf.DUMMYFUNCTION("""COMPUTED_VALUE"""),"FALTA DE COMBUSTIBLE")</f>
        <v>FALTA DE COMBUSTIBLE</v>
      </c>
      <c r="J474" s="64" t="str">
        <f>IFERROR(__xludf.DUMMYFUNCTION("""COMPUTED_VALUE"""),"DESPERFECTOS MECÁNICOS")</f>
        <v>DESPERFECTOS MECÁNICOS</v>
      </c>
      <c r="K474" s="64" t="str">
        <f>IFERROR(__xludf.DUMMYFUNCTION("""COMPUTED_VALUE"""),"LLAMADA DE ATENCIÓN")</f>
        <v>LLAMADA DE ATENCIÓN</v>
      </c>
      <c r="L474" s="64" t="str">
        <f>IFERROR(__xludf.DUMMYFUNCTION("""COMPUTED_VALUE"""),"OPERATIVOS")</f>
        <v>OPERATIVOS</v>
      </c>
      <c r="M474" s="64" t="str">
        <f>IFERROR(__xludf.DUMMYFUNCTION("""COMPUTED_VALUE"""),"SANCIÓN")</f>
        <v>SANCIÓN</v>
      </c>
      <c r="N474" s="64" t="str">
        <f>IFERROR(__xludf.DUMMYFUNCTION("""COMPUTED_VALUE"""),"SISTEMA ELECTRICO")</f>
        <v>SISTEMA ELECTRICO</v>
      </c>
      <c r="O474" s="64" t="str">
        <f>IFERROR(__xludf.DUMMYFUNCTION("""COMPUTED_VALUE"""),"ASISTENCIA AL USUARIO")</f>
        <v>ASISTENCIA AL USUARIO</v>
      </c>
      <c r="P474" s="64" t="str">
        <f>IFERROR(__xludf.DUMMYFUNCTION("""COMPUTED_VALUE"""),"DOBLE REMOLQUE")</f>
        <v>DOBLE REMOLQUE</v>
      </c>
      <c r="Q474" s="64" t="str">
        <f>IFERROR(__xludf.DUMMYFUNCTION("""COMPUTED_VALUE"""),"SINAPRESE")</f>
        <v>SINAPRESE</v>
      </c>
      <c r="R474" s="64" t="str">
        <f>IFERROR(__xludf.DUMMYFUNCTION("""COMPUTED_VALUE"""),"APOYO ATLETISMO")</f>
        <v>APOYO ATLETISMO</v>
      </c>
      <c r="S474" s="64" t="str">
        <f>IFERROR(__xludf.DUMMYFUNCTION("""COMPUTED_VALUE"""),"APOYO A CICLISMO")</f>
        <v>APOYO A CICLISMO</v>
      </c>
      <c r="T474" s="64" t="str">
        <f>IFERROR(__xludf.DUMMYFUNCTION("""COMPUTED_VALUE"""),"DESCARGA DE BATERÍA")</f>
        <v>DESCARGA DE BATERÍA</v>
      </c>
      <c r="U474" s="64" t="str">
        <f>IFERROR(__xludf.DUMMYFUNCTION("""COMPUTED_VALUE"""),"PROBLEMAS DE SALUD")</f>
        <v>PROBLEMAS DE SALUD</v>
      </c>
      <c r="V474" s="64" t="str">
        <f>IFERROR(__xludf.DUMMYFUNCTION("""COMPUTED_VALUE"""),"OLVIDO LA LLAVE")</f>
        <v>OLVIDO LA LLAVE</v>
      </c>
      <c r="W474" s="64" t="str">
        <f>IFERROR(__xludf.DUMMYFUNCTION("""COMPUTED_VALUE"""),"CARGA SOBREDIMENSIONADA")</f>
        <v>CARGA SOBREDIMENSIONADA</v>
      </c>
      <c r="X474" s="64" t="str">
        <f>IFERROR(__xludf.DUMMYFUNCTION("""COMPUTED_VALUE"""),"VEHÍCULO ABANDONADO")</f>
        <v>VEHÍCULO ABANDONADO</v>
      </c>
      <c r="Y474" s="64" t="str">
        <f>IFERROR(__xludf.DUMMYFUNCTION("""COMPUTED_VALUE"""),"DESPRENDIMIENTO")</f>
        <v>DESPRENDIMIENTO</v>
      </c>
      <c r="Z474" s="64" t="str">
        <f>IFERROR(__xludf.DUMMYFUNCTION("""COMPUTED_VALUE"""),"CAÍDA DE POSTE")</f>
        <v>CAÍDA DE POSTE</v>
      </c>
      <c r="AA474" s="64" t="str">
        <f>IFERROR(__xludf.DUMMYFUNCTION("""COMPUTED_VALUE"""),"CAÍDA DE RAMA")</f>
        <v>CAÍDA DE RAMA</v>
      </c>
      <c r="AB474" s="64" t="str">
        <f>IFERROR(__xludf.DUMMYFUNCTION("""COMPUTED_VALUE"""),"OPERATIVO DGT")</f>
        <v>OPERATIVO DGT</v>
      </c>
      <c r="AC474" s="64" t="str">
        <f>IFERROR(__xludf.DUMMYFUNCTION("""COMPUTED_VALUE"""),"OPERATIVO PMT")</f>
        <v>OPERATIVO PMT</v>
      </c>
      <c r="AD474" s="64" t="str">
        <f>IFERROR(__xludf.DUMMYFUNCTION("""COMPUTED_VALUE"""),"APOYO A DIGEF")</f>
        <v>APOYO A DIGEF</v>
      </c>
      <c r="AE474" s="64" t="str">
        <f>IFERROR(__xludf.DUMMYFUNCTION("""COMPUTED_VALUE"""),"OPERATIVO PNC TRANSITO")</f>
        <v>OPERATIVO PNC TRANSITO</v>
      </c>
      <c r="AF474" s="64" t="str">
        <f>IFERROR(__xludf.DUMMYFUNCTION("""COMPUTED_VALUE"""),"SOBRECARGA ")</f>
        <v>SOBRECARGA </v>
      </c>
      <c r="AG474" s="64" t="str">
        <f>IFERROR(__xludf.DUMMYFUNCTION("""COMPUTED_VALUE"""),"OPERATIVO EN CONJUNTO")</f>
        <v>OPERATIVO EN CONJUNTO</v>
      </c>
      <c r="AH474" s="64" t="str">
        <f>IFERROR(__xludf.DUMMYFUNCTION("""COMPUTED_VALUE"""),"PUESTO DE ATENCION AL USUARIO")</f>
        <v>PUESTO DE ATENCION AL USUARIO</v>
      </c>
      <c r="AI474" s="64" t="str">
        <f>IFERROR(__xludf.DUMMYFUNCTION("""COMPUTED_VALUE"""),"INCENDIO EN RUTA")</f>
        <v>INCENDIO EN RUTA</v>
      </c>
      <c r="AJ474" s="64" t="str">
        <f>IFERROR(__xludf.DUMMYFUNCTION("""COMPUTED_VALUE"""),"APOYO ANTORCHA ")</f>
        <v>APOYO ANTORCHA </v>
      </c>
    </row>
    <row r="475">
      <c r="B475" s="64" t="s">
        <v>54</v>
      </c>
      <c r="C475" s="64" t="str">
        <f>IFERROR(__xludf.DUMMYFUNCTION(" TRANSPOSE( unique ( QUERY(DATOPRO,""select Col2 where Col1 = '""&amp;B475&amp;""'"")))"),"PINCHAZO")</f>
        <v>PINCHAZO</v>
      </c>
      <c r="D475" s="64" t="str">
        <f>IFERROR(__xludf.DUMMYFUNCTION("""COMPUTED_VALUE"""),"TRABAJOS DE CARRETERA")</f>
        <v>TRABAJOS DE CARRETERA</v>
      </c>
      <c r="E475" s="64" t="str">
        <f>IFERROR(__xludf.DUMMYFUNCTION("""COMPUTED_VALUE"""),"CONSIGNACIÓN")</f>
        <v>CONSIGNACIÓN</v>
      </c>
      <c r="F475" s="64" t="str">
        <f>IFERROR(__xludf.DUMMYFUNCTION("""COMPUTED_VALUE"""),"DERRAME")</f>
        <v>DERRAME</v>
      </c>
      <c r="G475" s="64" t="str">
        <f>IFERROR(__xludf.DUMMYFUNCTION("""COMPUTED_VALUE"""),"CALENTAMIENTO")</f>
        <v>CALENTAMIENTO</v>
      </c>
      <c r="H475" s="64" t="str">
        <f>IFERROR(__xludf.DUMMYFUNCTION("""COMPUTED_VALUE"""),"ESCOLTANDO")</f>
        <v>ESCOLTANDO</v>
      </c>
      <c r="I475" s="64" t="str">
        <f>IFERROR(__xludf.DUMMYFUNCTION("""COMPUTED_VALUE"""),"FALTA DE COMBUSTIBLE")</f>
        <v>FALTA DE COMBUSTIBLE</v>
      </c>
      <c r="J475" s="64" t="str">
        <f>IFERROR(__xludf.DUMMYFUNCTION("""COMPUTED_VALUE"""),"DESPERFECTOS MECÁNICOS")</f>
        <v>DESPERFECTOS MECÁNICOS</v>
      </c>
      <c r="K475" s="64" t="str">
        <f>IFERROR(__xludf.DUMMYFUNCTION("""COMPUTED_VALUE"""),"LLAMADA DE ATENCIÓN")</f>
        <v>LLAMADA DE ATENCIÓN</v>
      </c>
      <c r="L475" s="64" t="str">
        <f>IFERROR(__xludf.DUMMYFUNCTION("""COMPUTED_VALUE"""),"OPERATIVOS")</f>
        <v>OPERATIVOS</v>
      </c>
      <c r="M475" s="64" t="str">
        <f>IFERROR(__xludf.DUMMYFUNCTION("""COMPUTED_VALUE"""),"SANCIÓN")</f>
        <v>SANCIÓN</v>
      </c>
      <c r="N475" s="64" t="str">
        <f>IFERROR(__xludf.DUMMYFUNCTION("""COMPUTED_VALUE"""),"SISTEMA ELECTRICO")</f>
        <v>SISTEMA ELECTRICO</v>
      </c>
      <c r="O475" s="64" t="str">
        <f>IFERROR(__xludf.DUMMYFUNCTION("""COMPUTED_VALUE"""),"ASISTENCIA AL USUARIO")</f>
        <v>ASISTENCIA AL USUARIO</v>
      </c>
      <c r="P475" s="64" t="str">
        <f>IFERROR(__xludf.DUMMYFUNCTION("""COMPUTED_VALUE"""),"DOBLE REMOLQUE")</f>
        <v>DOBLE REMOLQUE</v>
      </c>
      <c r="Q475" s="64" t="str">
        <f>IFERROR(__xludf.DUMMYFUNCTION("""COMPUTED_VALUE"""),"SINAPRESE")</f>
        <v>SINAPRESE</v>
      </c>
      <c r="R475" s="64" t="str">
        <f>IFERROR(__xludf.DUMMYFUNCTION("""COMPUTED_VALUE"""),"APOYO ATLETISMO")</f>
        <v>APOYO ATLETISMO</v>
      </c>
      <c r="S475" s="64" t="str">
        <f>IFERROR(__xludf.DUMMYFUNCTION("""COMPUTED_VALUE"""),"APOYO A CICLISMO")</f>
        <v>APOYO A CICLISMO</v>
      </c>
      <c r="T475" s="64" t="str">
        <f>IFERROR(__xludf.DUMMYFUNCTION("""COMPUTED_VALUE"""),"DESCARGA DE BATERÍA")</f>
        <v>DESCARGA DE BATERÍA</v>
      </c>
      <c r="U475" s="64" t="str">
        <f>IFERROR(__xludf.DUMMYFUNCTION("""COMPUTED_VALUE"""),"PROBLEMAS DE SALUD")</f>
        <v>PROBLEMAS DE SALUD</v>
      </c>
      <c r="V475" s="64" t="str">
        <f>IFERROR(__xludf.DUMMYFUNCTION("""COMPUTED_VALUE"""),"OLVIDO LA LLAVE")</f>
        <v>OLVIDO LA LLAVE</v>
      </c>
      <c r="W475" s="64" t="str">
        <f>IFERROR(__xludf.DUMMYFUNCTION("""COMPUTED_VALUE"""),"CARGA SOBREDIMENSIONADA")</f>
        <v>CARGA SOBREDIMENSIONADA</v>
      </c>
      <c r="X475" s="64" t="str">
        <f>IFERROR(__xludf.DUMMYFUNCTION("""COMPUTED_VALUE"""),"VEHÍCULO ABANDONADO")</f>
        <v>VEHÍCULO ABANDONADO</v>
      </c>
      <c r="Y475" s="64" t="str">
        <f>IFERROR(__xludf.DUMMYFUNCTION("""COMPUTED_VALUE"""),"DESPRENDIMIENTO")</f>
        <v>DESPRENDIMIENTO</v>
      </c>
      <c r="Z475" s="64" t="str">
        <f>IFERROR(__xludf.DUMMYFUNCTION("""COMPUTED_VALUE"""),"CAÍDA DE POSTE")</f>
        <v>CAÍDA DE POSTE</v>
      </c>
      <c r="AA475" s="64" t="str">
        <f>IFERROR(__xludf.DUMMYFUNCTION("""COMPUTED_VALUE"""),"CAÍDA DE RAMA")</f>
        <v>CAÍDA DE RAMA</v>
      </c>
      <c r="AB475" s="64" t="str">
        <f>IFERROR(__xludf.DUMMYFUNCTION("""COMPUTED_VALUE"""),"OPERATIVO DGT")</f>
        <v>OPERATIVO DGT</v>
      </c>
      <c r="AC475" s="64" t="str">
        <f>IFERROR(__xludf.DUMMYFUNCTION("""COMPUTED_VALUE"""),"OPERATIVO PMT")</f>
        <v>OPERATIVO PMT</v>
      </c>
      <c r="AD475" s="64" t="str">
        <f>IFERROR(__xludf.DUMMYFUNCTION("""COMPUTED_VALUE"""),"APOYO A DIGEF")</f>
        <v>APOYO A DIGEF</v>
      </c>
      <c r="AE475" s="64" t="str">
        <f>IFERROR(__xludf.DUMMYFUNCTION("""COMPUTED_VALUE"""),"OPERATIVO PNC TRANSITO")</f>
        <v>OPERATIVO PNC TRANSITO</v>
      </c>
      <c r="AF475" s="64" t="str">
        <f>IFERROR(__xludf.DUMMYFUNCTION("""COMPUTED_VALUE"""),"SOBRECARGA ")</f>
        <v>SOBRECARGA </v>
      </c>
      <c r="AG475" s="64" t="str">
        <f>IFERROR(__xludf.DUMMYFUNCTION("""COMPUTED_VALUE"""),"OPERATIVO EN CONJUNTO")</f>
        <v>OPERATIVO EN CONJUNTO</v>
      </c>
      <c r="AH475" s="64" t="str">
        <f>IFERROR(__xludf.DUMMYFUNCTION("""COMPUTED_VALUE"""),"PUESTO DE ATENCION AL USUARIO")</f>
        <v>PUESTO DE ATENCION AL USUARIO</v>
      </c>
      <c r="AI475" s="64" t="str">
        <f>IFERROR(__xludf.DUMMYFUNCTION("""COMPUTED_VALUE"""),"INCENDIO EN RUTA")</f>
        <v>INCENDIO EN RUTA</v>
      </c>
      <c r="AJ475" s="64" t="str">
        <f>IFERROR(__xludf.DUMMYFUNCTION("""COMPUTED_VALUE"""),"APOYO ANTORCHA ")</f>
        <v>APOYO ANTORCHA </v>
      </c>
    </row>
    <row r="476">
      <c r="B476" s="64" t="s">
        <v>54</v>
      </c>
      <c r="C476" s="64" t="str">
        <f>IFERROR(__xludf.DUMMYFUNCTION(" TRANSPOSE( unique ( QUERY(DATOPRO,""select Col2 where Col1 = '""&amp;B476&amp;""'"")))"),"PINCHAZO")</f>
        <v>PINCHAZO</v>
      </c>
      <c r="D476" s="64" t="str">
        <f>IFERROR(__xludf.DUMMYFUNCTION("""COMPUTED_VALUE"""),"TRABAJOS DE CARRETERA")</f>
        <v>TRABAJOS DE CARRETERA</v>
      </c>
      <c r="E476" s="64" t="str">
        <f>IFERROR(__xludf.DUMMYFUNCTION("""COMPUTED_VALUE"""),"CONSIGNACIÓN")</f>
        <v>CONSIGNACIÓN</v>
      </c>
      <c r="F476" s="64" t="str">
        <f>IFERROR(__xludf.DUMMYFUNCTION("""COMPUTED_VALUE"""),"DERRAME")</f>
        <v>DERRAME</v>
      </c>
      <c r="G476" s="64" t="str">
        <f>IFERROR(__xludf.DUMMYFUNCTION("""COMPUTED_VALUE"""),"CALENTAMIENTO")</f>
        <v>CALENTAMIENTO</v>
      </c>
      <c r="H476" s="64" t="str">
        <f>IFERROR(__xludf.DUMMYFUNCTION("""COMPUTED_VALUE"""),"ESCOLTANDO")</f>
        <v>ESCOLTANDO</v>
      </c>
      <c r="I476" s="64" t="str">
        <f>IFERROR(__xludf.DUMMYFUNCTION("""COMPUTED_VALUE"""),"FALTA DE COMBUSTIBLE")</f>
        <v>FALTA DE COMBUSTIBLE</v>
      </c>
      <c r="J476" s="64" t="str">
        <f>IFERROR(__xludf.DUMMYFUNCTION("""COMPUTED_VALUE"""),"DESPERFECTOS MECÁNICOS")</f>
        <v>DESPERFECTOS MECÁNICOS</v>
      </c>
      <c r="K476" s="64" t="str">
        <f>IFERROR(__xludf.DUMMYFUNCTION("""COMPUTED_VALUE"""),"LLAMADA DE ATENCIÓN")</f>
        <v>LLAMADA DE ATENCIÓN</v>
      </c>
      <c r="L476" s="64" t="str">
        <f>IFERROR(__xludf.DUMMYFUNCTION("""COMPUTED_VALUE"""),"OPERATIVOS")</f>
        <v>OPERATIVOS</v>
      </c>
      <c r="M476" s="64" t="str">
        <f>IFERROR(__xludf.DUMMYFUNCTION("""COMPUTED_VALUE"""),"SANCIÓN")</f>
        <v>SANCIÓN</v>
      </c>
      <c r="N476" s="64" t="str">
        <f>IFERROR(__xludf.DUMMYFUNCTION("""COMPUTED_VALUE"""),"SISTEMA ELECTRICO")</f>
        <v>SISTEMA ELECTRICO</v>
      </c>
      <c r="O476" s="64" t="str">
        <f>IFERROR(__xludf.DUMMYFUNCTION("""COMPUTED_VALUE"""),"ASISTENCIA AL USUARIO")</f>
        <v>ASISTENCIA AL USUARIO</v>
      </c>
      <c r="P476" s="64" t="str">
        <f>IFERROR(__xludf.DUMMYFUNCTION("""COMPUTED_VALUE"""),"DOBLE REMOLQUE")</f>
        <v>DOBLE REMOLQUE</v>
      </c>
      <c r="Q476" s="64" t="str">
        <f>IFERROR(__xludf.DUMMYFUNCTION("""COMPUTED_VALUE"""),"SINAPRESE")</f>
        <v>SINAPRESE</v>
      </c>
      <c r="R476" s="64" t="str">
        <f>IFERROR(__xludf.DUMMYFUNCTION("""COMPUTED_VALUE"""),"APOYO ATLETISMO")</f>
        <v>APOYO ATLETISMO</v>
      </c>
      <c r="S476" s="64" t="str">
        <f>IFERROR(__xludf.DUMMYFUNCTION("""COMPUTED_VALUE"""),"APOYO A CICLISMO")</f>
        <v>APOYO A CICLISMO</v>
      </c>
      <c r="T476" s="64" t="str">
        <f>IFERROR(__xludf.DUMMYFUNCTION("""COMPUTED_VALUE"""),"DESCARGA DE BATERÍA")</f>
        <v>DESCARGA DE BATERÍA</v>
      </c>
      <c r="U476" s="64" t="str">
        <f>IFERROR(__xludf.DUMMYFUNCTION("""COMPUTED_VALUE"""),"PROBLEMAS DE SALUD")</f>
        <v>PROBLEMAS DE SALUD</v>
      </c>
      <c r="V476" s="64" t="str">
        <f>IFERROR(__xludf.DUMMYFUNCTION("""COMPUTED_VALUE"""),"OLVIDO LA LLAVE")</f>
        <v>OLVIDO LA LLAVE</v>
      </c>
      <c r="W476" s="64" t="str">
        <f>IFERROR(__xludf.DUMMYFUNCTION("""COMPUTED_VALUE"""),"CARGA SOBREDIMENSIONADA")</f>
        <v>CARGA SOBREDIMENSIONADA</v>
      </c>
      <c r="X476" s="64" t="str">
        <f>IFERROR(__xludf.DUMMYFUNCTION("""COMPUTED_VALUE"""),"VEHÍCULO ABANDONADO")</f>
        <v>VEHÍCULO ABANDONADO</v>
      </c>
      <c r="Y476" s="64" t="str">
        <f>IFERROR(__xludf.DUMMYFUNCTION("""COMPUTED_VALUE"""),"DESPRENDIMIENTO")</f>
        <v>DESPRENDIMIENTO</v>
      </c>
      <c r="Z476" s="64" t="str">
        <f>IFERROR(__xludf.DUMMYFUNCTION("""COMPUTED_VALUE"""),"CAÍDA DE POSTE")</f>
        <v>CAÍDA DE POSTE</v>
      </c>
      <c r="AA476" s="64" t="str">
        <f>IFERROR(__xludf.DUMMYFUNCTION("""COMPUTED_VALUE"""),"CAÍDA DE RAMA")</f>
        <v>CAÍDA DE RAMA</v>
      </c>
      <c r="AB476" s="64" t="str">
        <f>IFERROR(__xludf.DUMMYFUNCTION("""COMPUTED_VALUE"""),"OPERATIVO DGT")</f>
        <v>OPERATIVO DGT</v>
      </c>
      <c r="AC476" s="64" t="str">
        <f>IFERROR(__xludf.DUMMYFUNCTION("""COMPUTED_VALUE"""),"OPERATIVO PMT")</f>
        <v>OPERATIVO PMT</v>
      </c>
      <c r="AD476" s="64" t="str">
        <f>IFERROR(__xludf.DUMMYFUNCTION("""COMPUTED_VALUE"""),"APOYO A DIGEF")</f>
        <v>APOYO A DIGEF</v>
      </c>
      <c r="AE476" s="64" t="str">
        <f>IFERROR(__xludf.DUMMYFUNCTION("""COMPUTED_VALUE"""),"OPERATIVO PNC TRANSITO")</f>
        <v>OPERATIVO PNC TRANSITO</v>
      </c>
      <c r="AF476" s="64" t="str">
        <f>IFERROR(__xludf.DUMMYFUNCTION("""COMPUTED_VALUE"""),"SOBRECARGA ")</f>
        <v>SOBRECARGA </v>
      </c>
      <c r="AG476" s="64" t="str">
        <f>IFERROR(__xludf.DUMMYFUNCTION("""COMPUTED_VALUE"""),"OPERATIVO EN CONJUNTO")</f>
        <v>OPERATIVO EN CONJUNTO</v>
      </c>
      <c r="AH476" s="64" t="str">
        <f>IFERROR(__xludf.DUMMYFUNCTION("""COMPUTED_VALUE"""),"PUESTO DE ATENCION AL USUARIO")</f>
        <v>PUESTO DE ATENCION AL USUARIO</v>
      </c>
      <c r="AI476" s="64" t="str">
        <f>IFERROR(__xludf.DUMMYFUNCTION("""COMPUTED_VALUE"""),"INCENDIO EN RUTA")</f>
        <v>INCENDIO EN RUTA</v>
      </c>
      <c r="AJ476" s="64" t="str">
        <f>IFERROR(__xludf.DUMMYFUNCTION("""COMPUTED_VALUE"""),"APOYO ANTORCHA ")</f>
        <v>APOYO ANTORCHA </v>
      </c>
    </row>
    <row r="477">
      <c r="B477" s="64" t="s">
        <v>54</v>
      </c>
      <c r="C477" s="64" t="str">
        <f>IFERROR(__xludf.DUMMYFUNCTION(" TRANSPOSE( unique ( QUERY(DATOPRO,""select Col2 where Col1 = '""&amp;B477&amp;""'"")))"),"PINCHAZO")</f>
        <v>PINCHAZO</v>
      </c>
      <c r="D477" s="64" t="str">
        <f>IFERROR(__xludf.DUMMYFUNCTION("""COMPUTED_VALUE"""),"TRABAJOS DE CARRETERA")</f>
        <v>TRABAJOS DE CARRETERA</v>
      </c>
      <c r="E477" s="64" t="str">
        <f>IFERROR(__xludf.DUMMYFUNCTION("""COMPUTED_VALUE"""),"CONSIGNACIÓN")</f>
        <v>CONSIGNACIÓN</v>
      </c>
      <c r="F477" s="64" t="str">
        <f>IFERROR(__xludf.DUMMYFUNCTION("""COMPUTED_VALUE"""),"DERRAME")</f>
        <v>DERRAME</v>
      </c>
      <c r="G477" s="64" t="str">
        <f>IFERROR(__xludf.DUMMYFUNCTION("""COMPUTED_VALUE"""),"CALENTAMIENTO")</f>
        <v>CALENTAMIENTO</v>
      </c>
      <c r="H477" s="64" t="str">
        <f>IFERROR(__xludf.DUMMYFUNCTION("""COMPUTED_VALUE"""),"ESCOLTANDO")</f>
        <v>ESCOLTANDO</v>
      </c>
      <c r="I477" s="64" t="str">
        <f>IFERROR(__xludf.DUMMYFUNCTION("""COMPUTED_VALUE"""),"FALTA DE COMBUSTIBLE")</f>
        <v>FALTA DE COMBUSTIBLE</v>
      </c>
      <c r="J477" s="64" t="str">
        <f>IFERROR(__xludf.DUMMYFUNCTION("""COMPUTED_VALUE"""),"DESPERFECTOS MECÁNICOS")</f>
        <v>DESPERFECTOS MECÁNICOS</v>
      </c>
      <c r="K477" s="64" t="str">
        <f>IFERROR(__xludf.DUMMYFUNCTION("""COMPUTED_VALUE"""),"LLAMADA DE ATENCIÓN")</f>
        <v>LLAMADA DE ATENCIÓN</v>
      </c>
      <c r="L477" s="64" t="str">
        <f>IFERROR(__xludf.DUMMYFUNCTION("""COMPUTED_VALUE"""),"OPERATIVOS")</f>
        <v>OPERATIVOS</v>
      </c>
      <c r="M477" s="64" t="str">
        <f>IFERROR(__xludf.DUMMYFUNCTION("""COMPUTED_VALUE"""),"SANCIÓN")</f>
        <v>SANCIÓN</v>
      </c>
      <c r="N477" s="64" t="str">
        <f>IFERROR(__xludf.DUMMYFUNCTION("""COMPUTED_VALUE"""),"SISTEMA ELECTRICO")</f>
        <v>SISTEMA ELECTRICO</v>
      </c>
      <c r="O477" s="64" t="str">
        <f>IFERROR(__xludf.DUMMYFUNCTION("""COMPUTED_VALUE"""),"ASISTENCIA AL USUARIO")</f>
        <v>ASISTENCIA AL USUARIO</v>
      </c>
      <c r="P477" s="64" t="str">
        <f>IFERROR(__xludf.DUMMYFUNCTION("""COMPUTED_VALUE"""),"DOBLE REMOLQUE")</f>
        <v>DOBLE REMOLQUE</v>
      </c>
      <c r="Q477" s="64" t="str">
        <f>IFERROR(__xludf.DUMMYFUNCTION("""COMPUTED_VALUE"""),"SINAPRESE")</f>
        <v>SINAPRESE</v>
      </c>
      <c r="R477" s="64" t="str">
        <f>IFERROR(__xludf.DUMMYFUNCTION("""COMPUTED_VALUE"""),"APOYO ATLETISMO")</f>
        <v>APOYO ATLETISMO</v>
      </c>
      <c r="S477" s="64" t="str">
        <f>IFERROR(__xludf.DUMMYFUNCTION("""COMPUTED_VALUE"""),"APOYO A CICLISMO")</f>
        <v>APOYO A CICLISMO</v>
      </c>
      <c r="T477" s="64" t="str">
        <f>IFERROR(__xludf.DUMMYFUNCTION("""COMPUTED_VALUE"""),"DESCARGA DE BATERÍA")</f>
        <v>DESCARGA DE BATERÍA</v>
      </c>
      <c r="U477" s="64" t="str">
        <f>IFERROR(__xludf.DUMMYFUNCTION("""COMPUTED_VALUE"""),"PROBLEMAS DE SALUD")</f>
        <v>PROBLEMAS DE SALUD</v>
      </c>
      <c r="V477" s="64" t="str">
        <f>IFERROR(__xludf.DUMMYFUNCTION("""COMPUTED_VALUE"""),"OLVIDO LA LLAVE")</f>
        <v>OLVIDO LA LLAVE</v>
      </c>
      <c r="W477" s="64" t="str">
        <f>IFERROR(__xludf.DUMMYFUNCTION("""COMPUTED_VALUE"""),"CARGA SOBREDIMENSIONADA")</f>
        <v>CARGA SOBREDIMENSIONADA</v>
      </c>
      <c r="X477" s="64" t="str">
        <f>IFERROR(__xludf.DUMMYFUNCTION("""COMPUTED_VALUE"""),"VEHÍCULO ABANDONADO")</f>
        <v>VEHÍCULO ABANDONADO</v>
      </c>
      <c r="Y477" s="64" t="str">
        <f>IFERROR(__xludf.DUMMYFUNCTION("""COMPUTED_VALUE"""),"DESPRENDIMIENTO")</f>
        <v>DESPRENDIMIENTO</v>
      </c>
      <c r="Z477" s="64" t="str">
        <f>IFERROR(__xludf.DUMMYFUNCTION("""COMPUTED_VALUE"""),"CAÍDA DE POSTE")</f>
        <v>CAÍDA DE POSTE</v>
      </c>
      <c r="AA477" s="64" t="str">
        <f>IFERROR(__xludf.DUMMYFUNCTION("""COMPUTED_VALUE"""),"CAÍDA DE RAMA")</f>
        <v>CAÍDA DE RAMA</v>
      </c>
      <c r="AB477" s="64" t="str">
        <f>IFERROR(__xludf.DUMMYFUNCTION("""COMPUTED_VALUE"""),"OPERATIVO DGT")</f>
        <v>OPERATIVO DGT</v>
      </c>
      <c r="AC477" s="64" t="str">
        <f>IFERROR(__xludf.DUMMYFUNCTION("""COMPUTED_VALUE"""),"OPERATIVO PMT")</f>
        <v>OPERATIVO PMT</v>
      </c>
      <c r="AD477" s="64" t="str">
        <f>IFERROR(__xludf.DUMMYFUNCTION("""COMPUTED_VALUE"""),"APOYO A DIGEF")</f>
        <v>APOYO A DIGEF</v>
      </c>
      <c r="AE477" s="64" t="str">
        <f>IFERROR(__xludf.DUMMYFUNCTION("""COMPUTED_VALUE"""),"OPERATIVO PNC TRANSITO")</f>
        <v>OPERATIVO PNC TRANSITO</v>
      </c>
      <c r="AF477" s="64" t="str">
        <f>IFERROR(__xludf.DUMMYFUNCTION("""COMPUTED_VALUE"""),"SOBRECARGA ")</f>
        <v>SOBRECARGA </v>
      </c>
      <c r="AG477" s="64" t="str">
        <f>IFERROR(__xludf.DUMMYFUNCTION("""COMPUTED_VALUE"""),"OPERATIVO EN CONJUNTO")</f>
        <v>OPERATIVO EN CONJUNTO</v>
      </c>
      <c r="AH477" s="64" t="str">
        <f>IFERROR(__xludf.DUMMYFUNCTION("""COMPUTED_VALUE"""),"PUESTO DE ATENCION AL USUARIO")</f>
        <v>PUESTO DE ATENCION AL USUARIO</v>
      </c>
      <c r="AI477" s="64" t="str">
        <f>IFERROR(__xludf.DUMMYFUNCTION("""COMPUTED_VALUE"""),"INCENDIO EN RUTA")</f>
        <v>INCENDIO EN RUTA</v>
      </c>
      <c r="AJ477" s="64" t="str">
        <f>IFERROR(__xludf.DUMMYFUNCTION("""COMPUTED_VALUE"""),"APOYO ANTORCHA ")</f>
        <v>APOYO ANTORCHA </v>
      </c>
    </row>
    <row r="478">
      <c r="B478" s="64" t="s">
        <v>38</v>
      </c>
      <c r="C478" s="64" t="str">
        <f>IFERROR(__xludf.DUMMYFUNCTION(" TRANSPOSE( unique ( QUERY(DATOPRO,""select Col2 where Col1 = '""&amp;B478&amp;""'"")))"),"ATAQUE ARMADO")</f>
        <v>ATAQUE ARMADO</v>
      </c>
      <c r="D478" s="64" t="str">
        <f>IFERROR(__xludf.DUMMYFUNCTION("""COMPUTED_VALUE"""),"DESBALANCE DE CARGA")</f>
        <v>DESBALANCE DE CARGA</v>
      </c>
      <c r="E478" s="64" t="str">
        <f>IFERROR(__xludf.DUMMYFUNCTION("""COMPUTED_VALUE"""),"PERSONA FALLECIDA")</f>
        <v>PERSONA FALLECIDA</v>
      </c>
      <c r="F478" s="64" t="str">
        <f>IFERROR(__xludf.DUMMYFUNCTION("""COMPUTED_VALUE"""),"DESPRENDIMIENTO DE NEUMATICO")</f>
        <v>DESPRENDIMIENTO DE NEUMATICO</v>
      </c>
      <c r="G478" s="64" t="str">
        <f>IFERROR(__xludf.DUMMYFUNCTION("""COMPUTED_VALUE"""),"SALIDA DE PISTA")</f>
        <v>SALIDA DE PISTA</v>
      </c>
      <c r="H478" s="64" t="str">
        <f>IFERROR(__xludf.DUMMYFUNCTION("""COMPUTED_VALUE"""),"DESPRENDIMIENTO DE CONTENEDOR")</f>
        <v>DESPRENDIMIENTO DE CONTENEDOR</v>
      </c>
      <c r="I478" s="64" t="str">
        <f>IFERROR(__xludf.DUMMYFUNCTION("""COMPUTED_VALUE"""),"CAÍDA DE CARGA")</f>
        <v>CAÍDA DE CARGA</v>
      </c>
      <c r="J478" s="64" t="str">
        <f>IFERROR(__xludf.DUMMYFUNCTION("""COMPUTED_VALUE"""),"CHOQUE")</f>
        <v>CHOQUE</v>
      </c>
      <c r="K478" s="64" t="str">
        <f>IFERROR(__xludf.DUMMYFUNCTION("""COMPUTED_VALUE"""),"COLISIÓN")</f>
        <v>COLISIÓN</v>
      </c>
      <c r="L478" s="64" t="str">
        <f>IFERROR(__xludf.DUMMYFUNCTION("""COMPUTED_VALUE"""),"COLISIÓN MÚLTIPLE")</f>
        <v>COLISIÓN MÚLTIPLE</v>
      </c>
      <c r="M478" s="64" t="str">
        <f>IFERROR(__xludf.DUMMYFUNCTION("""COMPUTED_VALUE"""),"DERRAPE")</f>
        <v>DERRAPE</v>
      </c>
      <c r="N478" s="64" t="str">
        <f>IFERROR(__xludf.DUMMYFUNCTION("""COMPUTED_VALUE"""),"VEHÍCULO INCENDIADO")</f>
        <v>VEHÍCULO INCENDIADO</v>
      </c>
      <c r="O478" s="64" t="str">
        <f>IFERROR(__xludf.DUMMYFUNCTION("""COMPUTED_VALUE"""),"VUELCO")</f>
        <v>VUELCO</v>
      </c>
      <c r="P478" s="64" t="str">
        <f>IFERROR(__xludf.DUMMYFUNCTION("""COMPUTED_VALUE"""),"DESPRENDIMIENTO")</f>
        <v>DESPRENDIMIENTO</v>
      </c>
      <c r="Q478" s="64" t="str">
        <f>IFERROR(__xludf.DUMMYFUNCTION("""COMPUTED_VALUE"""),"CAÍDA DE ÁRBOL")</f>
        <v>CAÍDA DE ÁRBOL</v>
      </c>
      <c r="R478" s="64" t="str">
        <f>IFERROR(__xludf.DUMMYFUNCTION("""COMPUTED_VALUE"""),"DESPRENDIMIENTO DE EJE")</f>
        <v>DESPRENDIMIENTO DE EJE</v>
      </c>
      <c r="S478" s="64" t="str">
        <f>IFERROR(__xludf.DUMMYFUNCTION("""COMPUTED_VALUE"""),"PERSONA ATROPELLADA")</f>
        <v>PERSONA ATROPELLADA</v>
      </c>
    </row>
    <row r="479">
      <c r="B479" s="64" t="s">
        <v>54</v>
      </c>
      <c r="C479" s="64" t="str">
        <f>IFERROR(__xludf.DUMMYFUNCTION(" TRANSPOSE( unique ( QUERY(DATOPRO,""select Col2 where Col1 = '""&amp;B479&amp;""'"")))"),"PINCHAZO")</f>
        <v>PINCHAZO</v>
      </c>
      <c r="D479" s="64" t="str">
        <f>IFERROR(__xludf.DUMMYFUNCTION("""COMPUTED_VALUE"""),"TRABAJOS DE CARRETERA")</f>
        <v>TRABAJOS DE CARRETERA</v>
      </c>
      <c r="E479" s="64" t="str">
        <f>IFERROR(__xludf.DUMMYFUNCTION("""COMPUTED_VALUE"""),"CONSIGNACIÓN")</f>
        <v>CONSIGNACIÓN</v>
      </c>
      <c r="F479" s="64" t="str">
        <f>IFERROR(__xludf.DUMMYFUNCTION("""COMPUTED_VALUE"""),"DERRAME")</f>
        <v>DERRAME</v>
      </c>
      <c r="G479" s="64" t="str">
        <f>IFERROR(__xludf.DUMMYFUNCTION("""COMPUTED_VALUE"""),"CALENTAMIENTO")</f>
        <v>CALENTAMIENTO</v>
      </c>
      <c r="H479" s="64" t="str">
        <f>IFERROR(__xludf.DUMMYFUNCTION("""COMPUTED_VALUE"""),"ESCOLTANDO")</f>
        <v>ESCOLTANDO</v>
      </c>
      <c r="I479" s="64" t="str">
        <f>IFERROR(__xludf.DUMMYFUNCTION("""COMPUTED_VALUE"""),"FALTA DE COMBUSTIBLE")</f>
        <v>FALTA DE COMBUSTIBLE</v>
      </c>
      <c r="J479" s="64" t="str">
        <f>IFERROR(__xludf.DUMMYFUNCTION("""COMPUTED_VALUE"""),"DESPERFECTOS MECÁNICOS")</f>
        <v>DESPERFECTOS MECÁNICOS</v>
      </c>
      <c r="K479" s="64" t="str">
        <f>IFERROR(__xludf.DUMMYFUNCTION("""COMPUTED_VALUE"""),"LLAMADA DE ATENCIÓN")</f>
        <v>LLAMADA DE ATENCIÓN</v>
      </c>
      <c r="L479" s="64" t="str">
        <f>IFERROR(__xludf.DUMMYFUNCTION("""COMPUTED_VALUE"""),"OPERATIVOS")</f>
        <v>OPERATIVOS</v>
      </c>
      <c r="M479" s="64" t="str">
        <f>IFERROR(__xludf.DUMMYFUNCTION("""COMPUTED_VALUE"""),"SANCIÓN")</f>
        <v>SANCIÓN</v>
      </c>
      <c r="N479" s="64" t="str">
        <f>IFERROR(__xludf.DUMMYFUNCTION("""COMPUTED_VALUE"""),"SISTEMA ELECTRICO")</f>
        <v>SISTEMA ELECTRICO</v>
      </c>
      <c r="O479" s="64" t="str">
        <f>IFERROR(__xludf.DUMMYFUNCTION("""COMPUTED_VALUE"""),"ASISTENCIA AL USUARIO")</f>
        <v>ASISTENCIA AL USUARIO</v>
      </c>
      <c r="P479" s="64" t="str">
        <f>IFERROR(__xludf.DUMMYFUNCTION("""COMPUTED_VALUE"""),"DOBLE REMOLQUE")</f>
        <v>DOBLE REMOLQUE</v>
      </c>
      <c r="Q479" s="64" t="str">
        <f>IFERROR(__xludf.DUMMYFUNCTION("""COMPUTED_VALUE"""),"SINAPRESE")</f>
        <v>SINAPRESE</v>
      </c>
      <c r="R479" s="64" t="str">
        <f>IFERROR(__xludf.DUMMYFUNCTION("""COMPUTED_VALUE"""),"APOYO ATLETISMO")</f>
        <v>APOYO ATLETISMO</v>
      </c>
      <c r="S479" s="64" t="str">
        <f>IFERROR(__xludf.DUMMYFUNCTION("""COMPUTED_VALUE"""),"APOYO A CICLISMO")</f>
        <v>APOYO A CICLISMO</v>
      </c>
      <c r="T479" s="64" t="str">
        <f>IFERROR(__xludf.DUMMYFUNCTION("""COMPUTED_VALUE"""),"DESCARGA DE BATERÍA")</f>
        <v>DESCARGA DE BATERÍA</v>
      </c>
      <c r="U479" s="64" t="str">
        <f>IFERROR(__xludf.DUMMYFUNCTION("""COMPUTED_VALUE"""),"PROBLEMAS DE SALUD")</f>
        <v>PROBLEMAS DE SALUD</v>
      </c>
      <c r="V479" s="64" t="str">
        <f>IFERROR(__xludf.DUMMYFUNCTION("""COMPUTED_VALUE"""),"OLVIDO LA LLAVE")</f>
        <v>OLVIDO LA LLAVE</v>
      </c>
      <c r="W479" s="64" t="str">
        <f>IFERROR(__xludf.DUMMYFUNCTION("""COMPUTED_VALUE"""),"CARGA SOBREDIMENSIONADA")</f>
        <v>CARGA SOBREDIMENSIONADA</v>
      </c>
      <c r="X479" s="64" t="str">
        <f>IFERROR(__xludf.DUMMYFUNCTION("""COMPUTED_VALUE"""),"VEHÍCULO ABANDONADO")</f>
        <v>VEHÍCULO ABANDONADO</v>
      </c>
      <c r="Y479" s="64" t="str">
        <f>IFERROR(__xludf.DUMMYFUNCTION("""COMPUTED_VALUE"""),"DESPRENDIMIENTO")</f>
        <v>DESPRENDIMIENTO</v>
      </c>
      <c r="Z479" s="64" t="str">
        <f>IFERROR(__xludf.DUMMYFUNCTION("""COMPUTED_VALUE"""),"CAÍDA DE POSTE")</f>
        <v>CAÍDA DE POSTE</v>
      </c>
      <c r="AA479" s="64" t="str">
        <f>IFERROR(__xludf.DUMMYFUNCTION("""COMPUTED_VALUE"""),"CAÍDA DE RAMA")</f>
        <v>CAÍDA DE RAMA</v>
      </c>
      <c r="AB479" s="64" t="str">
        <f>IFERROR(__xludf.DUMMYFUNCTION("""COMPUTED_VALUE"""),"OPERATIVO DGT")</f>
        <v>OPERATIVO DGT</v>
      </c>
      <c r="AC479" s="64" t="str">
        <f>IFERROR(__xludf.DUMMYFUNCTION("""COMPUTED_VALUE"""),"OPERATIVO PMT")</f>
        <v>OPERATIVO PMT</v>
      </c>
      <c r="AD479" s="64" t="str">
        <f>IFERROR(__xludf.DUMMYFUNCTION("""COMPUTED_VALUE"""),"APOYO A DIGEF")</f>
        <v>APOYO A DIGEF</v>
      </c>
      <c r="AE479" s="64" t="str">
        <f>IFERROR(__xludf.DUMMYFUNCTION("""COMPUTED_VALUE"""),"OPERATIVO PNC TRANSITO")</f>
        <v>OPERATIVO PNC TRANSITO</v>
      </c>
      <c r="AF479" s="64" t="str">
        <f>IFERROR(__xludf.DUMMYFUNCTION("""COMPUTED_VALUE"""),"SOBRECARGA ")</f>
        <v>SOBRECARGA </v>
      </c>
      <c r="AG479" s="64" t="str">
        <f>IFERROR(__xludf.DUMMYFUNCTION("""COMPUTED_VALUE"""),"OPERATIVO EN CONJUNTO")</f>
        <v>OPERATIVO EN CONJUNTO</v>
      </c>
      <c r="AH479" s="64" t="str">
        <f>IFERROR(__xludf.DUMMYFUNCTION("""COMPUTED_VALUE"""),"PUESTO DE ATENCION AL USUARIO")</f>
        <v>PUESTO DE ATENCION AL USUARIO</v>
      </c>
      <c r="AI479" s="64" t="str">
        <f>IFERROR(__xludf.DUMMYFUNCTION("""COMPUTED_VALUE"""),"INCENDIO EN RUTA")</f>
        <v>INCENDIO EN RUTA</v>
      </c>
      <c r="AJ479" s="64" t="str">
        <f>IFERROR(__xludf.DUMMYFUNCTION("""COMPUTED_VALUE"""),"APOYO ANTORCHA ")</f>
        <v>APOYO ANTORCHA </v>
      </c>
    </row>
    <row r="480">
      <c r="B480" s="64" t="s">
        <v>54</v>
      </c>
      <c r="C480" s="64" t="str">
        <f>IFERROR(__xludf.DUMMYFUNCTION(" TRANSPOSE( unique ( QUERY(DATOPRO,""select Col2 where Col1 = '""&amp;B480&amp;""'"")))"),"PINCHAZO")</f>
        <v>PINCHAZO</v>
      </c>
      <c r="D480" s="64" t="str">
        <f>IFERROR(__xludf.DUMMYFUNCTION("""COMPUTED_VALUE"""),"TRABAJOS DE CARRETERA")</f>
        <v>TRABAJOS DE CARRETERA</v>
      </c>
      <c r="E480" s="64" t="str">
        <f>IFERROR(__xludf.DUMMYFUNCTION("""COMPUTED_VALUE"""),"CONSIGNACIÓN")</f>
        <v>CONSIGNACIÓN</v>
      </c>
      <c r="F480" s="64" t="str">
        <f>IFERROR(__xludf.DUMMYFUNCTION("""COMPUTED_VALUE"""),"DERRAME")</f>
        <v>DERRAME</v>
      </c>
      <c r="G480" s="64" t="str">
        <f>IFERROR(__xludf.DUMMYFUNCTION("""COMPUTED_VALUE"""),"CALENTAMIENTO")</f>
        <v>CALENTAMIENTO</v>
      </c>
      <c r="H480" s="64" t="str">
        <f>IFERROR(__xludf.DUMMYFUNCTION("""COMPUTED_VALUE"""),"ESCOLTANDO")</f>
        <v>ESCOLTANDO</v>
      </c>
      <c r="I480" s="64" t="str">
        <f>IFERROR(__xludf.DUMMYFUNCTION("""COMPUTED_VALUE"""),"FALTA DE COMBUSTIBLE")</f>
        <v>FALTA DE COMBUSTIBLE</v>
      </c>
      <c r="J480" s="64" t="str">
        <f>IFERROR(__xludf.DUMMYFUNCTION("""COMPUTED_VALUE"""),"DESPERFECTOS MECÁNICOS")</f>
        <v>DESPERFECTOS MECÁNICOS</v>
      </c>
      <c r="K480" s="64" t="str">
        <f>IFERROR(__xludf.DUMMYFUNCTION("""COMPUTED_VALUE"""),"LLAMADA DE ATENCIÓN")</f>
        <v>LLAMADA DE ATENCIÓN</v>
      </c>
      <c r="L480" s="64" t="str">
        <f>IFERROR(__xludf.DUMMYFUNCTION("""COMPUTED_VALUE"""),"OPERATIVOS")</f>
        <v>OPERATIVOS</v>
      </c>
      <c r="M480" s="64" t="str">
        <f>IFERROR(__xludf.DUMMYFUNCTION("""COMPUTED_VALUE"""),"SANCIÓN")</f>
        <v>SANCIÓN</v>
      </c>
      <c r="N480" s="64" t="str">
        <f>IFERROR(__xludf.DUMMYFUNCTION("""COMPUTED_VALUE"""),"SISTEMA ELECTRICO")</f>
        <v>SISTEMA ELECTRICO</v>
      </c>
      <c r="O480" s="64" t="str">
        <f>IFERROR(__xludf.DUMMYFUNCTION("""COMPUTED_VALUE"""),"ASISTENCIA AL USUARIO")</f>
        <v>ASISTENCIA AL USUARIO</v>
      </c>
      <c r="P480" s="64" t="str">
        <f>IFERROR(__xludf.DUMMYFUNCTION("""COMPUTED_VALUE"""),"DOBLE REMOLQUE")</f>
        <v>DOBLE REMOLQUE</v>
      </c>
      <c r="Q480" s="64" t="str">
        <f>IFERROR(__xludf.DUMMYFUNCTION("""COMPUTED_VALUE"""),"SINAPRESE")</f>
        <v>SINAPRESE</v>
      </c>
      <c r="R480" s="64" t="str">
        <f>IFERROR(__xludf.DUMMYFUNCTION("""COMPUTED_VALUE"""),"APOYO ATLETISMO")</f>
        <v>APOYO ATLETISMO</v>
      </c>
      <c r="S480" s="64" t="str">
        <f>IFERROR(__xludf.DUMMYFUNCTION("""COMPUTED_VALUE"""),"APOYO A CICLISMO")</f>
        <v>APOYO A CICLISMO</v>
      </c>
      <c r="T480" s="64" t="str">
        <f>IFERROR(__xludf.DUMMYFUNCTION("""COMPUTED_VALUE"""),"DESCARGA DE BATERÍA")</f>
        <v>DESCARGA DE BATERÍA</v>
      </c>
      <c r="U480" s="64" t="str">
        <f>IFERROR(__xludf.DUMMYFUNCTION("""COMPUTED_VALUE"""),"PROBLEMAS DE SALUD")</f>
        <v>PROBLEMAS DE SALUD</v>
      </c>
      <c r="V480" s="64" t="str">
        <f>IFERROR(__xludf.DUMMYFUNCTION("""COMPUTED_VALUE"""),"OLVIDO LA LLAVE")</f>
        <v>OLVIDO LA LLAVE</v>
      </c>
      <c r="W480" s="64" t="str">
        <f>IFERROR(__xludf.DUMMYFUNCTION("""COMPUTED_VALUE"""),"CARGA SOBREDIMENSIONADA")</f>
        <v>CARGA SOBREDIMENSIONADA</v>
      </c>
      <c r="X480" s="64" t="str">
        <f>IFERROR(__xludf.DUMMYFUNCTION("""COMPUTED_VALUE"""),"VEHÍCULO ABANDONADO")</f>
        <v>VEHÍCULO ABANDONADO</v>
      </c>
      <c r="Y480" s="64" t="str">
        <f>IFERROR(__xludf.DUMMYFUNCTION("""COMPUTED_VALUE"""),"DESPRENDIMIENTO")</f>
        <v>DESPRENDIMIENTO</v>
      </c>
      <c r="Z480" s="64" t="str">
        <f>IFERROR(__xludf.DUMMYFUNCTION("""COMPUTED_VALUE"""),"CAÍDA DE POSTE")</f>
        <v>CAÍDA DE POSTE</v>
      </c>
      <c r="AA480" s="64" t="str">
        <f>IFERROR(__xludf.DUMMYFUNCTION("""COMPUTED_VALUE"""),"CAÍDA DE RAMA")</f>
        <v>CAÍDA DE RAMA</v>
      </c>
      <c r="AB480" s="64" t="str">
        <f>IFERROR(__xludf.DUMMYFUNCTION("""COMPUTED_VALUE"""),"OPERATIVO DGT")</f>
        <v>OPERATIVO DGT</v>
      </c>
      <c r="AC480" s="64" t="str">
        <f>IFERROR(__xludf.DUMMYFUNCTION("""COMPUTED_VALUE"""),"OPERATIVO PMT")</f>
        <v>OPERATIVO PMT</v>
      </c>
      <c r="AD480" s="64" t="str">
        <f>IFERROR(__xludf.DUMMYFUNCTION("""COMPUTED_VALUE"""),"APOYO A DIGEF")</f>
        <v>APOYO A DIGEF</v>
      </c>
      <c r="AE480" s="64" t="str">
        <f>IFERROR(__xludf.DUMMYFUNCTION("""COMPUTED_VALUE"""),"OPERATIVO PNC TRANSITO")</f>
        <v>OPERATIVO PNC TRANSITO</v>
      </c>
      <c r="AF480" s="64" t="str">
        <f>IFERROR(__xludf.DUMMYFUNCTION("""COMPUTED_VALUE"""),"SOBRECARGA ")</f>
        <v>SOBRECARGA </v>
      </c>
      <c r="AG480" s="64" t="str">
        <f>IFERROR(__xludf.DUMMYFUNCTION("""COMPUTED_VALUE"""),"OPERATIVO EN CONJUNTO")</f>
        <v>OPERATIVO EN CONJUNTO</v>
      </c>
      <c r="AH480" s="64" t="str">
        <f>IFERROR(__xludf.DUMMYFUNCTION("""COMPUTED_VALUE"""),"PUESTO DE ATENCION AL USUARIO")</f>
        <v>PUESTO DE ATENCION AL USUARIO</v>
      </c>
      <c r="AI480" s="64" t="str">
        <f>IFERROR(__xludf.DUMMYFUNCTION("""COMPUTED_VALUE"""),"INCENDIO EN RUTA")</f>
        <v>INCENDIO EN RUTA</v>
      </c>
      <c r="AJ480" s="64" t="str">
        <f>IFERROR(__xludf.DUMMYFUNCTION("""COMPUTED_VALUE"""),"APOYO ANTORCHA ")</f>
        <v>APOYO ANTORCHA </v>
      </c>
    </row>
    <row r="481">
      <c r="B481" s="64" t="s">
        <v>54</v>
      </c>
      <c r="C481" s="64" t="str">
        <f>IFERROR(__xludf.DUMMYFUNCTION(" TRANSPOSE( unique ( QUERY(DATOPRO,""select Col2 where Col1 = '""&amp;B481&amp;""'"")))"),"PINCHAZO")</f>
        <v>PINCHAZO</v>
      </c>
      <c r="D481" s="64" t="str">
        <f>IFERROR(__xludf.DUMMYFUNCTION("""COMPUTED_VALUE"""),"TRABAJOS DE CARRETERA")</f>
        <v>TRABAJOS DE CARRETERA</v>
      </c>
      <c r="E481" s="64" t="str">
        <f>IFERROR(__xludf.DUMMYFUNCTION("""COMPUTED_VALUE"""),"CONSIGNACIÓN")</f>
        <v>CONSIGNACIÓN</v>
      </c>
      <c r="F481" s="64" t="str">
        <f>IFERROR(__xludf.DUMMYFUNCTION("""COMPUTED_VALUE"""),"DERRAME")</f>
        <v>DERRAME</v>
      </c>
      <c r="G481" s="64" t="str">
        <f>IFERROR(__xludf.DUMMYFUNCTION("""COMPUTED_VALUE"""),"CALENTAMIENTO")</f>
        <v>CALENTAMIENTO</v>
      </c>
      <c r="H481" s="64" t="str">
        <f>IFERROR(__xludf.DUMMYFUNCTION("""COMPUTED_VALUE"""),"ESCOLTANDO")</f>
        <v>ESCOLTANDO</v>
      </c>
      <c r="I481" s="64" t="str">
        <f>IFERROR(__xludf.DUMMYFUNCTION("""COMPUTED_VALUE"""),"FALTA DE COMBUSTIBLE")</f>
        <v>FALTA DE COMBUSTIBLE</v>
      </c>
      <c r="J481" s="64" t="str">
        <f>IFERROR(__xludf.DUMMYFUNCTION("""COMPUTED_VALUE"""),"DESPERFECTOS MECÁNICOS")</f>
        <v>DESPERFECTOS MECÁNICOS</v>
      </c>
      <c r="K481" s="64" t="str">
        <f>IFERROR(__xludf.DUMMYFUNCTION("""COMPUTED_VALUE"""),"LLAMADA DE ATENCIÓN")</f>
        <v>LLAMADA DE ATENCIÓN</v>
      </c>
      <c r="L481" s="64" t="str">
        <f>IFERROR(__xludf.DUMMYFUNCTION("""COMPUTED_VALUE"""),"OPERATIVOS")</f>
        <v>OPERATIVOS</v>
      </c>
      <c r="M481" s="64" t="str">
        <f>IFERROR(__xludf.DUMMYFUNCTION("""COMPUTED_VALUE"""),"SANCIÓN")</f>
        <v>SANCIÓN</v>
      </c>
      <c r="N481" s="64" t="str">
        <f>IFERROR(__xludf.DUMMYFUNCTION("""COMPUTED_VALUE"""),"SISTEMA ELECTRICO")</f>
        <v>SISTEMA ELECTRICO</v>
      </c>
      <c r="O481" s="64" t="str">
        <f>IFERROR(__xludf.DUMMYFUNCTION("""COMPUTED_VALUE"""),"ASISTENCIA AL USUARIO")</f>
        <v>ASISTENCIA AL USUARIO</v>
      </c>
      <c r="P481" s="64" t="str">
        <f>IFERROR(__xludf.DUMMYFUNCTION("""COMPUTED_VALUE"""),"DOBLE REMOLQUE")</f>
        <v>DOBLE REMOLQUE</v>
      </c>
      <c r="Q481" s="64" t="str">
        <f>IFERROR(__xludf.DUMMYFUNCTION("""COMPUTED_VALUE"""),"SINAPRESE")</f>
        <v>SINAPRESE</v>
      </c>
      <c r="R481" s="64" t="str">
        <f>IFERROR(__xludf.DUMMYFUNCTION("""COMPUTED_VALUE"""),"APOYO ATLETISMO")</f>
        <v>APOYO ATLETISMO</v>
      </c>
      <c r="S481" s="64" t="str">
        <f>IFERROR(__xludf.DUMMYFUNCTION("""COMPUTED_VALUE"""),"APOYO A CICLISMO")</f>
        <v>APOYO A CICLISMO</v>
      </c>
      <c r="T481" s="64" t="str">
        <f>IFERROR(__xludf.DUMMYFUNCTION("""COMPUTED_VALUE"""),"DESCARGA DE BATERÍA")</f>
        <v>DESCARGA DE BATERÍA</v>
      </c>
      <c r="U481" s="64" t="str">
        <f>IFERROR(__xludf.DUMMYFUNCTION("""COMPUTED_VALUE"""),"PROBLEMAS DE SALUD")</f>
        <v>PROBLEMAS DE SALUD</v>
      </c>
      <c r="V481" s="64" t="str">
        <f>IFERROR(__xludf.DUMMYFUNCTION("""COMPUTED_VALUE"""),"OLVIDO LA LLAVE")</f>
        <v>OLVIDO LA LLAVE</v>
      </c>
      <c r="W481" s="64" t="str">
        <f>IFERROR(__xludf.DUMMYFUNCTION("""COMPUTED_VALUE"""),"CARGA SOBREDIMENSIONADA")</f>
        <v>CARGA SOBREDIMENSIONADA</v>
      </c>
      <c r="X481" s="64" t="str">
        <f>IFERROR(__xludf.DUMMYFUNCTION("""COMPUTED_VALUE"""),"VEHÍCULO ABANDONADO")</f>
        <v>VEHÍCULO ABANDONADO</v>
      </c>
      <c r="Y481" s="64" t="str">
        <f>IFERROR(__xludf.DUMMYFUNCTION("""COMPUTED_VALUE"""),"DESPRENDIMIENTO")</f>
        <v>DESPRENDIMIENTO</v>
      </c>
      <c r="Z481" s="64" t="str">
        <f>IFERROR(__xludf.DUMMYFUNCTION("""COMPUTED_VALUE"""),"CAÍDA DE POSTE")</f>
        <v>CAÍDA DE POSTE</v>
      </c>
      <c r="AA481" s="64" t="str">
        <f>IFERROR(__xludf.DUMMYFUNCTION("""COMPUTED_VALUE"""),"CAÍDA DE RAMA")</f>
        <v>CAÍDA DE RAMA</v>
      </c>
      <c r="AB481" s="64" t="str">
        <f>IFERROR(__xludf.DUMMYFUNCTION("""COMPUTED_VALUE"""),"OPERATIVO DGT")</f>
        <v>OPERATIVO DGT</v>
      </c>
      <c r="AC481" s="64" t="str">
        <f>IFERROR(__xludf.DUMMYFUNCTION("""COMPUTED_VALUE"""),"OPERATIVO PMT")</f>
        <v>OPERATIVO PMT</v>
      </c>
      <c r="AD481" s="64" t="str">
        <f>IFERROR(__xludf.DUMMYFUNCTION("""COMPUTED_VALUE"""),"APOYO A DIGEF")</f>
        <v>APOYO A DIGEF</v>
      </c>
      <c r="AE481" s="64" t="str">
        <f>IFERROR(__xludf.DUMMYFUNCTION("""COMPUTED_VALUE"""),"OPERATIVO PNC TRANSITO")</f>
        <v>OPERATIVO PNC TRANSITO</v>
      </c>
      <c r="AF481" s="64" t="str">
        <f>IFERROR(__xludf.DUMMYFUNCTION("""COMPUTED_VALUE"""),"SOBRECARGA ")</f>
        <v>SOBRECARGA </v>
      </c>
      <c r="AG481" s="64" t="str">
        <f>IFERROR(__xludf.DUMMYFUNCTION("""COMPUTED_VALUE"""),"OPERATIVO EN CONJUNTO")</f>
        <v>OPERATIVO EN CONJUNTO</v>
      </c>
      <c r="AH481" s="64" t="str">
        <f>IFERROR(__xludf.DUMMYFUNCTION("""COMPUTED_VALUE"""),"PUESTO DE ATENCION AL USUARIO")</f>
        <v>PUESTO DE ATENCION AL USUARIO</v>
      </c>
      <c r="AI481" s="64" t="str">
        <f>IFERROR(__xludf.DUMMYFUNCTION("""COMPUTED_VALUE"""),"INCENDIO EN RUTA")</f>
        <v>INCENDIO EN RUTA</v>
      </c>
      <c r="AJ481" s="64" t="str">
        <f>IFERROR(__xludf.DUMMYFUNCTION("""COMPUTED_VALUE"""),"APOYO ANTORCHA ")</f>
        <v>APOYO ANTORCHA </v>
      </c>
    </row>
    <row r="482">
      <c r="B482" s="64" t="s">
        <v>54</v>
      </c>
      <c r="C482" s="64" t="str">
        <f>IFERROR(__xludf.DUMMYFUNCTION(" TRANSPOSE( unique ( QUERY(DATOPRO,""select Col2 where Col1 = '""&amp;B482&amp;""'"")))"),"PINCHAZO")</f>
        <v>PINCHAZO</v>
      </c>
      <c r="D482" s="64" t="str">
        <f>IFERROR(__xludf.DUMMYFUNCTION("""COMPUTED_VALUE"""),"TRABAJOS DE CARRETERA")</f>
        <v>TRABAJOS DE CARRETERA</v>
      </c>
      <c r="E482" s="64" t="str">
        <f>IFERROR(__xludf.DUMMYFUNCTION("""COMPUTED_VALUE"""),"CONSIGNACIÓN")</f>
        <v>CONSIGNACIÓN</v>
      </c>
      <c r="F482" s="64" t="str">
        <f>IFERROR(__xludf.DUMMYFUNCTION("""COMPUTED_VALUE"""),"DERRAME")</f>
        <v>DERRAME</v>
      </c>
      <c r="G482" s="64" t="str">
        <f>IFERROR(__xludf.DUMMYFUNCTION("""COMPUTED_VALUE"""),"CALENTAMIENTO")</f>
        <v>CALENTAMIENTO</v>
      </c>
      <c r="H482" s="64" t="str">
        <f>IFERROR(__xludf.DUMMYFUNCTION("""COMPUTED_VALUE"""),"ESCOLTANDO")</f>
        <v>ESCOLTANDO</v>
      </c>
      <c r="I482" s="64" t="str">
        <f>IFERROR(__xludf.DUMMYFUNCTION("""COMPUTED_VALUE"""),"FALTA DE COMBUSTIBLE")</f>
        <v>FALTA DE COMBUSTIBLE</v>
      </c>
      <c r="J482" s="64" t="str">
        <f>IFERROR(__xludf.DUMMYFUNCTION("""COMPUTED_VALUE"""),"DESPERFECTOS MECÁNICOS")</f>
        <v>DESPERFECTOS MECÁNICOS</v>
      </c>
      <c r="K482" s="64" t="str">
        <f>IFERROR(__xludf.DUMMYFUNCTION("""COMPUTED_VALUE"""),"LLAMADA DE ATENCIÓN")</f>
        <v>LLAMADA DE ATENCIÓN</v>
      </c>
      <c r="L482" s="64" t="str">
        <f>IFERROR(__xludf.DUMMYFUNCTION("""COMPUTED_VALUE"""),"OPERATIVOS")</f>
        <v>OPERATIVOS</v>
      </c>
      <c r="M482" s="64" t="str">
        <f>IFERROR(__xludf.DUMMYFUNCTION("""COMPUTED_VALUE"""),"SANCIÓN")</f>
        <v>SANCIÓN</v>
      </c>
      <c r="N482" s="64" t="str">
        <f>IFERROR(__xludf.DUMMYFUNCTION("""COMPUTED_VALUE"""),"SISTEMA ELECTRICO")</f>
        <v>SISTEMA ELECTRICO</v>
      </c>
      <c r="O482" s="64" t="str">
        <f>IFERROR(__xludf.DUMMYFUNCTION("""COMPUTED_VALUE"""),"ASISTENCIA AL USUARIO")</f>
        <v>ASISTENCIA AL USUARIO</v>
      </c>
      <c r="P482" s="64" t="str">
        <f>IFERROR(__xludf.DUMMYFUNCTION("""COMPUTED_VALUE"""),"DOBLE REMOLQUE")</f>
        <v>DOBLE REMOLQUE</v>
      </c>
      <c r="Q482" s="64" t="str">
        <f>IFERROR(__xludf.DUMMYFUNCTION("""COMPUTED_VALUE"""),"SINAPRESE")</f>
        <v>SINAPRESE</v>
      </c>
      <c r="R482" s="64" t="str">
        <f>IFERROR(__xludf.DUMMYFUNCTION("""COMPUTED_VALUE"""),"APOYO ATLETISMO")</f>
        <v>APOYO ATLETISMO</v>
      </c>
      <c r="S482" s="64" t="str">
        <f>IFERROR(__xludf.DUMMYFUNCTION("""COMPUTED_VALUE"""),"APOYO A CICLISMO")</f>
        <v>APOYO A CICLISMO</v>
      </c>
      <c r="T482" s="64" t="str">
        <f>IFERROR(__xludf.DUMMYFUNCTION("""COMPUTED_VALUE"""),"DESCARGA DE BATERÍA")</f>
        <v>DESCARGA DE BATERÍA</v>
      </c>
      <c r="U482" s="64" t="str">
        <f>IFERROR(__xludf.DUMMYFUNCTION("""COMPUTED_VALUE"""),"PROBLEMAS DE SALUD")</f>
        <v>PROBLEMAS DE SALUD</v>
      </c>
      <c r="V482" s="64" t="str">
        <f>IFERROR(__xludf.DUMMYFUNCTION("""COMPUTED_VALUE"""),"OLVIDO LA LLAVE")</f>
        <v>OLVIDO LA LLAVE</v>
      </c>
      <c r="W482" s="64" t="str">
        <f>IFERROR(__xludf.DUMMYFUNCTION("""COMPUTED_VALUE"""),"CARGA SOBREDIMENSIONADA")</f>
        <v>CARGA SOBREDIMENSIONADA</v>
      </c>
      <c r="X482" s="64" t="str">
        <f>IFERROR(__xludf.DUMMYFUNCTION("""COMPUTED_VALUE"""),"VEHÍCULO ABANDONADO")</f>
        <v>VEHÍCULO ABANDONADO</v>
      </c>
      <c r="Y482" s="64" t="str">
        <f>IFERROR(__xludf.DUMMYFUNCTION("""COMPUTED_VALUE"""),"DESPRENDIMIENTO")</f>
        <v>DESPRENDIMIENTO</v>
      </c>
      <c r="Z482" s="64" t="str">
        <f>IFERROR(__xludf.DUMMYFUNCTION("""COMPUTED_VALUE"""),"CAÍDA DE POSTE")</f>
        <v>CAÍDA DE POSTE</v>
      </c>
      <c r="AA482" s="64" t="str">
        <f>IFERROR(__xludf.DUMMYFUNCTION("""COMPUTED_VALUE"""),"CAÍDA DE RAMA")</f>
        <v>CAÍDA DE RAMA</v>
      </c>
      <c r="AB482" s="64" t="str">
        <f>IFERROR(__xludf.DUMMYFUNCTION("""COMPUTED_VALUE"""),"OPERATIVO DGT")</f>
        <v>OPERATIVO DGT</v>
      </c>
      <c r="AC482" s="64" t="str">
        <f>IFERROR(__xludf.DUMMYFUNCTION("""COMPUTED_VALUE"""),"OPERATIVO PMT")</f>
        <v>OPERATIVO PMT</v>
      </c>
      <c r="AD482" s="64" t="str">
        <f>IFERROR(__xludf.DUMMYFUNCTION("""COMPUTED_VALUE"""),"APOYO A DIGEF")</f>
        <v>APOYO A DIGEF</v>
      </c>
      <c r="AE482" s="64" t="str">
        <f>IFERROR(__xludf.DUMMYFUNCTION("""COMPUTED_VALUE"""),"OPERATIVO PNC TRANSITO")</f>
        <v>OPERATIVO PNC TRANSITO</v>
      </c>
      <c r="AF482" s="64" t="str">
        <f>IFERROR(__xludf.DUMMYFUNCTION("""COMPUTED_VALUE"""),"SOBRECARGA ")</f>
        <v>SOBRECARGA </v>
      </c>
      <c r="AG482" s="64" t="str">
        <f>IFERROR(__xludf.DUMMYFUNCTION("""COMPUTED_VALUE"""),"OPERATIVO EN CONJUNTO")</f>
        <v>OPERATIVO EN CONJUNTO</v>
      </c>
      <c r="AH482" s="64" t="str">
        <f>IFERROR(__xludf.DUMMYFUNCTION("""COMPUTED_VALUE"""),"PUESTO DE ATENCION AL USUARIO")</f>
        <v>PUESTO DE ATENCION AL USUARIO</v>
      </c>
      <c r="AI482" s="64" t="str">
        <f>IFERROR(__xludf.DUMMYFUNCTION("""COMPUTED_VALUE"""),"INCENDIO EN RUTA")</f>
        <v>INCENDIO EN RUTA</v>
      </c>
      <c r="AJ482" s="64" t="str">
        <f>IFERROR(__xludf.DUMMYFUNCTION("""COMPUTED_VALUE"""),"APOYO ANTORCHA ")</f>
        <v>APOYO ANTORCHA </v>
      </c>
    </row>
    <row r="483">
      <c r="B483" s="64" t="s">
        <v>54</v>
      </c>
      <c r="C483" s="64" t="str">
        <f>IFERROR(__xludf.DUMMYFUNCTION(" TRANSPOSE( unique ( QUERY(DATOPRO,""select Col2 where Col1 = '""&amp;B483&amp;""'"")))"),"PINCHAZO")</f>
        <v>PINCHAZO</v>
      </c>
      <c r="D483" s="64" t="str">
        <f>IFERROR(__xludf.DUMMYFUNCTION("""COMPUTED_VALUE"""),"TRABAJOS DE CARRETERA")</f>
        <v>TRABAJOS DE CARRETERA</v>
      </c>
      <c r="E483" s="64" t="str">
        <f>IFERROR(__xludf.DUMMYFUNCTION("""COMPUTED_VALUE"""),"CONSIGNACIÓN")</f>
        <v>CONSIGNACIÓN</v>
      </c>
      <c r="F483" s="64" t="str">
        <f>IFERROR(__xludf.DUMMYFUNCTION("""COMPUTED_VALUE"""),"DERRAME")</f>
        <v>DERRAME</v>
      </c>
      <c r="G483" s="64" t="str">
        <f>IFERROR(__xludf.DUMMYFUNCTION("""COMPUTED_VALUE"""),"CALENTAMIENTO")</f>
        <v>CALENTAMIENTO</v>
      </c>
      <c r="H483" s="64" t="str">
        <f>IFERROR(__xludf.DUMMYFUNCTION("""COMPUTED_VALUE"""),"ESCOLTANDO")</f>
        <v>ESCOLTANDO</v>
      </c>
      <c r="I483" s="64" t="str">
        <f>IFERROR(__xludf.DUMMYFUNCTION("""COMPUTED_VALUE"""),"FALTA DE COMBUSTIBLE")</f>
        <v>FALTA DE COMBUSTIBLE</v>
      </c>
      <c r="J483" s="64" t="str">
        <f>IFERROR(__xludf.DUMMYFUNCTION("""COMPUTED_VALUE"""),"DESPERFECTOS MECÁNICOS")</f>
        <v>DESPERFECTOS MECÁNICOS</v>
      </c>
      <c r="K483" s="64" t="str">
        <f>IFERROR(__xludf.DUMMYFUNCTION("""COMPUTED_VALUE"""),"LLAMADA DE ATENCIÓN")</f>
        <v>LLAMADA DE ATENCIÓN</v>
      </c>
      <c r="L483" s="64" t="str">
        <f>IFERROR(__xludf.DUMMYFUNCTION("""COMPUTED_VALUE"""),"OPERATIVOS")</f>
        <v>OPERATIVOS</v>
      </c>
      <c r="M483" s="64" t="str">
        <f>IFERROR(__xludf.DUMMYFUNCTION("""COMPUTED_VALUE"""),"SANCIÓN")</f>
        <v>SANCIÓN</v>
      </c>
      <c r="N483" s="64" t="str">
        <f>IFERROR(__xludf.DUMMYFUNCTION("""COMPUTED_VALUE"""),"SISTEMA ELECTRICO")</f>
        <v>SISTEMA ELECTRICO</v>
      </c>
      <c r="O483" s="64" t="str">
        <f>IFERROR(__xludf.DUMMYFUNCTION("""COMPUTED_VALUE"""),"ASISTENCIA AL USUARIO")</f>
        <v>ASISTENCIA AL USUARIO</v>
      </c>
      <c r="P483" s="64" t="str">
        <f>IFERROR(__xludf.DUMMYFUNCTION("""COMPUTED_VALUE"""),"DOBLE REMOLQUE")</f>
        <v>DOBLE REMOLQUE</v>
      </c>
      <c r="Q483" s="64" t="str">
        <f>IFERROR(__xludf.DUMMYFUNCTION("""COMPUTED_VALUE"""),"SINAPRESE")</f>
        <v>SINAPRESE</v>
      </c>
      <c r="R483" s="64" t="str">
        <f>IFERROR(__xludf.DUMMYFUNCTION("""COMPUTED_VALUE"""),"APOYO ATLETISMO")</f>
        <v>APOYO ATLETISMO</v>
      </c>
      <c r="S483" s="64" t="str">
        <f>IFERROR(__xludf.DUMMYFUNCTION("""COMPUTED_VALUE"""),"APOYO A CICLISMO")</f>
        <v>APOYO A CICLISMO</v>
      </c>
      <c r="T483" s="64" t="str">
        <f>IFERROR(__xludf.DUMMYFUNCTION("""COMPUTED_VALUE"""),"DESCARGA DE BATERÍA")</f>
        <v>DESCARGA DE BATERÍA</v>
      </c>
      <c r="U483" s="64" t="str">
        <f>IFERROR(__xludf.DUMMYFUNCTION("""COMPUTED_VALUE"""),"PROBLEMAS DE SALUD")</f>
        <v>PROBLEMAS DE SALUD</v>
      </c>
      <c r="V483" s="64" t="str">
        <f>IFERROR(__xludf.DUMMYFUNCTION("""COMPUTED_VALUE"""),"OLVIDO LA LLAVE")</f>
        <v>OLVIDO LA LLAVE</v>
      </c>
      <c r="W483" s="64" t="str">
        <f>IFERROR(__xludf.DUMMYFUNCTION("""COMPUTED_VALUE"""),"CARGA SOBREDIMENSIONADA")</f>
        <v>CARGA SOBREDIMENSIONADA</v>
      </c>
      <c r="X483" s="64" t="str">
        <f>IFERROR(__xludf.DUMMYFUNCTION("""COMPUTED_VALUE"""),"VEHÍCULO ABANDONADO")</f>
        <v>VEHÍCULO ABANDONADO</v>
      </c>
      <c r="Y483" s="64" t="str">
        <f>IFERROR(__xludf.DUMMYFUNCTION("""COMPUTED_VALUE"""),"DESPRENDIMIENTO")</f>
        <v>DESPRENDIMIENTO</v>
      </c>
      <c r="Z483" s="64" t="str">
        <f>IFERROR(__xludf.DUMMYFUNCTION("""COMPUTED_VALUE"""),"CAÍDA DE POSTE")</f>
        <v>CAÍDA DE POSTE</v>
      </c>
      <c r="AA483" s="64" t="str">
        <f>IFERROR(__xludf.DUMMYFUNCTION("""COMPUTED_VALUE"""),"CAÍDA DE RAMA")</f>
        <v>CAÍDA DE RAMA</v>
      </c>
      <c r="AB483" s="64" t="str">
        <f>IFERROR(__xludf.DUMMYFUNCTION("""COMPUTED_VALUE"""),"OPERATIVO DGT")</f>
        <v>OPERATIVO DGT</v>
      </c>
      <c r="AC483" s="64" t="str">
        <f>IFERROR(__xludf.DUMMYFUNCTION("""COMPUTED_VALUE"""),"OPERATIVO PMT")</f>
        <v>OPERATIVO PMT</v>
      </c>
      <c r="AD483" s="64" t="str">
        <f>IFERROR(__xludf.DUMMYFUNCTION("""COMPUTED_VALUE"""),"APOYO A DIGEF")</f>
        <v>APOYO A DIGEF</v>
      </c>
      <c r="AE483" s="64" t="str">
        <f>IFERROR(__xludf.DUMMYFUNCTION("""COMPUTED_VALUE"""),"OPERATIVO PNC TRANSITO")</f>
        <v>OPERATIVO PNC TRANSITO</v>
      </c>
      <c r="AF483" s="64" t="str">
        <f>IFERROR(__xludf.DUMMYFUNCTION("""COMPUTED_VALUE"""),"SOBRECARGA ")</f>
        <v>SOBRECARGA </v>
      </c>
      <c r="AG483" s="64" t="str">
        <f>IFERROR(__xludf.DUMMYFUNCTION("""COMPUTED_VALUE"""),"OPERATIVO EN CONJUNTO")</f>
        <v>OPERATIVO EN CONJUNTO</v>
      </c>
      <c r="AH483" s="64" t="str">
        <f>IFERROR(__xludf.DUMMYFUNCTION("""COMPUTED_VALUE"""),"PUESTO DE ATENCION AL USUARIO")</f>
        <v>PUESTO DE ATENCION AL USUARIO</v>
      </c>
      <c r="AI483" s="64" t="str">
        <f>IFERROR(__xludf.DUMMYFUNCTION("""COMPUTED_VALUE"""),"INCENDIO EN RUTA")</f>
        <v>INCENDIO EN RUTA</v>
      </c>
      <c r="AJ483" s="64" t="str">
        <f>IFERROR(__xludf.DUMMYFUNCTION("""COMPUTED_VALUE"""),"APOYO ANTORCHA ")</f>
        <v>APOYO ANTORCHA </v>
      </c>
    </row>
    <row r="484">
      <c r="B484" s="64" t="s">
        <v>38</v>
      </c>
      <c r="C484" s="64" t="str">
        <f>IFERROR(__xludf.DUMMYFUNCTION(" TRANSPOSE( unique ( QUERY(DATOPRO,""select Col2 where Col1 = '""&amp;B484&amp;""'"")))"),"ATAQUE ARMADO")</f>
        <v>ATAQUE ARMADO</v>
      </c>
      <c r="D484" s="64" t="str">
        <f>IFERROR(__xludf.DUMMYFUNCTION("""COMPUTED_VALUE"""),"DESBALANCE DE CARGA")</f>
        <v>DESBALANCE DE CARGA</v>
      </c>
      <c r="E484" s="64" t="str">
        <f>IFERROR(__xludf.DUMMYFUNCTION("""COMPUTED_VALUE"""),"PERSONA FALLECIDA")</f>
        <v>PERSONA FALLECIDA</v>
      </c>
      <c r="F484" s="64" t="str">
        <f>IFERROR(__xludf.DUMMYFUNCTION("""COMPUTED_VALUE"""),"DESPRENDIMIENTO DE NEUMATICO")</f>
        <v>DESPRENDIMIENTO DE NEUMATICO</v>
      </c>
      <c r="G484" s="64" t="str">
        <f>IFERROR(__xludf.DUMMYFUNCTION("""COMPUTED_VALUE"""),"SALIDA DE PISTA")</f>
        <v>SALIDA DE PISTA</v>
      </c>
      <c r="H484" s="64" t="str">
        <f>IFERROR(__xludf.DUMMYFUNCTION("""COMPUTED_VALUE"""),"DESPRENDIMIENTO DE CONTENEDOR")</f>
        <v>DESPRENDIMIENTO DE CONTENEDOR</v>
      </c>
      <c r="I484" s="64" t="str">
        <f>IFERROR(__xludf.DUMMYFUNCTION("""COMPUTED_VALUE"""),"CAÍDA DE CARGA")</f>
        <v>CAÍDA DE CARGA</v>
      </c>
      <c r="J484" s="64" t="str">
        <f>IFERROR(__xludf.DUMMYFUNCTION("""COMPUTED_VALUE"""),"CHOQUE")</f>
        <v>CHOQUE</v>
      </c>
      <c r="K484" s="64" t="str">
        <f>IFERROR(__xludf.DUMMYFUNCTION("""COMPUTED_VALUE"""),"COLISIÓN")</f>
        <v>COLISIÓN</v>
      </c>
      <c r="L484" s="64" t="str">
        <f>IFERROR(__xludf.DUMMYFUNCTION("""COMPUTED_VALUE"""),"COLISIÓN MÚLTIPLE")</f>
        <v>COLISIÓN MÚLTIPLE</v>
      </c>
      <c r="M484" s="64" t="str">
        <f>IFERROR(__xludf.DUMMYFUNCTION("""COMPUTED_VALUE"""),"DERRAPE")</f>
        <v>DERRAPE</v>
      </c>
      <c r="N484" s="64" t="str">
        <f>IFERROR(__xludf.DUMMYFUNCTION("""COMPUTED_VALUE"""),"VEHÍCULO INCENDIADO")</f>
        <v>VEHÍCULO INCENDIADO</v>
      </c>
      <c r="O484" s="64" t="str">
        <f>IFERROR(__xludf.DUMMYFUNCTION("""COMPUTED_VALUE"""),"VUELCO")</f>
        <v>VUELCO</v>
      </c>
      <c r="P484" s="64" t="str">
        <f>IFERROR(__xludf.DUMMYFUNCTION("""COMPUTED_VALUE"""),"DESPRENDIMIENTO")</f>
        <v>DESPRENDIMIENTO</v>
      </c>
      <c r="Q484" s="64" t="str">
        <f>IFERROR(__xludf.DUMMYFUNCTION("""COMPUTED_VALUE"""),"CAÍDA DE ÁRBOL")</f>
        <v>CAÍDA DE ÁRBOL</v>
      </c>
      <c r="R484" s="64" t="str">
        <f>IFERROR(__xludf.DUMMYFUNCTION("""COMPUTED_VALUE"""),"DESPRENDIMIENTO DE EJE")</f>
        <v>DESPRENDIMIENTO DE EJE</v>
      </c>
      <c r="S484" s="64" t="str">
        <f>IFERROR(__xludf.DUMMYFUNCTION("""COMPUTED_VALUE"""),"PERSONA ATROPELLADA")</f>
        <v>PERSONA ATROPELLADA</v>
      </c>
    </row>
    <row r="485">
      <c r="B485" s="64"/>
      <c r="C485" s="64" t="str">
        <f>IFERROR(__xludf.DUMMYFUNCTION(" TRANSPOSE( unique ( QUERY(DATOPRO,""select Col2 where Col1 = '""&amp;B485&amp;""'"")))"),"")</f>
        <v/>
      </c>
    </row>
    <row r="486">
      <c r="B486" s="64" t="s">
        <v>38</v>
      </c>
      <c r="C486" s="64" t="str">
        <f>IFERROR(__xludf.DUMMYFUNCTION(" TRANSPOSE( unique ( QUERY(DATOPRO,""select Col2 where Col1 = '""&amp;B486&amp;""'"")))"),"ATAQUE ARMADO")</f>
        <v>ATAQUE ARMADO</v>
      </c>
      <c r="D486" s="64" t="str">
        <f>IFERROR(__xludf.DUMMYFUNCTION("""COMPUTED_VALUE"""),"DESBALANCE DE CARGA")</f>
        <v>DESBALANCE DE CARGA</v>
      </c>
      <c r="E486" s="64" t="str">
        <f>IFERROR(__xludf.DUMMYFUNCTION("""COMPUTED_VALUE"""),"PERSONA FALLECIDA")</f>
        <v>PERSONA FALLECIDA</v>
      </c>
      <c r="F486" s="64" t="str">
        <f>IFERROR(__xludf.DUMMYFUNCTION("""COMPUTED_VALUE"""),"DESPRENDIMIENTO DE NEUMATICO")</f>
        <v>DESPRENDIMIENTO DE NEUMATICO</v>
      </c>
      <c r="G486" s="64" t="str">
        <f>IFERROR(__xludf.DUMMYFUNCTION("""COMPUTED_VALUE"""),"SALIDA DE PISTA")</f>
        <v>SALIDA DE PISTA</v>
      </c>
      <c r="H486" s="64" t="str">
        <f>IFERROR(__xludf.DUMMYFUNCTION("""COMPUTED_VALUE"""),"DESPRENDIMIENTO DE CONTENEDOR")</f>
        <v>DESPRENDIMIENTO DE CONTENEDOR</v>
      </c>
      <c r="I486" s="64" t="str">
        <f>IFERROR(__xludf.DUMMYFUNCTION("""COMPUTED_VALUE"""),"CAÍDA DE CARGA")</f>
        <v>CAÍDA DE CARGA</v>
      </c>
      <c r="J486" s="64" t="str">
        <f>IFERROR(__xludf.DUMMYFUNCTION("""COMPUTED_VALUE"""),"CHOQUE")</f>
        <v>CHOQUE</v>
      </c>
      <c r="K486" s="64" t="str">
        <f>IFERROR(__xludf.DUMMYFUNCTION("""COMPUTED_VALUE"""),"COLISIÓN")</f>
        <v>COLISIÓN</v>
      </c>
      <c r="L486" s="64" t="str">
        <f>IFERROR(__xludf.DUMMYFUNCTION("""COMPUTED_VALUE"""),"COLISIÓN MÚLTIPLE")</f>
        <v>COLISIÓN MÚLTIPLE</v>
      </c>
      <c r="M486" s="64" t="str">
        <f>IFERROR(__xludf.DUMMYFUNCTION("""COMPUTED_VALUE"""),"DERRAPE")</f>
        <v>DERRAPE</v>
      </c>
      <c r="N486" s="64" t="str">
        <f>IFERROR(__xludf.DUMMYFUNCTION("""COMPUTED_VALUE"""),"VEHÍCULO INCENDIADO")</f>
        <v>VEHÍCULO INCENDIADO</v>
      </c>
      <c r="O486" s="64" t="str">
        <f>IFERROR(__xludf.DUMMYFUNCTION("""COMPUTED_VALUE"""),"VUELCO")</f>
        <v>VUELCO</v>
      </c>
      <c r="P486" s="64" t="str">
        <f>IFERROR(__xludf.DUMMYFUNCTION("""COMPUTED_VALUE"""),"DESPRENDIMIENTO")</f>
        <v>DESPRENDIMIENTO</v>
      </c>
      <c r="Q486" s="64" t="str">
        <f>IFERROR(__xludf.DUMMYFUNCTION("""COMPUTED_VALUE"""),"CAÍDA DE ÁRBOL")</f>
        <v>CAÍDA DE ÁRBOL</v>
      </c>
      <c r="R486" s="64" t="str">
        <f>IFERROR(__xludf.DUMMYFUNCTION("""COMPUTED_VALUE"""),"DESPRENDIMIENTO DE EJE")</f>
        <v>DESPRENDIMIENTO DE EJE</v>
      </c>
      <c r="S486" s="64" t="str">
        <f>IFERROR(__xludf.DUMMYFUNCTION("""COMPUTED_VALUE"""),"PERSONA ATROPELLADA")</f>
        <v>PERSONA ATROPELLADA</v>
      </c>
    </row>
    <row r="487">
      <c r="B487" s="64" t="s">
        <v>54</v>
      </c>
      <c r="C487" s="64" t="str">
        <f>IFERROR(__xludf.DUMMYFUNCTION(" TRANSPOSE( unique ( QUERY(DATOPRO,""select Col2 where Col1 = '""&amp;B487&amp;""'"")))"),"PINCHAZO")</f>
        <v>PINCHAZO</v>
      </c>
      <c r="D487" s="64" t="str">
        <f>IFERROR(__xludf.DUMMYFUNCTION("""COMPUTED_VALUE"""),"TRABAJOS DE CARRETERA")</f>
        <v>TRABAJOS DE CARRETERA</v>
      </c>
      <c r="E487" s="64" t="str">
        <f>IFERROR(__xludf.DUMMYFUNCTION("""COMPUTED_VALUE"""),"CONSIGNACIÓN")</f>
        <v>CONSIGNACIÓN</v>
      </c>
      <c r="F487" s="64" t="str">
        <f>IFERROR(__xludf.DUMMYFUNCTION("""COMPUTED_VALUE"""),"DERRAME")</f>
        <v>DERRAME</v>
      </c>
      <c r="G487" s="64" t="str">
        <f>IFERROR(__xludf.DUMMYFUNCTION("""COMPUTED_VALUE"""),"CALENTAMIENTO")</f>
        <v>CALENTAMIENTO</v>
      </c>
      <c r="H487" s="64" t="str">
        <f>IFERROR(__xludf.DUMMYFUNCTION("""COMPUTED_VALUE"""),"ESCOLTANDO")</f>
        <v>ESCOLTANDO</v>
      </c>
      <c r="I487" s="64" t="str">
        <f>IFERROR(__xludf.DUMMYFUNCTION("""COMPUTED_VALUE"""),"FALTA DE COMBUSTIBLE")</f>
        <v>FALTA DE COMBUSTIBLE</v>
      </c>
      <c r="J487" s="64" t="str">
        <f>IFERROR(__xludf.DUMMYFUNCTION("""COMPUTED_VALUE"""),"DESPERFECTOS MECÁNICOS")</f>
        <v>DESPERFECTOS MECÁNICOS</v>
      </c>
      <c r="K487" s="64" t="str">
        <f>IFERROR(__xludf.DUMMYFUNCTION("""COMPUTED_VALUE"""),"LLAMADA DE ATENCIÓN")</f>
        <v>LLAMADA DE ATENCIÓN</v>
      </c>
      <c r="L487" s="64" t="str">
        <f>IFERROR(__xludf.DUMMYFUNCTION("""COMPUTED_VALUE"""),"OPERATIVOS")</f>
        <v>OPERATIVOS</v>
      </c>
      <c r="M487" s="64" t="str">
        <f>IFERROR(__xludf.DUMMYFUNCTION("""COMPUTED_VALUE"""),"SANCIÓN")</f>
        <v>SANCIÓN</v>
      </c>
      <c r="N487" s="64" t="str">
        <f>IFERROR(__xludf.DUMMYFUNCTION("""COMPUTED_VALUE"""),"SISTEMA ELECTRICO")</f>
        <v>SISTEMA ELECTRICO</v>
      </c>
      <c r="O487" s="64" t="str">
        <f>IFERROR(__xludf.DUMMYFUNCTION("""COMPUTED_VALUE"""),"ASISTENCIA AL USUARIO")</f>
        <v>ASISTENCIA AL USUARIO</v>
      </c>
      <c r="P487" s="64" t="str">
        <f>IFERROR(__xludf.DUMMYFUNCTION("""COMPUTED_VALUE"""),"DOBLE REMOLQUE")</f>
        <v>DOBLE REMOLQUE</v>
      </c>
      <c r="Q487" s="64" t="str">
        <f>IFERROR(__xludf.DUMMYFUNCTION("""COMPUTED_VALUE"""),"SINAPRESE")</f>
        <v>SINAPRESE</v>
      </c>
      <c r="R487" s="64" t="str">
        <f>IFERROR(__xludf.DUMMYFUNCTION("""COMPUTED_VALUE"""),"APOYO ATLETISMO")</f>
        <v>APOYO ATLETISMO</v>
      </c>
      <c r="S487" s="64" t="str">
        <f>IFERROR(__xludf.DUMMYFUNCTION("""COMPUTED_VALUE"""),"APOYO A CICLISMO")</f>
        <v>APOYO A CICLISMO</v>
      </c>
      <c r="T487" s="64" t="str">
        <f>IFERROR(__xludf.DUMMYFUNCTION("""COMPUTED_VALUE"""),"DESCARGA DE BATERÍA")</f>
        <v>DESCARGA DE BATERÍA</v>
      </c>
      <c r="U487" s="64" t="str">
        <f>IFERROR(__xludf.DUMMYFUNCTION("""COMPUTED_VALUE"""),"PROBLEMAS DE SALUD")</f>
        <v>PROBLEMAS DE SALUD</v>
      </c>
      <c r="V487" s="64" t="str">
        <f>IFERROR(__xludf.DUMMYFUNCTION("""COMPUTED_VALUE"""),"OLVIDO LA LLAVE")</f>
        <v>OLVIDO LA LLAVE</v>
      </c>
      <c r="W487" s="64" t="str">
        <f>IFERROR(__xludf.DUMMYFUNCTION("""COMPUTED_VALUE"""),"CARGA SOBREDIMENSIONADA")</f>
        <v>CARGA SOBREDIMENSIONADA</v>
      </c>
      <c r="X487" s="64" t="str">
        <f>IFERROR(__xludf.DUMMYFUNCTION("""COMPUTED_VALUE"""),"VEHÍCULO ABANDONADO")</f>
        <v>VEHÍCULO ABANDONADO</v>
      </c>
      <c r="Y487" s="64" t="str">
        <f>IFERROR(__xludf.DUMMYFUNCTION("""COMPUTED_VALUE"""),"DESPRENDIMIENTO")</f>
        <v>DESPRENDIMIENTO</v>
      </c>
      <c r="Z487" s="64" t="str">
        <f>IFERROR(__xludf.DUMMYFUNCTION("""COMPUTED_VALUE"""),"CAÍDA DE POSTE")</f>
        <v>CAÍDA DE POSTE</v>
      </c>
      <c r="AA487" s="64" t="str">
        <f>IFERROR(__xludf.DUMMYFUNCTION("""COMPUTED_VALUE"""),"CAÍDA DE RAMA")</f>
        <v>CAÍDA DE RAMA</v>
      </c>
      <c r="AB487" s="64" t="str">
        <f>IFERROR(__xludf.DUMMYFUNCTION("""COMPUTED_VALUE"""),"OPERATIVO DGT")</f>
        <v>OPERATIVO DGT</v>
      </c>
      <c r="AC487" s="64" t="str">
        <f>IFERROR(__xludf.DUMMYFUNCTION("""COMPUTED_VALUE"""),"OPERATIVO PMT")</f>
        <v>OPERATIVO PMT</v>
      </c>
      <c r="AD487" s="64" t="str">
        <f>IFERROR(__xludf.DUMMYFUNCTION("""COMPUTED_VALUE"""),"APOYO A DIGEF")</f>
        <v>APOYO A DIGEF</v>
      </c>
      <c r="AE487" s="64" t="str">
        <f>IFERROR(__xludf.DUMMYFUNCTION("""COMPUTED_VALUE"""),"OPERATIVO PNC TRANSITO")</f>
        <v>OPERATIVO PNC TRANSITO</v>
      </c>
      <c r="AF487" s="64" t="str">
        <f>IFERROR(__xludf.DUMMYFUNCTION("""COMPUTED_VALUE"""),"SOBRECARGA ")</f>
        <v>SOBRECARGA </v>
      </c>
      <c r="AG487" s="64" t="str">
        <f>IFERROR(__xludf.DUMMYFUNCTION("""COMPUTED_VALUE"""),"OPERATIVO EN CONJUNTO")</f>
        <v>OPERATIVO EN CONJUNTO</v>
      </c>
      <c r="AH487" s="64" t="str">
        <f>IFERROR(__xludf.DUMMYFUNCTION("""COMPUTED_VALUE"""),"PUESTO DE ATENCION AL USUARIO")</f>
        <v>PUESTO DE ATENCION AL USUARIO</v>
      </c>
      <c r="AI487" s="64" t="str">
        <f>IFERROR(__xludf.DUMMYFUNCTION("""COMPUTED_VALUE"""),"INCENDIO EN RUTA")</f>
        <v>INCENDIO EN RUTA</v>
      </c>
      <c r="AJ487" s="64" t="str">
        <f>IFERROR(__xludf.DUMMYFUNCTION("""COMPUTED_VALUE"""),"APOYO ANTORCHA ")</f>
        <v>APOYO ANTORCHA </v>
      </c>
    </row>
    <row r="488">
      <c r="B488" s="64" t="s">
        <v>54</v>
      </c>
      <c r="C488" s="64" t="str">
        <f>IFERROR(__xludf.DUMMYFUNCTION(" TRANSPOSE( unique ( QUERY(DATOPRO,""select Col2 where Col1 = '""&amp;B488&amp;""'"")))"),"PINCHAZO")</f>
        <v>PINCHAZO</v>
      </c>
      <c r="D488" s="64" t="str">
        <f>IFERROR(__xludf.DUMMYFUNCTION("""COMPUTED_VALUE"""),"TRABAJOS DE CARRETERA")</f>
        <v>TRABAJOS DE CARRETERA</v>
      </c>
      <c r="E488" s="64" t="str">
        <f>IFERROR(__xludf.DUMMYFUNCTION("""COMPUTED_VALUE"""),"CONSIGNACIÓN")</f>
        <v>CONSIGNACIÓN</v>
      </c>
      <c r="F488" s="64" t="str">
        <f>IFERROR(__xludf.DUMMYFUNCTION("""COMPUTED_VALUE"""),"DERRAME")</f>
        <v>DERRAME</v>
      </c>
      <c r="G488" s="64" t="str">
        <f>IFERROR(__xludf.DUMMYFUNCTION("""COMPUTED_VALUE"""),"CALENTAMIENTO")</f>
        <v>CALENTAMIENTO</v>
      </c>
      <c r="H488" s="64" t="str">
        <f>IFERROR(__xludf.DUMMYFUNCTION("""COMPUTED_VALUE"""),"ESCOLTANDO")</f>
        <v>ESCOLTANDO</v>
      </c>
      <c r="I488" s="64" t="str">
        <f>IFERROR(__xludf.DUMMYFUNCTION("""COMPUTED_VALUE"""),"FALTA DE COMBUSTIBLE")</f>
        <v>FALTA DE COMBUSTIBLE</v>
      </c>
      <c r="J488" s="64" t="str">
        <f>IFERROR(__xludf.DUMMYFUNCTION("""COMPUTED_VALUE"""),"DESPERFECTOS MECÁNICOS")</f>
        <v>DESPERFECTOS MECÁNICOS</v>
      </c>
      <c r="K488" s="64" t="str">
        <f>IFERROR(__xludf.DUMMYFUNCTION("""COMPUTED_VALUE"""),"LLAMADA DE ATENCIÓN")</f>
        <v>LLAMADA DE ATENCIÓN</v>
      </c>
      <c r="L488" s="64" t="str">
        <f>IFERROR(__xludf.DUMMYFUNCTION("""COMPUTED_VALUE"""),"OPERATIVOS")</f>
        <v>OPERATIVOS</v>
      </c>
      <c r="M488" s="64" t="str">
        <f>IFERROR(__xludf.DUMMYFUNCTION("""COMPUTED_VALUE"""),"SANCIÓN")</f>
        <v>SANCIÓN</v>
      </c>
      <c r="N488" s="64" t="str">
        <f>IFERROR(__xludf.DUMMYFUNCTION("""COMPUTED_VALUE"""),"SISTEMA ELECTRICO")</f>
        <v>SISTEMA ELECTRICO</v>
      </c>
      <c r="O488" s="64" t="str">
        <f>IFERROR(__xludf.DUMMYFUNCTION("""COMPUTED_VALUE"""),"ASISTENCIA AL USUARIO")</f>
        <v>ASISTENCIA AL USUARIO</v>
      </c>
      <c r="P488" s="64" t="str">
        <f>IFERROR(__xludf.DUMMYFUNCTION("""COMPUTED_VALUE"""),"DOBLE REMOLQUE")</f>
        <v>DOBLE REMOLQUE</v>
      </c>
      <c r="Q488" s="64" t="str">
        <f>IFERROR(__xludf.DUMMYFUNCTION("""COMPUTED_VALUE"""),"SINAPRESE")</f>
        <v>SINAPRESE</v>
      </c>
      <c r="R488" s="64" t="str">
        <f>IFERROR(__xludf.DUMMYFUNCTION("""COMPUTED_VALUE"""),"APOYO ATLETISMO")</f>
        <v>APOYO ATLETISMO</v>
      </c>
      <c r="S488" s="64" t="str">
        <f>IFERROR(__xludf.DUMMYFUNCTION("""COMPUTED_VALUE"""),"APOYO A CICLISMO")</f>
        <v>APOYO A CICLISMO</v>
      </c>
      <c r="T488" s="64" t="str">
        <f>IFERROR(__xludf.DUMMYFUNCTION("""COMPUTED_VALUE"""),"DESCARGA DE BATERÍA")</f>
        <v>DESCARGA DE BATERÍA</v>
      </c>
      <c r="U488" s="64" t="str">
        <f>IFERROR(__xludf.DUMMYFUNCTION("""COMPUTED_VALUE"""),"PROBLEMAS DE SALUD")</f>
        <v>PROBLEMAS DE SALUD</v>
      </c>
      <c r="V488" s="64" t="str">
        <f>IFERROR(__xludf.DUMMYFUNCTION("""COMPUTED_VALUE"""),"OLVIDO LA LLAVE")</f>
        <v>OLVIDO LA LLAVE</v>
      </c>
      <c r="W488" s="64" t="str">
        <f>IFERROR(__xludf.DUMMYFUNCTION("""COMPUTED_VALUE"""),"CARGA SOBREDIMENSIONADA")</f>
        <v>CARGA SOBREDIMENSIONADA</v>
      </c>
      <c r="X488" s="64" t="str">
        <f>IFERROR(__xludf.DUMMYFUNCTION("""COMPUTED_VALUE"""),"VEHÍCULO ABANDONADO")</f>
        <v>VEHÍCULO ABANDONADO</v>
      </c>
      <c r="Y488" s="64" t="str">
        <f>IFERROR(__xludf.DUMMYFUNCTION("""COMPUTED_VALUE"""),"DESPRENDIMIENTO")</f>
        <v>DESPRENDIMIENTO</v>
      </c>
      <c r="Z488" s="64" t="str">
        <f>IFERROR(__xludf.DUMMYFUNCTION("""COMPUTED_VALUE"""),"CAÍDA DE POSTE")</f>
        <v>CAÍDA DE POSTE</v>
      </c>
      <c r="AA488" s="64" t="str">
        <f>IFERROR(__xludf.DUMMYFUNCTION("""COMPUTED_VALUE"""),"CAÍDA DE RAMA")</f>
        <v>CAÍDA DE RAMA</v>
      </c>
      <c r="AB488" s="64" t="str">
        <f>IFERROR(__xludf.DUMMYFUNCTION("""COMPUTED_VALUE"""),"OPERATIVO DGT")</f>
        <v>OPERATIVO DGT</v>
      </c>
      <c r="AC488" s="64" t="str">
        <f>IFERROR(__xludf.DUMMYFUNCTION("""COMPUTED_VALUE"""),"OPERATIVO PMT")</f>
        <v>OPERATIVO PMT</v>
      </c>
      <c r="AD488" s="64" t="str">
        <f>IFERROR(__xludf.DUMMYFUNCTION("""COMPUTED_VALUE"""),"APOYO A DIGEF")</f>
        <v>APOYO A DIGEF</v>
      </c>
      <c r="AE488" s="64" t="str">
        <f>IFERROR(__xludf.DUMMYFUNCTION("""COMPUTED_VALUE"""),"OPERATIVO PNC TRANSITO")</f>
        <v>OPERATIVO PNC TRANSITO</v>
      </c>
      <c r="AF488" s="64" t="str">
        <f>IFERROR(__xludf.DUMMYFUNCTION("""COMPUTED_VALUE"""),"SOBRECARGA ")</f>
        <v>SOBRECARGA </v>
      </c>
      <c r="AG488" s="64" t="str">
        <f>IFERROR(__xludf.DUMMYFUNCTION("""COMPUTED_VALUE"""),"OPERATIVO EN CONJUNTO")</f>
        <v>OPERATIVO EN CONJUNTO</v>
      </c>
      <c r="AH488" s="64" t="str">
        <f>IFERROR(__xludf.DUMMYFUNCTION("""COMPUTED_VALUE"""),"PUESTO DE ATENCION AL USUARIO")</f>
        <v>PUESTO DE ATENCION AL USUARIO</v>
      </c>
      <c r="AI488" s="64" t="str">
        <f>IFERROR(__xludf.DUMMYFUNCTION("""COMPUTED_VALUE"""),"INCENDIO EN RUTA")</f>
        <v>INCENDIO EN RUTA</v>
      </c>
      <c r="AJ488" s="64" t="str">
        <f>IFERROR(__xludf.DUMMYFUNCTION("""COMPUTED_VALUE"""),"APOYO ANTORCHA ")</f>
        <v>APOYO ANTORCHA </v>
      </c>
    </row>
    <row r="489">
      <c r="B489" s="64" t="s">
        <v>54</v>
      </c>
      <c r="C489" s="64" t="str">
        <f>IFERROR(__xludf.DUMMYFUNCTION(" TRANSPOSE( unique ( QUERY(DATOPRO,""select Col2 where Col1 = '""&amp;B489&amp;""'"")))"),"PINCHAZO")</f>
        <v>PINCHAZO</v>
      </c>
      <c r="D489" s="64" t="str">
        <f>IFERROR(__xludf.DUMMYFUNCTION("""COMPUTED_VALUE"""),"TRABAJOS DE CARRETERA")</f>
        <v>TRABAJOS DE CARRETERA</v>
      </c>
      <c r="E489" s="64" t="str">
        <f>IFERROR(__xludf.DUMMYFUNCTION("""COMPUTED_VALUE"""),"CONSIGNACIÓN")</f>
        <v>CONSIGNACIÓN</v>
      </c>
      <c r="F489" s="64" t="str">
        <f>IFERROR(__xludf.DUMMYFUNCTION("""COMPUTED_VALUE"""),"DERRAME")</f>
        <v>DERRAME</v>
      </c>
      <c r="G489" s="64" t="str">
        <f>IFERROR(__xludf.DUMMYFUNCTION("""COMPUTED_VALUE"""),"CALENTAMIENTO")</f>
        <v>CALENTAMIENTO</v>
      </c>
      <c r="H489" s="64" t="str">
        <f>IFERROR(__xludf.DUMMYFUNCTION("""COMPUTED_VALUE"""),"ESCOLTANDO")</f>
        <v>ESCOLTANDO</v>
      </c>
      <c r="I489" s="64" t="str">
        <f>IFERROR(__xludf.DUMMYFUNCTION("""COMPUTED_VALUE"""),"FALTA DE COMBUSTIBLE")</f>
        <v>FALTA DE COMBUSTIBLE</v>
      </c>
      <c r="J489" s="64" t="str">
        <f>IFERROR(__xludf.DUMMYFUNCTION("""COMPUTED_VALUE"""),"DESPERFECTOS MECÁNICOS")</f>
        <v>DESPERFECTOS MECÁNICOS</v>
      </c>
      <c r="K489" s="64" t="str">
        <f>IFERROR(__xludf.DUMMYFUNCTION("""COMPUTED_VALUE"""),"LLAMADA DE ATENCIÓN")</f>
        <v>LLAMADA DE ATENCIÓN</v>
      </c>
      <c r="L489" s="64" t="str">
        <f>IFERROR(__xludf.DUMMYFUNCTION("""COMPUTED_VALUE"""),"OPERATIVOS")</f>
        <v>OPERATIVOS</v>
      </c>
      <c r="M489" s="64" t="str">
        <f>IFERROR(__xludf.DUMMYFUNCTION("""COMPUTED_VALUE"""),"SANCIÓN")</f>
        <v>SANCIÓN</v>
      </c>
      <c r="N489" s="64" t="str">
        <f>IFERROR(__xludf.DUMMYFUNCTION("""COMPUTED_VALUE"""),"SISTEMA ELECTRICO")</f>
        <v>SISTEMA ELECTRICO</v>
      </c>
      <c r="O489" s="64" t="str">
        <f>IFERROR(__xludf.DUMMYFUNCTION("""COMPUTED_VALUE"""),"ASISTENCIA AL USUARIO")</f>
        <v>ASISTENCIA AL USUARIO</v>
      </c>
      <c r="P489" s="64" t="str">
        <f>IFERROR(__xludf.DUMMYFUNCTION("""COMPUTED_VALUE"""),"DOBLE REMOLQUE")</f>
        <v>DOBLE REMOLQUE</v>
      </c>
      <c r="Q489" s="64" t="str">
        <f>IFERROR(__xludf.DUMMYFUNCTION("""COMPUTED_VALUE"""),"SINAPRESE")</f>
        <v>SINAPRESE</v>
      </c>
      <c r="R489" s="64" t="str">
        <f>IFERROR(__xludf.DUMMYFUNCTION("""COMPUTED_VALUE"""),"APOYO ATLETISMO")</f>
        <v>APOYO ATLETISMO</v>
      </c>
      <c r="S489" s="64" t="str">
        <f>IFERROR(__xludf.DUMMYFUNCTION("""COMPUTED_VALUE"""),"APOYO A CICLISMO")</f>
        <v>APOYO A CICLISMO</v>
      </c>
      <c r="T489" s="64" t="str">
        <f>IFERROR(__xludf.DUMMYFUNCTION("""COMPUTED_VALUE"""),"DESCARGA DE BATERÍA")</f>
        <v>DESCARGA DE BATERÍA</v>
      </c>
      <c r="U489" s="64" t="str">
        <f>IFERROR(__xludf.DUMMYFUNCTION("""COMPUTED_VALUE"""),"PROBLEMAS DE SALUD")</f>
        <v>PROBLEMAS DE SALUD</v>
      </c>
      <c r="V489" s="64" t="str">
        <f>IFERROR(__xludf.DUMMYFUNCTION("""COMPUTED_VALUE"""),"OLVIDO LA LLAVE")</f>
        <v>OLVIDO LA LLAVE</v>
      </c>
      <c r="W489" s="64" t="str">
        <f>IFERROR(__xludf.DUMMYFUNCTION("""COMPUTED_VALUE"""),"CARGA SOBREDIMENSIONADA")</f>
        <v>CARGA SOBREDIMENSIONADA</v>
      </c>
      <c r="X489" s="64" t="str">
        <f>IFERROR(__xludf.DUMMYFUNCTION("""COMPUTED_VALUE"""),"VEHÍCULO ABANDONADO")</f>
        <v>VEHÍCULO ABANDONADO</v>
      </c>
      <c r="Y489" s="64" t="str">
        <f>IFERROR(__xludf.DUMMYFUNCTION("""COMPUTED_VALUE"""),"DESPRENDIMIENTO")</f>
        <v>DESPRENDIMIENTO</v>
      </c>
      <c r="Z489" s="64" t="str">
        <f>IFERROR(__xludf.DUMMYFUNCTION("""COMPUTED_VALUE"""),"CAÍDA DE POSTE")</f>
        <v>CAÍDA DE POSTE</v>
      </c>
      <c r="AA489" s="64" t="str">
        <f>IFERROR(__xludf.DUMMYFUNCTION("""COMPUTED_VALUE"""),"CAÍDA DE RAMA")</f>
        <v>CAÍDA DE RAMA</v>
      </c>
      <c r="AB489" s="64" t="str">
        <f>IFERROR(__xludf.DUMMYFUNCTION("""COMPUTED_VALUE"""),"OPERATIVO DGT")</f>
        <v>OPERATIVO DGT</v>
      </c>
      <c r="AC489" s="64" t="str">
        <f>IFERROR(__xludf.DUMMYFUNCTION("""COMPUTED_VALUE"""),"OPERATIVO PMT")</f>
        <v>OPERATIVO PMT</v>
      </c>
      <c r="AD489" s="64" t="str">
        <f>IFERROR(__xludf.DUMMYFUNCTION("""COMPUTED_VALUE"""),"APOYO A DIGEF")</f>
        <v>APOYO A DIGEF</v>
      </c>
      <c r="AE489" s="64" t="str">
        <f>IFERROR(__xludf.DUMMYFUNCTION("""COMPUTED_VALUE"""),"OPERATIVO PNC TRANSITO")</f>
        <v>OPERATIVO PNC TRANSITO</v>
      </c>
      <c r="AF489" s="64" t="str">
        <f>IFERROR(__xludf.DUMMYFUNCTION("""COMPUTED_VALUE"""),"SOBRECARGA ")</f>
        <v>SOBRECARGA </v>
      </c>
      <c r="AG489" s="64" t="str">
        <f>IFERROR(__xludf.DUMMYFUNCTION("""COMPUTED_VALUE"""),"OPERATIVO EN CONJUNTO")</f>
        <v>OPERATIVO EN CONJUNTO</v>
      </c>
      <c r="AH489" s="64" t="str">
        <f>IFERROR(__xludf.DUMMYFUNCTION("""COMPUTED_VALUE"""),"PUESTO DE ATENCION AL USUARIO")</f>
        <v>PUESTO DE ATENCION AL USUARIO</v>
      </c>
      <c r="AI489" s="64" t="str">
        <f>IFERROR(__xludf.DUMMYFUNCTION("""COMPUTED_VALUE"""),"INCENDIO EN RUTA")</f>
        <v>INCENDIO EN RUTA</v>
      </c>
      <c r="AJ489" s="64" t="str">
        <f>IFERROR(__xludf.DUMMYFUNCTION("""COMPUTED_VALUE"""),"APOYO ANTORCHA ")</f>
        <v>APOYO ANTORCHA </v>
      </c>
    </row>
    <row r="490">
      <c r="B490" s="64" t="s">
        <v>54</v>
      </c>
      <c r="C490" s="64" t="str">
        <f>IFERROR(__xludf.DUMMYFUNCTION(" TRANSPOSE( unique ( QUERY(DATOPRO,""select Col2 where Col1 = '""&amp;B490&amp;""'"")))"),"PINCHAZO")</f>
        <v>PINCHAZO</v>
      </c>
      <c r="D490" s="64" t="str">
        <f>IFERROR(__xludf.DUMMYFUNCTION("""COMPUTED_VALUE"""),"TRABAJOS DE CARRETERA")</f>
        <v>TRABAJOS DE CARRETERA</v>
      </c>
      <c r="E490" s="64" t="str">
        <f>IFERROR(__xludf.DUMMYFUNCTION("""COMPUTED_VALUE"""),"CONSIGNACIÓN")</f>
        <v>CONSIGNACIÓN</v>
      </c>
      <c r="F490" s="64" t="str">
        <f>IFERROR(__xludf.DUMMYFUNCTION("""COMPUTED_VALUE"""),"DERRAME")</f>
        <v>DERRAME</v>
      </c>
      <c r="G490" s="64" t="str">
        <f>IFERROR(__xludf.DUMMYFUNCTION("""COMPUTED_VALUE"""),"CALENTAMIENTO")</f>
        <v>CALENTAMIENTO</v>
      </c>
      <c r="H490" s="64" t="str">
        <f>IFERROR(__xludf.DUMMYFUNCTION("""COMPUTED_VALUE"""),"ESCOLTANDO")</f>
        <v>ESCOLTANDO</v>
      </c>
      <c r="I490" s="64" t="str">
        <f>IFERROR(__xludf.DUMMYFUNCTION("""COMPUTED_VALUE"""),"FALTA DE COMBUSTIBLE")</f>
        <v>FALTA DE COMBUSTIBLE</v>
      </c>
      <c r="J490" s="64" t="str">
        <f>IFERROR(__xludf.DUMMYFUNCTION("""COMPUTED_VALUE"""),"DESPERFECTOS MECÁNICOS")</f>
        <v>DESPERFECTOS MECÁNICOS</v>
      </c>
      <c r="K490" s="64" t="str">
        <f>IFERROR(__xludf.DUMMYFUNCTION("""COMPUTED_VALUE"""),"LLAMADA DE ATENCIÓN")</f>
        <v>LLAMADA DE ATENCIÓN</v>
      </c>
      <c r="L490" s="64" t="str">
        <f>IFERROR(__xludf.DUMMYFUNCTION("""COMPUTED_VALUE"""),"OPERATIVOS")</f>
        <v>OPERATIVOS</v>
      </c>
      <c r="M490" s="64" t="str">
        <f>IFERROR(__xludf.DUMMYFUNCTION("""COMPUTED_VALUE"""),"SANCIÓN")</f>
        <v>SANCIÓN</v>
      </c>
      <c r="N490" s="64" t="str">
        <f>IFERROR(__xludf.DUMMYFUNCTION("""COMPUTED_VALUE"""),"SISTEMA ELECTRICO")</f>
        <v>SISTEMA ELECTRICO</v>
      </c>
      <c r="O490" s="64" t="str">
        <f>IFERROR(__xludf.DUMMYFUNCTION("""COMPUTED_VALUE"""),"ASISTENCIA AL USUARIO")</f>
        <v>ASISTENCIA AL USUARIO</v>
      </c>
      <c r="P490" s="64" t="str">
        <f>IFERROR(__xludf.DUMMYFUNCTION("""COMPUTED_VALUE"""),"DOBLE REMOLQUE")</f>
        <v>DOBLE REMOLQUE</v>
      </c>
      <c r="Q490" s="64" t="str">
        <f>IFERROR(__xludf.DUMMYFUNCTION("""COMPUTED_VALUE"""),"SINAPRESE")</f>
        <v>SINAPRESE</v>
      </c>
      <c r="R490" s="64" t="str">
        <f>IFERROR(__xludf.DUMMYFUNCTION("""COMPUTED_VALUE"""),"APOYO ATLETISMO")</f>
        <v>APOYO ATLETISMO</v>
      </c>
      <c r="S490" s="64" t="str">
        <f>IFERROR(__xludf.DUMMYFUNCTION("""COMPUTED_VALUE"""),"APOYO A CICLISMO")</f>
        <v>APOYO A CICLISMO</v>
      </c>
      <c r="T490" s="64" t="str">
        <f>IFERROR(__xludf.DUMMYFUNCTION("""COMPUTED_VALUE"""),"DESCARGA DE BATERÍA")</f>
        <v>DESCARGA DE BATERÍA</v>
      </c>
      <c r="U490" s="64" t="str">
        <f>IFERROR(__xludf.DUMMYFUNCTION("""COMPUTED_VALUE"""),"PROBLEMAS DE SALUD")</f>
        <v>PROBLEMAS DE SALUD</v>
      </c>
      <c r="V490" s="64" t="str">
        <f>IFERROR(__xludf.DUMMYFUNCTION("""COMPUTED_VALUE"""),"OLVIDO LA LLAVE")</f>
        <v>OLVIDO LA LLAVE</v>
      </c>
      <c r="W490" s="64" t="str">
        <f>IFERROR(__xludf.DUMMYFUNCTION("""COMPUTED_VALUE"""),"CARGA SOBREDIMENSIONADA")</f>
        <v>CARGA SOBREDIMENSIONADA</v>
      </c>
      <c r="X490" s="64" t="str">
        <f>IFERROR(__xludf.DUMMYFUNCTION("""COMPUTED_VALUE"""),"VEHÍCULO ABANDONADO")</f>
        <v>VEHÍCULO ABANDONADO</v>
      </c>
      <c r="Y490" s="64" t="str">
        <f>IFERROR(__xludf.DUMMYFUNCTION("""COMPUTED_VALUE"""),"DESPRENDIMIENTO")</f>
        <v>DESPRENDIMIENTO</v>
      </c>
      <c r="Z490" s="64" t="str">
        <f>IFERROR(__xludf.DUMMYFUNCTION("""COMPUTED_VALUE"""),"CAÍDA DE POSTE")</f>
        <v>CAÍDA DE POSTE</v>
      </c>
      <c r="AA490" s="64" t="str">
        <f>IFERROR(__xludf.DUMMYFUNCTION("""COMPUTED_VALUE"""),"CAÍDA DE RAMA")</f>
        <v>CAÍDA DE RAMA</v>
      </c>
      <c r="AB490" s="64" t="str">
        <f>IFERROR(__xludf.DUMMYFUNCTION("""COMPUTED_VALUE"""),"OPERATIVO DGT")</f>
        <v>OPERATIVO DGT</v>
      </c>
      <c r="AC490" s="64" t="str">
        <f>IFERROR(__xludf.DUMMYFUNCTION("""COMPUTED_VALUE"""),"OPERATIVO PMT")</f>
        <v>OPERATIVO PMT</v>
      </c>
      <c r="AD490" s="64" t="str">
        <f>IFERROR(__xludf.DUMMYFUNCTION("""COMPUTED_VALUE"""),"APOYO A DIGEF")</f>
        <v>APOYO A DIGEF</v>
      </c>
      <c r="AE490" s="64" t="str">
        <f>IFERROR(__xludf.DUMMYFUNCTION("""COMPUTED_VALUE"""),"OPERATIVO PNC TRANSITO")</f>
        <v>OPERATIVO PNC TRANSITO</v>
      </c>
      <c r="AF490" s="64" t="str">
        <f>IFERROR(__xludf.DUMMYFUNCTION("""COMPUTED_VALUE"""),"SOBRECARGA ")</f>
        <v>SOBRECARGA </v>
      </c>
      <c r="AG490" s="64" t="str">
        <f>IFERROR(__xludf.DUMMYFUNCTION("""COMPUTED_VALUE"""),"OPERATIVO EN CONJUNTO")</f>
        <v>OPERATIVO EN CONJUNTO</v>
      </c>
      <c r="AH490" s="64" t="str">
        <f>IFERROR(__xludf.DUMMYFUNCTION("""COMPUTED_VALUE"""),"PUESTO DE ATENCION AL USUARIO")</f>
        <v>PUESTO DE ATENCION AL USUARIO</v>
      </c>
      <c r="AI490" s="64" t="str">
        <f>IFERROR(__xludf.DUMMYFUNCTION("""COMPUTED_VALUE"""),"INCENDIO EN RUTA")</f>
        <v>INCENDIO EN RUTA</v>
      </c>
      <c r="AJ490" s="64" t="str">
        <f>IFERROR(__xludf.DUMMYFUNCTION("""COMPUTED_VALUE"""),"APOYO ANTORCHA ")</f>
        <v>APOYO ANTORCHA </v>
      </c>
    </row>
    <row r="491">
      <c r="B491" s="64" t="s">
        <v>54</v>
      </c>
      <c r="C491" s="64" t="str">
        <f>IFERROR(__xludf.DUMMYFUNCTION(" TRANSPOSE( unique ( QUERY(DATOPRO,""select Col2 where Col1 = '""&amp;B491&amp;""'"")))"),"PINCHAZO")</f>
        <v>PINCHAZO</v>
      </c>
      <c r="D491" s="64" t="str">
        <f>IFERROR(__xludf.DUMMYFUNCTION("""COMPUTED_VALUE"""),"TRABAJOS DE CARRETERA")</f>
        <v>TRABAJOS DE CARRETERA</v>
      </c>
      <c r="E491" s="64" t="str">
        <f>IFERROR(__xludf.DUMMYFUNCTION("""COMPUTED_VALUE"""),"CONSIGNACIÓN")</f>
        <v>CONSIGNACIÓN</v>
      </c>
      <c r="F491" s="64" t="str">
        <f>IFERROR(__xludf.DUMMYFUNCTION("""COMPUTED_VALUE"""),"DERRAME")</f>
        <v>DERRAME</v>
      </c>
      <c r="G491" s="64" t="str">
        <f>IFERROR(__xludf.DUMMYFUNCTION("""COMPUTED_VALUE"""),"CALENTAMIENTO")</f>
        <v>CALENTAMIENTO</v>
      </c>
      <c r="H491" s="64" t="str">
        <f>IFERROR(__xludf.DUMMYFUNCTION("""COMPUTED_VALUE"""),"ESCOLTANDO")</f>
        <v>ESCOLTANDO</v>
      </c>
      <c r="I491" s="64" t="str">
        <f>IFERROR(__xludf.DUMMYFUNCTION("""COMPUTED_VALUE"""),"FALTA DE COMBUSTIBLE")</f>
        <v>FALTA DE COMBUSTIBLE</v>
      </c>
      <c r="J491" s="64" t="str">
        <f>IFERROR(__xludf.DUMMYFUNCTION("""COMPUTED_VALUE"""),"DESPERFECTOS MECÁNICOS")</f>
        <v>DESPERFECTOS MECÁNICOS</v>
      </c>
      <c r="K491" s="64" t="str">
        <f>IFERROR(__xludf.DUMMYFUNCTION("""COMPUTED_VALUE"""),"LLAMADA DE ATENCIÓN")</f>
        <v>LLAMADA DE ATENCIÓN</v>
      </c>
      <c r="L491" s="64" t="str">
        <f>IFERROR(__xludf.DUMMYFUNCTION("""COMPUTED_VALUE"""),"OPERATIVOS")</f>
        <v>OPERATIVOS</v>
      </c>
      <c r="M491" s="64" t="str">
        <f>IFERROR(__xludf.DUMMYFUNCTION("""COMPUTED_VALUE"""),"SANCIÓN")</f>
        <v>SANCIÓN</v>
      </c>
      <c r="N491" s="64" t="str">
        <f>IFERROR(__xludf.DUMMYFUNCTION("""COMPUTED_VALUE"""),"SISTEMA ELECTRICO")</f>
        <v>SISTEMA ELECTRICO</v>
      </c>
      <c r="O491" s="64" t="str">
        <f>IFERROR(__xludf.DUMMYFUNCTION("""COMPUTED_VALUE"""),"ASISTENCIA AL USUARIO")</f>
        <v>ASISTENCIA AL USUARIO</v>
      </c>
      <c r="P491" s="64" t="str">
        <f>IFERROR(__xludf.DUMMYFUNCTION("""COMPUTED_VALUE"""),"DOBLE REMOLQUE")</f>
        <v>DOBLE REMOLQUE</v>
      </c>
      <c r="Q491" s="64" t="str">
        <f>IFERROR(__xludf.DUMMYFUNCTION("""COMPUTED_VALUE"""),"SINAPRESE")</f>
        <v>SINAPRESE</v>
      </c>
      <c r="R491" s="64" t="str">
        <f>IFERROR(__xludf.DUMMYFUNCTION("""COMPUTED_VALUE"""),"APOYO ATLETISMO")</f>
        <v>APOYO ATLETISMO</v>
      </c>
      <c r="S491" s="64" t="str">
        <f>IFERROR(__xludf.DUMMYFUNCTION("""COMPUTED_VALUE"""),"APOYO A CICLISMO")</f>
        <v>APOYO A CICLISMO</v>
      </c>
      <c r="T491" s="64" t="str">
        <f>IFERROR(__xludf.DUMMYFUNCTION("""COMPUTED_VALUE"""),"DESCARGA DE BATERÍA")</f>
        <v>DESCARGA DE BATERÍA</v>
      </c>
      <c r="U491" s="64" t="str">
        <f>IFERROR(__xludf.DUMMYFUNCTION("""COMPUTED_VALUE"""),"PROBLEMAS DE SALUD")</f>
        <v>PROBLEMAS DE SALUD</v>
      </c>
      <c r="V491" s="64" t="str">
        <f>IFERROR(__xludf.DUMMYFUNCTION("""COMPUTED_VALUE"""),"OLVIDO LA LLAVE")</f>
        <v>OLVIDO LA LLAVE</v>
      </c>
      <c r="W491" s="64" t="str">
        <f>IFERROR(__xludf.DUMMYFUNCTION("""COMPUTED_VALUE"""),"CARGA SOBREDIMENSIONADA")</f>
        <v>CARGA SOBREDIMENSIONADA</v>
      </c>
      <c r="X491" s="64" t="str">
        <f>IFERROR(__xludf.DUMMYFUNCTION("""COMPUTED_VALUE"""),"VEHÍCULO ABANDONADO")</f>
        <v>VEHÍCULO ABANDONADO</v>
      </c>
      <c r="Y491" s="64" t="str">
        <f>IFERROR(__xludf.DUMMYFUNCTION("""COMPUTED_VALUE"""),"DESPRENDIMIENTO")</f>
        <v>DESPRENDIMIENTO</v>
      </c>
      <c r="Z491" s="64" t="str">
        <f>IFERROR(__xludf.DUMMYFUNCTION("""COMPUTED_VALUE"""),"CAÍDA DE POSTE")</f>
        <v>CAÍDA DE POSTE</v>
      </c>
      <c r="AA491" s="64" t="str">
        <f>IFERROR(__xludf.DUMMYFUNCTION("""COMPUTED_VALUE"""),"CAÍDA DE RAMA")</f>
        <v>CAÍDA DE RAMA</v>
      </c>
      <c r="AB491" s="64" t="str">
        <f>IFERROR(__xludf.DUMMYFUNCTION("""COMPUTED_VALUE"""),"OPERATIVO DGT")</f>
        <v>OPERATIVO DGT</v>
      </c>
      <c r="AC491" s="64" t="str">
        <f>IFERROR(__xludf.DUMMYFUNCTION("""COMPUTED_VALUE"""),"OPERATIVO PMT")</f>
        <v>OPERATIVO PMT</v>
      </c>
      <c r="AD491" s="64" t="str">
        <f>IFERROR(__xludf.DUMMYFUNCTION("""COMPUTED_VALUE"""),"APOYO A DIGEF")</f>
        <v>APOYO A DIGEF</v>
      </c>
      <c r="AE491" s="64" t="str">
        <f>IFERROR(__xludf.DUMMYFUNCTION("""COMPUTED_VALUE"""),"OPERATIVO PNC TRANSITO")</f>
        <v>OPERATIVO PNC TRANSITO</v>
      </c>
      <c r="AF491" s="64" t="str">
        <f>IFERROR(__xludf.DUMMYFUNCTION("""COMPUTED_VALUE"""),"SOBRECARGA ")</f>
        <v>SOBRECARGA </v>
      </c>
      <c r="AG491" s="64" t="str">
        <f>IFERROR(__xludf.DUMMYFUNCTION("""COMPUTED_VALUE"""),"OPERATIVO EN CONJUNTO")</f>
        <v>OPERATIVO EN CONJUNTO</v>
      </c>
      <c r="AH491" s="64" t="str">
        <f>IFERROR(__xludf.DUMMYFUNCTION("""COMPUTED_VALUE"""),"PUESTO DE ATENCION AL USUARIO")</f>
        <v>PUESTO DE ATENCION AL USUARIO</v>
      </c>
      <c r="AI491" s="64" t="str">
        <f>IFERROR(__xludf.DUMMYFUNCTION("""COMPUTED_VALUE"""),"INCENDIO EN RUTA")</f>
        <v>INCENDIO EN RUTA</v>
      </c>
      <c r="AJ491" s="64" t="str">
        <f>IFERROR(__xludf.DUMMYFUNCTION("""COMPUTED_VALUE"""),"APOYO ANTORCHA ")</f>
        <v>APOYO ANTORCHA </v>
      </c>
    </row>
    <row r="492">
      <c r="B492" s="64"/>
      <c r="C492" s="64" t="str">
        <f>IFERROR(__xludf.DUMMYFUNCTION(" TRANSPOSE( unique ( QUERY(DATOPRO,""select Col2 where Col1 = '""&amp;B492&amp;""'"")))"),"")</f>
        <v/>
      </c>
    </row>
    <row r="493">
      <c r="B493" s="64" t="s">
        <v>38</v>
      </c>
      <c r="C493" s="64" t="str">
        <f>IFERROR(__xludf.DUMMYFUNCTION(" TRANSPOSE( unique ( QUERY(DATOPRO,""select Col2 where Col1 = '""&amp;B493&amp;""'"")))"),"ATAQUE ARMADO")</f>
        <v>ATAQUE ARMADO</v>
      </c>
      <c r="D493" s="64" t="str">
        <f>IFERROR(__xludf.DUMMYFUNCTION("""COMPUTED_VALUE"""),"DESBALANCE DE CARGA")</f>
        <v>DESBALANCE DE CARGA</v>
      </c>
      <c r="E493" s="64" t="str">
        <f>IFERROR(__xludf.DUMMYFUNCTION("""COMPUTED_VALUE"""),"PERSONA FALLECIDA")</f>
        <v>PERSONA FALLECIDA</v>
      </c>
      <c r="F493" s="64" t="str">
        <f>IFERROR(__xludf.DUMMYFUNCTION("""COMPUTED_VALUE"""),"DESPRENDIMIENTO DE NEUMATICO")</f>
        <v>DESPRENDIMIENTO DE NEUMATICO</v>
      </c>
      <c r="G493" s="64" t="str">
        <f>IFERROR(__xludf.DUMMYFUNCTION("""COMPUTED_VALUE"""),"SALIDA DE PISTA")</f>
        <v>SALIDA DE PISTA</v>
      </c>
      <c r="H493" s="64" t="str">
        <f>IFERROR(__xludf.DUMMYFUNCTION("""COMPUTED_VALUE"""),"DESPRENDIMIENTO DE CONTENEDOR")</f>
        <v>DESPRENDIMIENTO DE CONTENEDOR</v>
      </c>
      <c r="I493" s="64" t="str">
        <f>IFERROR(__xludf.DUMMYFUNCTION("""COMPUTED_VALUE"""),"CAÍDA DE CARGA")</f>
        <v>CAÍDA DE CARGA</v>
      </c>
      <c r="J493" s="64" t="str">
        <f>IFERROR(__xludf.DUMMYFUNCTION("""COMPUTED_VALUE"""),"CHOQUE")</f>
        <v>CHOQUE</v>
      </c>
      <c r="K493" s="64" t="str">
        <f>IFERROR(__xludf.DUMMYFUNCTION("""COMPUTED_VALUE"""),"COLISIÓN")</f>
        <v>COLISIÓN</v>
      </c>
      <c r="L493" s="64" t="str">
        <f>IFERROR(__xludf.DUMMYFUNCTION("""COMPUTED_VALUE"""),"COLISIÓN MÚLTIPLE")</f>
        <v>COLISIÓN MÚLTIPLE</v>
      </c>
      <c r="M493" s="64" t="str">
        <f>IFERROR(__xludf.DUMMYFUNCTION("""COMPUTED_VALUE"""),"DERRAPE")</f>
        <v>DERRAPE</v>
      </c>
      <c r="N493" s="64" t="str">
        <f>IFERROR(__xludf.DUMMYFUNCTION("""COMPUTED_VALUE"""),"VEHÍCULO INCENDIADO")</f>
        <v>VEHÍCULO INCENDIADO</v>
      </c>
      <c r="O493" s="64" t="str">
        <f>IFERROR(__xludf.DUMMYFUNCTION("""COMPUTED_VALUE"""),"VUELCO")</f>
        <v>VUELCO</v>
      </c>
      <c r="P493" s="64" t="str">
        <f>IFERROR(__xludf.DUMMYFUNCTION("""COMPUTED_VALUE"""),"DESPRENDIMIENTO")</f>
        <v>DESPRENDIMIENTO</v>
      </c>
      <c r="Q493" s="64" t="str">
        <f>IFERROR(__xludf.DUMMYFUNCTION("""COMPUTED_VALUE"""),"CAÍDA DE ÁRBOL")</f>
        <v>CAÍDA DE ÁRBOL</v>
      </c>
      <c r="R493" s="64" t="str">
        <f>IFERROR(__xludf.DUMMYFUNCTION("""COMPUTED_VALUE"""),"DESPRENDIMIENTO DE EJE")</f>
        <v>DESPRENDIMIENTO DE EJE</v>
      </c>
      <c r="S493" s="64" t="str">
        <f>IFERROR(__xludf.DUMMYFUNCTION("""COMPUTED_VALUE"""),"PERSONA ATROPELLADA")</f>
        <v>PERSONA ATROPELLADA</v>
      </c>
    </row>
    <row r="494">
      <c r="B494" s="64" t="s">
        <v>54</v>
      </c>
      <c r="C494" s="64" t="str">
        <f>IFERROR(__xludf.DUMMYFUNCTION(" TRANSPOSE( unique ( QUERY(DATOPRO,""select Col2 where Col1 = '""&amp;B494&amp;""'"")))"),"PINCHAZO")</f>
        <v>PINCHAZO</v>
      </c>
      <c r="D494" s="64" t="str">
        <f>IFERROR(__xludf.DUMMYFUNCTION("""COMPUTED_VALUE"""),"TRABAJOS DE CARRETERA")</f>
        <v>TRABAJOS DE CARRETERA</v>
      </c>
      <c r="E494" s="64" t="str">
        <f>IFERROR(__xludf.DUMMYFUNCTION("""COMPUTED_VALUE"""),"CONSIGNACIÓN")</f>
        <v>CONSIGNACIÓN</v>
      </c>
      <c r="F494" s="64" t="str">
        <f>IFERROR(__xludf.DUMMYFUNCTION("""COMPUTED_VALUE"""),"DERRAME")</f>
        <v>DERRAME</v>
      </c>
      <c r="G494" s="64" t="str">
        <f>IFERROR(__xludf.DUMMYFUNCTION("""COMPUTED_VALUE"""),"CALENTAMIENTO")</f>
        <v>CALENTAMIENTO</v>
      </c>
      <c r="H494" s="64" t="str">
        <f>IFERROR(__xludf.DUMMYFUNCTION("""COMPUTED_VALUE"""),"ESCOLTANDO")</f>
        <v>ESCOLTANDO</v>
      </c>
      <c r="I494" s="64" t="str">
        <f>IFERROR(__xludf.DUMMYFUNCTION("""COMPUTED_VALUE"""),"FALTA DE COMBUSTIBLE")</f>
        <v>FALTA DE COMBUSTIBLE</v>
      </c>
      <c r="J494" s="64" t="str">
        <f>IFERROR(__xludf.DUMMYFUNCTION("""COMPUTED_VALUE"""),"DESPERFECTOS MECÁNICOS")</f>
        <v>DESPERFECTOS MECÁNICOS</v>
      </c>
      <c r="K494" s="64" t="str">
        <f>IFERROR(__xludf.DUMMYFUNCTION("""COMPUTED_VALUE"""),"LLAMADA DE ATENCIÓN")</f>
        <v>LLAMADA DE ATENCIÓN</v>
      </c>
      <c r="L494" s="64" t="str">
        <f>IFERROR(__xludf.DUMMYFUNCTION("""COMPUTED_VALUE"""),"OPERATIVOS")</f>
        <v>OPERATIVOS</v>
      </c>
      <c r="M494" s="64" t="str">
        <f>IFERROR(__xludf.DUMMYFUNCTION("""COMPUTED_VALUE"""),"SANCIÓN")</f>
        <v>SANCIÓN</v>
      </c>
      <c r="N494" s="64" t="str">
        <f>IFERROR(__xludf.DUMMYFUNCTION("""COMPUTED_VALUE"""),"SISTEMA ELECTRICO")</f>
        <v>SISTEMA ELECTRICO</v>
      </c>
      <c r="O494" s="64" t="str">
        <f>IFERROR(__xludf.DUMMYFUNCTION("""COMPUTED_VALUE"""),"ASISTENCIA AL USUARIO")</f>
        <v>ASISTENCIA AL USUARIO</v>
      </c>
      <c r="P494" s="64" t="str">
        <f>IFERROR(__xludf.DUMMYFUNCTION("""COMPUTED_VALUE"""),"DOBLE REMOLQUE")</f>
        <v>DOBLE REMOLQUE</v>
      </c>
      <c r="Q494" s="64" t="str">
        <f>IFERROR(__xludf.DUMMYFUNCTION("""COMPUTED_VALUE"""),"SINAPRESE")</f>
        <v>SINAPRESE</v>
      </c>
      <c r="R494" s="64" t="str">
        <f>IFERROR(__xludf.DUMMYFUNCTION("""COMPUTED_VALUE"""),"APOYO ATLETISMO")</f>
        <v>APOYO ATLETISMO</v>
      </c>
      <c r="S494" s="64" t="str">
        <f>IFERROR(__xludf.DUMMYFUNCTION("""COMPUTED_VALUE"""),"APOYO A CICLISMO")</f>
        <v>APOYO A CICLISMO</v>
      </c>
      <c r="T494" s="64" t="str">
        <f>IFERROR(__xludf.DUMMYFUNCTION("""COMPUTED_VALUE"""),"DESCARGA DE BATERÍA")</f>
        <v>DESCARGA DE BATERÍA</v>
      </c>
      <c r="U494" s="64" t="str">
        <f>IFERROR(__xludf.DUMMYFUNCTION("""COMPUTED_VALUE"""),"PROBLEMAS DE SALUD")</f>
        <v>PROBLEMAS DE SALUD</v>
      </c>
      <c r="V494" s="64" t="str">
        <f>IFERROR(__xludf.DUMMYFUNCTION("""COMPUTED_VALUE"""),"OLVIDO LA LLAVE")</f>
        <v>OLVIDO LA LLAVE</v>
      </c>
      <c r="W494" s="64" t="str">
        <f>IFERROR(__xludf.DUMMYFUNCTION("""COMPUTED_VALUE"""),"CARGA SOBREDIMENSIONADA")</f>
        <v>CARGA SOBREDIMENSIONADA</v>
      </c>
      <c r="X494" s="64" t="str">
        <f>IFERROR(__xludf.DUMMYFUNCTION("""COMPUTED_VALUE"""),"VEHÍCULO ABANDONADO")</f>
        <v>VEHÍCULO ABANDONADO</v>
      </c>
      <c r="Y494" s="64" t="str">
        <f>IFERROR(__xludf.DUMMYFUNCTION("""COMPUTED_VALUE"""),"DESPRENDIMIENTO")</f>
        <v>DESPRENDIMIENTO</v>
      </c>
      <c r="Z494" s="64" t="str">
        <f>IFERROR(__xludf.DUMMYFUNCTION("""COMPUTED_VALUE"""),"CAÍDA DE POSTE")</f>
        <v>CAÍDA DE POSTE</v>
      </c>
      <c r="AA494" s="64" t="str">
        <f>IFERROR(__xludf.DUMMYFUNCTION("""COMPUTED_VALUE"""),"CAÍDA DE RAMA")</f>
        <v>CAÍDA DE RAMA</v>
      </c>
      <c r="AB494" s="64" t="str">
        <f>IFERROR(__xludf.DUMMYFUNCTION("""COMPUTED_VALUE"""),"OPERATIVO DGT")</f>
        <v>OPERATIVO DGT</v>
      </c>
      <c r="AC494" s="64" t="str">
        <f>IFERROR(__xludf.DUMMYFUNCTION("""COMPUTED_VALUE"""),"OPERATIVO PMT")</f>
        <v>OPERATIVO PMT</v>
      </c>
      <c r="AD494" s="64" t="str">
        <f>IFERROR(__xludf.DUMMYFUNCTION("""COMPUTED_VALUE"""),"APOYO A DIGEF")</f>
        <v>APOYO A DIGEF</v>
      </c>
      <c r="AE494" s="64" t="str">
        <f>IFERROR(__xludf.DUMMYFUNCTION("""COMPUTED_VALUE"""),"OPERATIVO PNC TRANSITO")</f>
        <v>OPERATIVO PNC TRANSITO</v>
      </c>
      <c r="AF494" s="64" t="str">
        <f>IFERROR(__xludf.DUMMYFUNCTION("""COMPUTED_VALUE"""),"SOBRECARGA ")</f>
        <v>SOBRECARGA </v>
      </c>
      <c r="AG494" s="64" t="str">
        <f>IFERROR(__xludf.DUMMYFUNCTION("""COMPUTED_VALUE"""),"OPERATIVO EN CONJUNTO")</f>
        <v>OPERATIVO EN CONJUNTO</v>
      </c>
      <c r="AH494" s="64" t="str">
        <f>IFERROR(__xludf.DUMMYFUNCTION("""COMPUTED_VALUE"""),"PUESTO DE ATENCION AL USUARIO")</f>
        <v>PUESTO DE ATENCION AL USUARIO</v>
      </c>
      <c r="AI494" s="64" t="str">
        <f>IFERROR(__xludf.DUMMYFUNCTION("""COMPUTED_VALUE"""),"INCENDIO EN RUTA")</f>
        <v>INCENDIO EN RUTA</v>
      </c>
      <c r="AJ494" s="64" t="str">
        <f>IFERROR(__xludf.DUMMYFUNCTION("""COMPUTED_VALUE"""),"APOYO ANTORCHA ")</f>
        <v>APOYO ANTORCHA </v>
      </c>
    </row>
    <row r="495">
      <c r="B495" s="64" t="s">
        <v>54</v>
      </c>
      <c r="C495" s="64" t="str">
        <f>IFERROR(__xludf.DUMMYFUNCTION(" TRANSPOSE( unique ( QUERY(DATOPRO,""select Col2 where Col1 = '""&amp;B495&amp;""'"")))"),"PINCHAZO")</f>
        <v>PINCHAZO</v>
      </c>
      <c r="D495" s="64" t="str">
        <f>IFERROR(__xludf.DUMMYFUNCTION("""COMPUTED_VALUE"""),"TRABAJOS DE CARRETERA")</f>
        <v>TRABAJOS DE CARRETERA</v>
      </c>
      <c r="E495" s="64" t="str">
        <f>IFERROR(__xludf.DUMMYFUNCTION("""COMPUTED_VALUE"""),"CONSIGNACIÓN")</f>
        <v>CONSIGNACIÓN</v>
      </c>
      <c r="F495" s="64" t="str">
        <f>IFERROR(__xludf.DUMMYFUNCTION("""COMPUTED_VALUE"""),"DERRAME")</f>
        <v>DERRAME</v>
      </c>
      <c r="G495" s="64" t="str">
        <f>IFERROR(__xludf.DUMMYFUNCTION("""COMPUTED_VALUE"""),"CALENTAMIENTO")</f>
        <v>CALENTAMIENTO</v>
      </c>
      <c r="H495" s="64" t="str">
        <f>IFERROR(__xludf.DUMMYFUNCTION("""COMPUTED_VALUE"""),"ESCOLTANDO")</f>
        <v>ESCOLTANDO</v>
      </c>
      <c r="I495" s="64" t="str">
        <f>IFERROR(__xludf.DUMMYFUNCTION("""COMPUTED_VALUE"""),"FALTA DE COMBUSTIBLE")</f>
        <v>FALTA DE COMBUSTIBLE</v>
      </c>
      <c r="J495" s="64" t="str">
        <f>IFERROR(__xludf.DUMMYFUNCTION("""COMPUTED_VALUE"""),"DESPERFECTOS MECÁNICOS")</f>
        <v>DESPERFECTOS MECÁNICOS</v>
      </c>
      <c r="K495" s="64" t="str">
        <f>IFERROR(__xludf.DUMMYFUNCTION("""COMPUTED_VALUE"""),"LLAMADA DE ATENCIÓN")</f>
        <v>LLAMADA DE ATENCIÓN</v>
      </c>
      <c r="L495" s="64" t="str">
        <f>IFERROR(__xludf.DUMMYFUNCTION("""COMPUTED_VALUE"""),"OPERATIVOS")</f>
        <v>OPERATIVOS</v>
      </c>
      <c r="M495" s="64" t="str">
        <f>IFERROR(__xludf.DUMMYFUNCTION("""COMPUTED_VALUE"""),"SANCIÓN")</f>
        <v>SANCIÓN</v>
      </c>
      <c r="N495" s="64" t="str">
        <f>IFERROR(__xludf.DUMMYFUNCTION("""COMPUTED_VALUE"""),"SISTEMA ELECTRICO")</f>
        <v>SISTEMA ELECTRICO</v>
      </c>
      <c r="O495" s="64" t="str">
        <f>IFERROR(__xludf.DUMMYFUNCTION("""COMPUTED_VALUE"""),"ASISTENCIA AL USUARIO")</f>
        <v>ASISTENCIA AL USUARIO</v>
      </c>
      <c r="P495" s="64" t="str">
        <f>IFERROR(__xludf.DUMMYFUNCTION("""COMPUTED_VALUE"""),"DOBLE REMOLQUE")</f>
        <v>DOBLE REMOLQUE</v>
      </c>
      <c r="Q495" s="64" t="str">
        <f>IFERROR(__xludf.DUMMYFUNCTION("""COMPUTED_VALUE"""),"SINAPRESE")</f>
        <v>SINAPRESE</v>
      </c>
      <c r="R495" s="64" t="str">
        <f>IFERROR(__xludf.DUMMYFUNCTION("""COMPUTED_VALUE"""),"APOYO ATLETISMO")</f>
        <v>APOYO ATLETISMO</v>
      </c>
      <c r="S495" s="64" t="str">
        <f>IFERROR(__xludf.DUMMYFUNCTION("""COMPUTED_VALUE"""),"APOYO A CICLISMO")</f>
        <v>APOYO A CICLISMO</v>
      </c>
      <c r="T495" s="64" t="str">
        <f>IFERROR(__xludf.DUMMYFUNCTION("""COMPUTED_VALUE"""),"DESCARGA DE BATERÍA")</f>
        <v>DESCARGA DE BATERÍA</v>
      </c>
      <c r="U495" s="64" t="str">
        <f>IFERROR(__xludf.DUMMYFUNCTION("""COMPUTED_VALUE"""),"PROBLEMAS DE SALUD")</f>
        <v>PROBLEMAS DE SALUD</v>
      </c>
      <c r="V495" s="64" t="str">
        <f>IFERROR(__xludf.DUMMYFUNCTION("""COMPUTED_VALUE"""),"OLVIDO LA LLAVE")</f>
        <v>OLVIDO LA LLAVE</v>
      </c>
      <c r="W495" s="64" t="str">
        <f>IFERROR(__xludf.DUMMYFUNCTION("""COMPUTED_VALUE"""),"CARGA SOBREDIMENSIONADA")</f>
        <v>CARGA SOBREDIMENSIONADA</v>
      </c>
      <c r="X495" s="64" t="str">
        <f>IFERROR(__xludf.DUMMYFUNCTION("""COMPUTED_VALUE"""),"VEHÍCULO ABANDONADO")</f>
        <v>VEHÍCULO ABANDONADO</v>
      </c>
      <c r="Y495" s="64" t="str">
        <f>IFERROR(__xludf.DUMMYFUNCTION("""COMPUTED_VALUE"""),"DESPRENDIMIENTO")</f>
        <v>DESPRENDIMIENTO</v>
      </c>
      <c r="Z495" s="64" t="str">
        <f>IFERROR(__xludf.DUMMYFUNCTION("""COMPUTED_VALUE"""),"CAÍDA DE POSTE")</f>
        <v>CAÍDA DE POSTE</v>
      </c>
      <c r="AA495" s="64" t="str">
        <f>IFERROR(__xludf.DUMMYFUNCTION("""COMPUTED_VALUE"""),"CAÍDA DE RAMA")</f>
        <v>CAÍDA DE RAMA</v>
      </c>
      <c r="AB495" s="64" t="str">
        <f>IFERROR(__xludf.DUMMYFUNCTION("""COMPUTED_VALUE"""),"OPERATIVO DGT")</f>
        <v>OPERATIVO DGT</v>
      </c>
      <c r="AC495" s="64" t="str">
        <f>IFERROR(__xludf.DUMMYFUNCTION("""COMPUTED_VALUE"""),"OPERATIVO PMT")</f>
        <v>OPERATIVO PMT</v>
      </c>
      <c r="AD495" s="64" t="str">
        <f>IFERROR(__xludf.DUMMYFUNCTION("""COMPUTED_VALUE"""),"APOYO A DIGEF")</f>
        <v>APOYO A DIGEF</v>
      </c>
      <c r="AE495" s="64" t="str">
        <f>IFERROR(__xludf.DUMMYFUNCTION("""COMPUTED_VALUE"""),"OPERATIVO PNC TRANSITO")</f>
        <v>OPERATIVO PNC TRANSITO</v>
      </c>
      <c r="AF495" s="64" t="str">
        <f>IFERROR(__xludf.DUMMYFUNCTION("""COMPUTED_VALUE"""),"SOBRECARGA ")</f>
        <v>SOBRECARGA </v>
      </c>
      <c r="AG495" s="64" t="str">
        <f>IFERROR(__xludf.DUMMYFUNCTION("""COMPUTED_VALUE"""),"OPERATIVO EN CONJUNTO")</f>
        <v>OPERATIVO EN CONJUNTO</v>
      </c>
      <c r="AH495" s="64" t="str">
        <f>IFERROR(__xludf.DUMMYFUNCTION("""COMPUTED_VALUE"""),"PUESTO DE ATENCION AL USUARIO")</f>
        <v>PUESTO DE ATENCION AL USUARIO</v>
      </c>
      <c r="AI495" s="64" t="str">
        <f>IFERROR(__xludf.DUMMYFUNCTION("""COMPUTED_VALUE"""),"INCENDIO EN RUTA")</f>
        <v>INCENDIO EN RUTA</v>
      </c>
      <c r="AJ495" s="64" t="str">
        <f>IFERROR(__xludf.DUMMYFUNCTION("""COMPUTED_VALUE"""),"APOYO ANTORCHA ")</f>
        <v>APOYO ANTORCHA </v>
      </c>
    </row>
    <row r="496">
      <c r="B496" s="64" t="s">
        <v>38</v>
      </c>
      <c r="C496" s="64" t="str">
        <f>IFERROR(__xludf.DUMMYFUNCTION(" TRANSPOSE( unique ( QUERY(DATOPRO,""select Col2 where Col1 = '""&amp;B496&amp;""'"")))"),"ATAQUE ARMADO")</f>
        <v>ATAQUE ARMADO</v>
      </c>
      <c r="D496" s="64" t="str">
        <f>IFERROR(__xludf.DUMMYFUNCTION("""COMPUTED_VALUE"""),"DESBALANCE DE CARGA")</f>
        <v>DESBALANCE DE CARGA</v>
      </c>
      <c r="E496" s="64" t="str">
        <f>IFERROR(__xludf.DUMMYFUNCTION("""COMPUTED_VALUE"""),"PERSONA FALLECIDA")</f>
        <v>PERSONA FALLECIDA</v>
      </c>
      <c r="F496" s="64" t="str">
        <f>IFERROR(__xludf.DUMMYFUNCTION("""COMPUTED_VALUE"""),"DESPRENDIMIENTO DE NEUMATICO")</f>
        <v>DESPRENDIMIENTO DE NEUMATICO</v>
      </c>
      <c r="G496" s="64" t="str">
        <f>IFERROR(__xludf.DUMMYFUNCTION("""COMPUTED_VALUE"""),"SALIDA DE PISTA")</f>
        <v>SALIDA DE PISTA</v>
      </c>
      <c r="H496" s="64" t="str">
        <f>IFERROR(__xludf.DUMMYFUNCTION("""COMPUTED_VALUE"""),"DESPRENDIMIENTO DE CONTENEDOR")</f>
        <v>DESPRENDIMIENTO DE CONTENEDOR</v>
      </c>
      <c r="I496" s="64" t="str">
        <f>IFERROR(__xludf.DUMMYFUNCTION("""COMPUTED_VALUE"""),"CAÍDA DE CARGA")</f>
        <v>CAÍDA DE CARGA</v>
      </c>
      <c r="J496" s="64" t="str">
        <f>IFERROR(__xludf.DUMMYFUNCTION("""COMPUTED_VALUE"""),"CHOQUE")</f>
        <v>CHOQUE</v>
      </c>
      <c r="K496" s="64" t="str">
        <f>IFERROR(__xludf.DUMMYFUNCTION("""COMPUTED_VALUE"""),"COLISIÓN")</f>
        <v>COLISIÓN</v>
      </c>
      <c r="L496" s="64" t="str">
        <f>IFERROR(__xludf.DUMMYFUNCTION("""COMPUTED_VALUE"""),"COLISIÓN MÚLTIPLE")</f>
        <v>COLISIÓN MÚLTIPLE</v>
      </c>
      <c r="M496" s="64" t="str">
        <f>IFERROR(__xludf.DUMMYFUNCTION("""COMPUTED_VALUE"""),"DERRAPE")</f>
        <v>DERRAPE</v>
      </c>
      <c r="N496" s="64" t="str">
        <f>IFERROR(__xludf.DUMMYFUNCTION("""COMPUTED_VALUE"""),"VEHÍCULO INCENDIADO")</f>
        <v>VEHÍCULO INCENDIADO</v>
      </c>
      <c r="O496" s="64" t="str">
        <f>IFERROR(__xludf.DUMMYFUNCTION("""COMPUTED_VALUE"""),"VUELCO")</f>
        <v>VUELCO</v>
      </c>
      <c r="P496" s="64" t="str">
        <f>IFERROR(__xludf.DUMMYFUNCTION("""COMPUTED_VALUE"""),"DESPRENDIMIENTO")</f>
        <v>DESPRENDIMIENTO</v>
      </c>
      <c r="Q496" s="64" t="str">
        <f>IFERROR(__xludf.DUMMYFUNCTION("""COMPUTED_VALUE"""),"CAÍDA DE ÁRBOL")</f>
        <v>CAÍDA DE ÁRBOL</v>
      </c>
      <c r="R496" s="64" t="str">
        <f>IFERROR(__xludf.DUMMYFUNCTION("""COMPUTED_VALUE"""),"DESPRENDIMIENTO DE EJE")</f>
        <v>DESPRENDIMIENTO DE EJE</v>
      </c>
      <c r="S496" s="64" t="str">
        <f>IFERROR(__xludf.DUMMYFUNCTION("""COMPUTED_VALUE"""),"PERSONA ATROPELLADA")</f>
        <v>PERSONA ATROPELLADA</v>
      </c>
    </row>
    <row r="497">
      <c r="B497" s="64" t="s">
        <v>323</v>
      </c>
      <c r="C497" s="64" t="str">
        <f>IFERROR(__xludf.DUMMYFUNCTION(" TRANSPOSE( unique ( QUERY(DATOPRO,""select Col2 where Col1 = '""&amp;B497&amp;""'"")))"),"ACUMULACIÓN DE AGUA")</f>
        <v>ACUMULACIÓN DE AGUA</v>
      </c>
      <c r="D497" s="64" t="str">
        <f>IFERROR(__xludf.DUMMYFUNCTION("""COMPUTED_VALUE"""),"DERRUMBE")</f>
        <v>DERRUMBE</v>
      </c>
      <c r="E497" s="64" t="str">
        <f>IFERROR(__xludf.DUMMYFUNCTION("""COMPUTED_VALUE"""),"REGULACION DE TRANSITO ")</f>
        <v>REGULACION DE TRANSITO </v>
      </c>
      <c r="F497" s="64" t="str">
        <f>IFERROR(__xludf.DUMMYFUNCTION("""COMPUTED_VALUE"""),"DESBORDAMIENTO DE RÍO")</f>
        <v>DESBORDAMIENTO DE RÍO</v>
      </c>
      <c r="G497" s="64" t="str">
        <f>IFERROR(__xludf.DUMMYFUNCTION("""COMPUTED_VALUE"""),"DESPRENDIMIENTO DE ROCAS")</f>
        <v>DESPRENDIMIENTO DE ROCAS</v>
      </c>
      <c r="H497" s="64" t="str">
        <f>IFERROR(__xludf.DUMMYFUNCTION("""COMPUTED_VALUE"""),"SOCAVAMIENTO")</f>
        <v>SOCAVAMIENTO</v>
      </c>
      <c r="I497" s="64" t="str">
        <f>IFERROR(__xludf.DUMMYFUNCTION("""COMPUTED_VALUE"""),"CAÍDA DE VALLA PUBLICITARÍA")</f>
        <v>CAÍDA DE VALLA PUBLICITARÍA</v>
      </c>
      <c r="J497" s="64" t="str">
        <f>IFERROR(__xludf.DUMMYFUNCTION("""COMPUTED_VALUE"""),"CARRETERA DAÑADA")</f>
        <v>CARRETERA DAÑADA</v>
      </c>
      <c r="K497" s="64" t="str">
        <f>IFERROR(__xludf.DUMMYFUNCTION("""COMPUTED_VALUE"""),"HUNDIMIENTO")</f>
        <v>HUNDIMIENTO</v>
      </c>
      <c r="L497" s="64" t="str">
        <f>IFERROR(__xludf.DUMMYFUNCTION("""COMPUTED_VALUE"""),"CAÍDA DE PUENTE")</f>
        <v>CAÍDA DE PUENTE</v>
      </c>
      <c r="M497" s="64" t="str">
        <f>IFERROR(__xludf.DUMMYFUNCTION("""COMPUTED_VALUE"""),"INCENDIO FORESTAL")</f>
        <v>INCENDIO FORESTAL</v>
      </c>
      <c r="N497" s="64" t="str">
        <f>IFERROR(__xludf.DUMMYFUNCTION("""COMPUTED_VALUE"""),"DESLAVE")</f>
        <v>DESLAVE</v>
      </c>
      <c r="O497" s="64" t="str">
        <f>IFERROR(__xludf.DUMMYFUNCTION("""COMPUTED_VALUE"""),"CAÍDA DE ÁRBOL")</f>
        <v>CAÍDA DE ÁRBOL</v>
      </c>
      <c r="P497" s="64" t="str">
        <f>IFERROR(__xludf.DUMMYFUNCTION("""COMPUTED_VALUE"""),"LIMPIEZA DE CUNETAS ")</f>
        <v>LIMPIEZA DE CUNETAS </v>
      </c>
      <c r="Q497" s="64" t="str">
        <f>IFERROR(__xludf.DUMMYFUNCTION("""COMPUTED_VALUE"""),"SEMOVIENTE ")</f>
        <v>SEMOVIENTE </v>
      </c>
    </row>
    <row r="498">
      <c r="B498" s="64" t="s">
        <v>54</v>
      </c>
      <c r="C498" s="64" t="str">
        <f>IFERROR(__xludf.DUMMYFUNCTION(" TRANSPOSE( unique ( QUERY(DATOPRO,""select Col2 where Col1 = '""&amp;B498&amp;""'"")))"),"PINCHAZO")</f>
        <v>PINCHAZO</v>
      </c>
      <c r="D498" s="64" t="str">
        <f>IFERROR(__xludf.DUMMYFUNCTION("""COMPUTED_VALUE"""),"TRABAJOS DE CARRETERA")</f>
        <v>TRABAJOS DE CARRETERA</v>
      </c>
      <c r="E498" s="64" t="str">
        <f>IFERROR(__xludf.DUMMYFUNCTION("""COMPUTED_VALUE"""),"CONSIGNACIÓN")</f>
        <v>CONSIGNACIÓN</v>
      </c>
      <c r="F498" s="64" t="str">
        <f>IFERROR(__xludf.DUMMYFUNCTION("""COMPUTED_VALUE"""),"DERRAME")</f>
        <v>DERRAME</v>
      </c>
      <c r="G498" s="64" t="str">
        <f>IFERROR(__xludf.DUMMYFUNCTION("""COMPUTED_VALUE"""),"CALENTAMIENTO")</f>
        <v>CALENTAMIENTO</v>
      </c>
      <c r="H498" s="64" t="str">
        <f>IFERROR(__xludf.DUMMYFUNCTION("""COMPUTED_VALUE"""),"ESCOLTANDO")</f>
        <v>ESCOLTANDO</v>
      </c>
      <c r="I498" s="64" t="str">
        <f>IFERROR(__xludf.DUMMYFUNCTION("""COMPUTED_VALUE"""),"FALTA DE COMBUSTIBLE")</f>
        <v>FALTA DE COMBUSTIBLE</v>
      </c>
      <c r="J498" s="64" t="str">
        <f>IFERROR(__xludf.DUMMYFUNCTION("""COMPUTED_VALUE"""),"DESPERFECTOS MECÁNICOS")</f>
        <v>DESPERFECTOS MECÁNICOS</v>
      </c>
      <c r="K498" s="64" t="str">
        <f>IFERROR(__xludf.DUMMYFUNCTION("""COMPUTED_VALUE"""),"LLAMADA DE ATENCIÓN")</f>
        <v>LLAMADA DE ATENCIÓN</v>
      </c>
      <c r="L498" s="64" t="str">
        <f>IFERROR(__xludf.DUMMYFUNCTION("""COMPUTED_VALUE"""),"OPERATIVOS")</f>
        <v>OPERATIVOS</v>
      </c>
      <c r="M498" s="64" t="str">
        <f>IFERROR(__xludf.DUMMYFUNCTION("""COMPUTED_VALUE"""),"SANCIÓN")</f>
        <v>SANCIÓN</v>
      </c>
      <c r="N498" s="64" t="str">
        <f>IFERROR(__xludf.DUMMYFUNCTION("""COMPUTED_VALUE"""),"SISTEMA ELECTRICO")</f>
        <v>SISTEMA ELECTRICO</v>
      </c>
      <c r="O498" s="64" t="str">
        <f>IFERROR(__xludf.DUMMYFUNCTION("""COMPUTED_VALUE"""),"ASISTENCIA AL USUARIO")</f>
        <v>ASISTENCIA AL USUARIO</v>
      </c>
      <c r="P498" s="64" t="str">
        <f>IFERROR(__xludf.DUMMYFUNCTION("""COMPUTED_VALUE"""),"DOBLE REMOLQUE")</f>
        <v>DOBLE REMOLQUE</v>
      </c>
      <c r="Q498" s="64" t="str">
        <f>IFERROR(__xludf.DUMMYFUNCTION("""COMPUTED_VALUE"""),"SINAPRESE")</f>
        <v>SINAPRESE</v>
      </c>
      <c r="R498" s="64" t="str">
        <f>IFERROR(__xludf.DUMMYFUNCTION("""COMPUTED_VALUE"""),"APOYO ATLETISMO")</f>
        <v>APOYO ATLETISMO</v>
      </c>
      <c r="S498" s="64" t="str">
        <f>IFERROR(__xludf.DUMMYFUNCTION("""COMPUTED_VALUE"""),"APOYO A CICLISMO")</f>
        <v>APOYO A CICLISMO</v>
      </c>
      <c r="T498" s="64" t="str">
        <f>IFERROR(__xludf.DUMMYFUNCTION("""COMPUTED_VALUE"""),"DESCARGA DE BATERÍA")</f>
        <v>DESCARGA DE BATERÍA</v>
      </c>
      <c r="U498" s="64" t="str">
        <f>IFERROR(__xludf.DUMMYFUNCTION("""COMPUTED_VALUE"""),"PROBLEMAS DE SALUD")</f>
        <v>PROBLEMAS DE SALUD</v>
      </c>
      <c r="V498" s="64" t="str">
        <f>IFERROR(__xludf.DUMMYFUNCTION("""COMPUTED_VALUE"""),"OLVIDO LA LLAVE")</f>
        <v>OLVIDO LA LLAVE</v>
      </c>
      <c r="W498" s="64" t="str">
        <f>IFERROR(__xludf.DUMMYFUNCTION("""COMPUTED_VALUE"""),"CARGA SOBREDIMENSIONADA")</f>
        <v>CARGA SOBREDIMENSIONADA</v>
      </c>
      <c r="X498" s="64" t="str">
        <f>IFERROR(__xludf.DUMMYFUNCTION("""COMPUTED_VALUE"""),"VEHÍCULO ABANDONADO")</f>
        <v>VEHÍCULO ABANDONADO</v>
      </c>
      <c r="Y498" s="64" t="str">
        <f>IFERROR(__xludf.DUMMYFUNCTION("""COMPUTED_VALUE"""),"DESPRENDIMIENTO")</f>
        <v>DESPRENDIMIENTO</v>
      </c>
      <c r="Z498" s="64" t="str">
        <f>IFERROR(__xludf.DUMMYFUNCTION("""COMPUTED_VALUE"""),"CAÍDA DE POSTE")</f>
        <v>CAÍDA DE POSTE</v>
      </c>
      <c r="AA498" s="64" t="str">
        <f>IFERROR(__xludf.DUMMYFUNCTION("""COMPUTED_VALUE"""),"CAÍDA DE RAMA")</f>
        <v>CAÍDA DE RAMA</v>
      </c>
      <c r="AB498" s="64" t="str">
        <f>IFERROR(__xludf.DUMMYFUNCTION("""COMPUTED_VALUE"""),"OPERATIVO DGT")</f>
        <v>OPERATIVO DGT</v>
      </c>
      <c r="AC498" s="64" t="str">
        <f>IFERROR(__xludf.DUMMYFUNCTION("""COMPUTED_VALUE"""),"OPERATIVO PMT")</f>
        <v>OPERATIVO PMT</v>
      </c>
      <c r="AD498" s="64" t="str">
        <f>IFERROR(__xludf.DUMMYFUNCTION("""COMPUTED_VALUE"""),"APOYO A DIGEF")</f>
        <v>APOYO A DIGEF</v>
      </c>
      <c r="AE498" s="64" t="str">
        <f>IFERROR(__xludf.DUMMYFUNCTION("""COMPUTED_VALUE"""),"OPERATIVO PNC TRANSITO")</f>
        <v>OPERATIVO PNC TRANSITO</v>
      </c>
      <c r="AF498" s="64" t="str">
        <f>IFERROR(__xludf.DUMMYFUNCTION("""COMPUTED_VALUE"""),"SOBRECARGA ")</f>
        <v>SOBRECARGA </v>
      </c>
      <c r="AG498" s="64" t="str">
        <f>IFERROR(__xludf.DUMMYFUNCTION("""COMPUTED_VALUE"""),"OPERATIVO EN CONJUNTO")</f>
        <v>OPERATIVO EN CONJUNTO</v>
      </c>
      <c r="AH498" s="64" t="str">
        <f>IFERROR(__xludf.DUMMYFUNCTION("""COMPUTED_VALUE"""),"PUESTO DE ATENCION AL USUARIO")</f>
        <v>PUESTO DE ATENCION AL USUARIO</v>
      </c>
      <c r="AI498" s="64" t="str">
        <f>IFERROR(__xludf.DUMMYFUNCTION("""COMPUTED_VALUE"""),"INCENDIO EN RUTA")</f>
        <v>INCENDIO EN RUTA</v>
      </c>
      <c r="AJ498" s="64" t="str">
        <f>IFERROR(__xludf.DUMMYFUNCTION("""COMPUTED_VALUE"""),"APOYO ANTORCHA ")</f>
        <v>APOYO ANTORCHA </v>
      </c>
    </row>
    <row r="499">
      <c r="B499" s="64" t="s">
        <v>54</v>
      </c>
      <c r="C499" s="64" t="str">
        <f>IFERROR(__xludf.DUMMYFUNCTION(" TRANSPOSE( unique ( QUERY(DATOPRO,""select Col2 where Col1 = '""&amp;B499&amp;""'"")))"),"PINCHAZO")</f>
        <v>PINCHAZO</v>
      </c>
      <c r="D499" s="64" t="str">
        <f>IFERROR(__xludf.DUMMYFUNCTION("""COMPUTED_VALUE"""),"TRABAJOS DE CARRETERA")</f>
        <v>TRABAJOS DE CARRETERA</v>
      </c>
      <c r="E499" s="64" t="str">
        <f>IFERROR(__xludf.DUMMYFUNCTION("""COMPUTED_VALUE"""),"CONSIGNACIÓN")</f>
        <v>CONSIGNACIÓN</v>
      </c>
      <c r="F499" s="64" t="str">
        <f>IFERROR(__xludf.DUMMYFUNCTION("""COMPUTED_VALUE"""),"DERRAME")</f>
        <v>DERRAME</v>
      </c>
      <c r="G499" s="64" t="str">
        <f>IFERROR(__xludf.DUMMYFUNCTION("""COMPUTED_VALUE"""),"CALENTAMIENTO")</f>
        <v>CALENTAMIENTO</v>
      </c>
      <c r="H499" s="64" t="str">
        <f>IFERROR(__xludf.DUMMYFUNCTION("""COMPUTED_VALUE"""),"ESCOLTANDO")</f>
        <v>ESCOLTANDO</v>
      </c>
      <c r="I499" s="64" t="str">
        <f>IFERROR(__xludf.DUMMYFUNCTION("""COMPUTED_VALUE"""),"FALTA DE COMBUSTIBLE")</f>
        <v>FALTA DE COMBUSTIBLE</v>
      </c>
      <c r="J499" s="64" t="str">
        <f>IFERROR(__xludf.DUMMYFUNCTION("""COMPUTED_VALUE"""),"DESPERFECTOS MECÁNICOS")</f>
        <v>DESPERFECTOS MECÁNICOS</v>
      </c>
      <c r="K499" s="64" t="str">
        <f>IFERROR(__xludf.DUMMYFUNCTION("""COMPUTED_VALUE"""),"LLAMADA DE ATENCIÓN")</f>
        <v>LLAMADA DE ATENCIÓN</v>
      </c>
      <c r="L499" s="64" t="str">
        <f>IFERROR(__xludf.DUMMYFUNCTION("""COMPUTED_VALUE"""),"OPERATIVOS")</f>
        <v>OPERATIVOS</v>
      </c>
      <c r="M499" s="64" t="str">
        <f>IFERROR(__xludf.DUMMYFUNCTION("""COMPUTED_VALUE"""),"SANCIÓN")</f>
        <v>SANCIÓN</v>
      </c>
      <c r="N499" s="64" t="str">
        <f>IFERROR(__xludf.DUMMYFUNCTION("""COMPUTED_VALUE"""),"SISTEMA ELECTRICO")</f>
        <v>SISTEMA ELECTRICO</v>
      </c>
      <c r="O499" s="64" t="str">
        <f>IFERROR(__xludf.DUMMYFUNCTION("""COMPUTED_VALUE"""),"ASISTENCIA AL USUARIO")</f>
        <v>ASISTENCIA AL USUARIO</v>
      </c>
      <c r="P499" s="64" t="str">
        <f>IFERROR(__xludf.DUMMYFUNCTION("""COMPUTED_VALUE"""),"DOBLE REMOLQUE")</f>
        <v>DOBLE REMOLQUE</v>
      </c>
      <c r="Q499" s="64" t="str">
        <f>IFERROR(__xludf.DUMMYFUNCTION("""COMPUTED_VALUE"""),"SINAPRESE")</f>
        <v>SINAPRESE</v>
      </c>
      <c r="R499" s="64" t="str">
        <f>IFERROR(__xludf.DUMMYFUNCTION("""COMPUTED_VALUE"""),"APOYO ATLETISMO")</f>
        <v>APOYO ATLETISMO</v>
      </c>
      <c r="S499" s="64" t="str">
        <f>IFERROR(__xludf.DUMMYFUNCTION("""COMPUTED_VALUE"""),"APOYO A CICLISMO")</f>
        <v>APOYO A CICLISMO</v>
      </c>
      <c r="T499" s="64" t="str">
        <f>IFERROR(__xludf.DUMMYFUNCTION("""COMPUTED_VALUE"""),"DESCARGA DE BATERÍA")</f>
        <v>DESCARGA DE BATERÍA</v>
      </c>
      <c r="U499" s="64" t="str">
        <f>IFERROR(__xludf.DUMMYFUNCTION("""COMPUTED_VALUE"""),"PROBLEMAS DE SALUD")</f>
        <v>PROBLEMAS DE SALUD</v>
      </c>
      <c r="V499" s="64" t="str">
        <f>IFERROR(__xludf.DUMMYFUNCTION("""COMPUTED_VALUE"""),"OLVIDO LA LLAVE")</f>
        <v>OLVIDO LA LLAVE</v>
      </c>
      <c r="W499" s="64" t="str">
        <f>IFERROR(__xludf.DUMMYFUNCTION("""COMPUTED_VALUE"""),"CARGA SOBREDIMENSIONADA")</f>
        <v>CARGA SOBREDIMENSIONADA</v>
      </c>
      <c r="X499" s="64" t="str">
        <f>IFERROR(__xludf.DUMMYFUNCTION("""COMPUTED_VALUE"""),"VEHÍCULO ABANDONADO")</f>
        <v>VEHÍCULO ABANDONADO</v>
      </c>
      <c r="Y499" s="64" t="str">
        <f>IFERROR(__xludf.DUMMYFUNCTION("""COMPUTED_VALUE"""),"DESPRENDIMIENTO")</f>
        <v>DESPRENDIMIENTO</v>
      </c>
      <c r="Z499" s="64" t="str">
        <f>IFERROR(__xludf.DUMMYFUNCTION("""COMPUTED_VALUE"""),"CAÍDA DE POSTE")</f>
        <v>CAÍDA DE POSTE</v>
      </c>
      <c r="AA499" s="64" t="str">
        <f>IFERROR(__xludf.DUMMYFUNCTION("""COMPUTED_VALUE"""),"CAÍDA DE RAMA")</f>
        <v>CAÍDA DE RAMA</v>
      </c>
      <c r="AB499" s="64" t="str">
        <f>IFERROR(__xludf.DUMMYFUNCTION("""COMPUTED_VALUE"""),"OPERATIVO DGT")</f>
        <v>OPERATIVO DGT</v>
      </c>
      <c r="AC499" s="64" t="str">
        <f>IFERROR(__xludf.DUMMYFUNCTION("""COMPUTED_VALUE"""),"OPERATIVO PMT")</f>
        <v>OPERATIVO PMT</v>
      </c>
      <c r="AD499" s="64" t="str">
        <f>IFERROR(__xludf.DUMMYFUNCTION("""COMPUTED_VALUE"""),"APOYO A DIGEF")</f>
        <v>APOYO A DIGEF</v>
      </c>
      <c r="AE499" s="64" t="str">
        <f>IFERROR(__xludf.DUMMYFUNCTION("""COMPUTED_VALUE"""),"OPERATIVO PNC TRANSITO")</f>
        <v>OPERATIVO PNC TRANSITO</v>
      </c>
      <c r="AF499" s="64" t="str">
        <f>IFERROR(__xludf.DUMMYFUNCTION("""COMPUTED_VALUE"""),"SOBRECARGA ")</f>
        <v>SOBRECARGA </v>
      </c>
      <c r="AG499" s="64" t="str">
        <f>IFERROR(__xludf.DUMMYFUNCTION("""COMPUTED_VALUE"""),"OPERATIVO EN CONJUNTO")</f>
        <v>OPERATIVO EN CONJUNTO</v>
      </c>
      <c r="AH499" s="64" t="str">
        <f>IFERROR(__xludf.DUMMYFUNCTION("""COMPUTED_VALUE"""),"PUESTO DE ATENCION AL USUARIO")</f>
        <v>PUESTO DE ATENCION AL USUARIO</v>
      </c>
      <c r="AI499" s="64" t="str">
        <f>IFERROR(__xludf.DUMMYFUNCTION("""COMPUTED_VALUE"""),"INCENDIO EN RUTA")</f>
        <v>INCENDIO EN RUTA</v>
      </c>
      <c r="AJ499" s="64" t="str">
        <f>IFERROR(__xludf.DUMMYFUNCTION("""COMPUTED_VALUE"""),"APOYO ANTORCHA ")</f>
        <v>APOYO ANTORCHA </v>
      </c>
    </row>
    <row r="500">
      <c r="B500" s="64" t="s">
        <v>54</v>
      </c>
      <c r="C500" s="64" t="str">
        <f>IFERROR(__xludf.DUMMYFUNCTION(" TRANSPOSE( unique ( QUERY(DATOPRO,""select Col2 where Col1 = '""&amp;B500&amp;""'"")))"),"PINCHAZO")</f>
        <v>PINCHAZO</v>
      </c>
      <c r="D500" s="64" t="str">
        <f>IFERROR(__xludf.DUMMYFUNCTION("""COMPUTED_VALUE"""),"TRABAJOS DE CARRETERA")</f>
        <v>TRABAJOS DE CARRETERA</v>
      </c>
      <c r="E500" s="64" t="str">
        <f>IFERROR(__xludf.DUMMYFUNCTION("""COMPUTED_VALUE"""),"CONSIGNACIÓN")</f>
        <v>CONSIGNACIÓN</v>
      </c>
      <c r="F500" s="64" t="str">
        <f>IFERROR(__xludf.DUMMYFUNCTION("""COMPUTED_VALUE"""),"DERRAME")</f>
        <v>DERRAME</v>
      </c>
      <c r="G500" s="64" t="str">
        <f>IFERROR(__xludf.DUMMYFUNCTION("""COMPUTED_VALUE"""),"CALENTAMIENTO")</f>
        <v>CALENTAMIENTO</v>
      </c>
      <c r="H500" s="64" t="str">
        <f>IFERROR(__xludf.DUMMYFUNCTION("""COMPUTED_VALUE"""),"ESCOLTANDO")</f>
        <v>ESCOLTANDO</v>
      </c>
      <c r="I500" s="64" t="str">
        <f>IFERROR(__xludf.DUMMYFUNCTION("""COMPUTED_VALUE"""),"FALTA DE COMBUSTIBLE")</f>
        <v>FALTA DE COMBUSTIBLE</v>
      </c>
      <c r="J500" s="64" t="str">
        <f>IFERROR(__xludf.DUMMYFUNCTION("""COMPUTED_VALUE"""),"DESPERFECTOS MECÁNICOS")</f>
        <v>DESPERFECTOS MECÁNICOS</v>
      </c>
      <c r="K500" s="64" t="str">
        <f>IFERROR(__xludf.DUMMYFUNCTION("""COMPUTED_VALUE"""),"LLAMADA DE ATENCIÓN")</f>
        <v>LLAMADA DE ATENCIÓN</v>
      </c>
      <c r="L500" s="64" t="str">
        <f>IFERROR(__xludf.DUMMYFUNCTION("""COMPUTED_VALUE"""),"OPERATIVOS")</f>
        <v>OPERATIVOS</v>
      </c>
      <c r="M500" s="64" t="str">
        <f>IFERROR(__xludf.DUMMYFUNCTION("""COMPUTED_VALUE"""),"SANCIÓN")</f>
        <v>SANCIÓN</v>
      </c>
      <c r="N500" s="64" t="str">
        <f>IFERROR(__xludf.DUMMYFUNCTION("""COMPUTED_VALUE"""),"SISTEMA ELECTRICO")</f>
        <v>SISTEMA ELECTRICO</v>
      </c>
      <c r="O500" s="64" t="str">
        <f>IFERROR(__xludf.DUMMYFUNCTION("""COMPUTED_VALUE"""),"ASISTENCIA AL USUARIO")</f>
        <v>ASISTENCIA AL USUARIO</v>
      </c>
      <c r="P500" s="64" t="str">
        <f>IFERROR(__xludf.DUMMYFUNCTION("""COMPUTED_VALUE"""),"DOBLE REMOLQUE")</f>
        <v>DOBLE REMOLQUE</v>
      </c>
      <c r="Q500" s="64" t="str">
        <f>IFERROR(__xludf.DUMMYFUNCTION("""COMPUTED_VALUE"""),"SINAPRESE")</f>
        <v>SINAPRESE</v>
      </c>
      <c r="R500" s="64" t="str">
        <f>IFERROR(__xludf.DUMMYFUNCTION("""COMPUTED_VALUE"""),"APOYO ATLETISMO")</f>
        <v>APOYO ATLETISMO</v>
      </c>
      <c r="S500" s="64" t="str">
        <f>IFERROR(__xludf.DUMMYFUNCTION("""COMPUTED_VALUE"""),"APOYO A CICLISMO")</f>
        <v>APOYO A CICLISMO</v>
      </c>
      <c r="T500" s="64" t="str">
        <f>IFERROR(__xludf.DUMMYFUNCTION("""COMPUTED_VALUE"""),"DESCARGA DE BATERÍA")</f>
        <v>DESCARGA DE BATERÍA</v>
      </c>
      <c r="U500" s="64" t="str">
        <f>IFERROR(__xludf.DUMMYFUNCTION("""COMPUTED_VALUE"""),"PROBLEMAS DE SALUD")</f>
        <v>PROBLEMAS DE SALUD</v>
      </c>
      <c r="V500" s="64" t="str">
        <f>IFERROR(__xludf.DUMMYFUNCTION("""COMPUTED_VALUE"""),"OLVIDO LA LLAVE")</f>
        <v>OLVIDO LA LLAVE</v>
      </c>
      <c r="W500" s="64" t="str">
        <f>IFERROR(__xludf.DUMMYFUNCTION("""COMPUTED_VALUE"""),"CARGA SOBREDIMENSIONADA")</f>
        <v>CARGA SOBREDIMENSIONADA</v>
      </c>
      <c r="X500" s="64" t="str">
        <f>IFERROR(__xludf.DUMMYFUNCTION("""COMPUTED_VALUE"""),"VEHÍCULO ABANDONADO")</f>
        <v>VEHÍCULO ABANDONADO</v>
      </c>
      <c r="Y500" s="64" t="str">
        <f>IFERROR(__xludf.DUMMYFUNCTION("""COMPUTED_VALUE"""),"DESPRENDIMIENTO")</f>
        <v>DESPRENDIMIENTO</v>
      </c>
      <c r="Z500" s="64" t="str">
        <f>IFERROR(__xludf.DUMMYFUNCTION("""COMPUTED_VALUE"""),"CAÍDA DE POSTE")</f>
        <v>CAÍDA DE POSTE</v>
      </c>
      <c r="AA500" s="64" t="str">
        <f>IFERROR(__xludf.DUMMYFUNCTION("""COMPUTED_VALUE"""),"CAÍDA DE RAMA")</f>
        <v>CAÍDA DE RAMA</v>
      </c>
      <c r="AB500" s="64" t="str">
        <f>IFERROR(__xludf.DUMMYFUNCTION("""COMPUTED_VALUE"""),"OPERATIVO DGT")</f>
        <v>OPERATIVO DGT</v>
      </c>
      <c r="AC500" s="64" t="str">
        <f>IFERROR(__xludf.DUMMYFUNCTION("""COMPUTED_VALUE"""),"OPERATIVO PMT")</f>
        <v>OPERATIVO PMT</v>
      </c>
      <c r="AD500" s="64" t="str">
        <f>IFERROR(__xludf.DUMMYFUNCTION("""COMPUTED_VALUE"""),"APOYO A DIGEF")</f>
        <v>APOYO A DIGEF</v>
      </c>
      <c r="AE500" s="64" t="str">
        <f>IFERROR(__xludf.DUMMYFUNCTION("""COMPUTED_VALUE"""),"OPERATIVO PNC TRANSITO")</f>
        <v>OPERATIVO PNC TRANSITO</v>
      </c>
      <c r="AF500" s="64" t="str">
        <f>IFERROR(__xludf.DUMMYFUNCTION("""COMPUTED_VALUE"""),"SOBRECARGA ")</f>
        <v>SOBRECARGA </v>
      </c>
      <c r="AG500" s="64" t="str">
        <f>IFERROR(__xludf.DUMMYFUNCTION("""COMPUTED_VALUE"""),"OPERATIVO EN CONJUNTO")</f>
        <v>OPERATIVO EN CONJUNTO</v>
      </c>
      <c r="AH500" s="64" t="str">
        <f>IFERROR(__xludf.DUMMYFUNCTION("""COMPUTED_VALUE"""),"PUESTO DE ATENCION AL USUARIO")</f>
        <v>PUESTO DE ATENCION AL USUARIO</v>
      </c>
      <c r="AI500" s="64" t="str">
        <f>IFERROR(__xludf.DUMMYFUNCTION("""COMPUTED_VALUE"""),"INCENDIO EN RUTA")</f>
        <v>INCENDIO EN RUTA</v>
      </c>
      <c r="AJ500" s="64" t="str">
        <f>IFERROR(__xludf.DUMMYFUNCTION("""COMPUTED_VALUE"""),"APOYO ANTORCHA ")</f>
        <v>APOYO ANTORCHA </v>
      </c>
    </row>
    <row r="501">
      <c r="B501" s="64" t="s">
        <v>38</v>
      </c>
      <c r="C501" s="64" t="str">
        <f>IFERROR(__xludf.DUMMYFUNCTION(" TRANSPOSE( unique ( QUERY(DATOPRO,""select Col2 where Col1 = '""&amp;B501&amp;""'"")))"),"ATAQUE ARMADO")</f>
        <v>ATAQUE ARMADO</v>
      </c>
      <c r="D501" s="64" t="str">
        <f>IFERROR(__xludf.DUMMYFUNCTION("""COMPUTED_VALUE"""),"DESBALANCE DE CARGA")</f>
        <v>DESBALANCE DE CARGA</v>
      </c>
      <c r="E501" s="64" t="str">
        <f>IFERROR(__xludf.DUMMYFUNCTION("""COMPUTED_VALUE"""),"PERSONA FALLECIDA")</f>
        <v>PERSONA FALLECIDA</v>
      </c>
      <c r="F501" s="64" t="str">
        <f>IFERROR(__xludf.DUMMYFUNCTION("""COMPUTED_VALUE"""),"DESPRENDIMIENTO DE NEUMATICO")</f>
        <v>DESPRENDIMIENTO DE NEUMATICO</v>
      </c>
      <c r="G501" s="64" t="str">
        <f>IFERROR(__xludf.DUMMYFUNCTION("""COMPUTED_VALUE"""),"SALIDA DE PISTA")</f>
        <v>SALIDA DE PISTA</v>
      </c>
      <c r="H501" s="64" t="str">
        <f>IFERROR(__xludf.DUMMYFUNCTION("""COMPUTED_VALUE"""),"DESPRENDIMIENTO DE CONTENEDOR")</f>
        <v>DESPRENDIMIENTO DE CONTENEDOR</v>
      </c>
      <c r="I501" s="64" t="str">
        <f>IFERROR(__xludf.DUMMYFUNCTION("""COMPUTED_VALUE"""),"CAÍDA DE CARGA")</f>
        <v>CAÍDA DE CARGA</v>
      </c>
      <c r="J501" s="64" t="str">
        <f>IFERROR(__xludf.DUMMYFUNCTION("""COMPUTED_VALUE"""),"CHOQUE")</f>
        <v>CHOQUE</v>
      </c>
      <c r="K501" s="64" t="str">
        <f>IFERROR(__xludf.DUMMYFUNCTION("""COMPUTED_VALUE"""),"COLISIÓN")</f>
        <v>COLISIÓN</v>
      </c>
      <c r="L501" s="64" t="str">
        <f>IFERROR(__xludf.DUMMYFUNCTION("""COMPUTED_VALUE"""),"COLISIÓN MÚLTIPLE")</f>
        <v>COLISIÓN MÚLTIPLE</v>
      </c>
      <c r="M501" s="64" t="str">
        <f>IFERROR(__xludf.DUMMYFUNCTION("""COMPUTED_VALUE"""),"DERRAPE")</f>
        <v>DERRAPE</v>
      </c>
      <c r="N501" s="64" t="str">
        <f>IFERROR(__xludf.DUMMYFUNCTION("""COMPUTED_VALUE"""),"VEHÍCULO INCENDIADO")</f>
        <v>VEHÍCULO INCENDIADO</v>
      </c>
      <c r="O501" s="64" t="str">
        <f>IFERROR(__xludf.DUMMYFUNCTION("""COMPUTED_VALUE"""),"VUELCO")</f>
        <v>VUELCO</v>
      </c>
      <c r="P501" s="64" t="str">
        <f>IFERROR(__xludf.DUMMYFUNCTION("""COMPUTED_VALUE"""),"DESPRENDIMIENTO")</f>
        <v>DESPRENDIMIENTO</v>
      </c>
      <c r="Q501" s="64" t="str">
        <f>IFERROR(__xludf.DUMMYFUNCTION("""COMPUTED_VALUE"""),"CAÍDA DE ÁRBOL")</f>
        <v>CAÍDA DE ÁRBOL</v>
      </c>
      <c r="R501" s="64" t="str">
        <f>IFERROR(__xludf.DUMMYFUNCTION("""COMPUTED_VALUE"""),"DESPRENDIMIENTO DE EJE")</f>
        <v>DESPRENDIMIENTO DE EJE</v>
      </c>
      <c r="S501" s="64" t="str">
        <f>IFERROR(__xludf.DUMMYFUNCTION("""COMPUTED_VALUE"""),"PERSONA ATROPELLADA")</f>
        <v>PERSONA ATROPELLADA</v>
      </c>
    </row>
    <row r="502">
      <c r="B502" s="64" t="s">
        <v>38</v>
      </c>
      <c r="C502" s="64" t="str">
        <f>IFERROR(__xludf.DUMMYFUNCTION(" TRANSPOSE( unique ( QUERY(DATOPRO,""select Col2 where Col1 = '""&amp;B502&amp;""'"")))"),"ATAQUE ARMADO")</f>
        <v>ATAQUE ARMADO</v>
      </c>
      <c r="D502" s="64" t="str">
        <f>IFERROR(__xludf.DUMMYFUNCTION("""COMPUTED_VALUE"""),"DESBALANCE DE CARGA")</f>
        <v>DESBALANCE DE CARGA</v>
      </c>
      <c r="E502" s="64" t="str">
        <f>IFERROR(__xludf.DUMMYFUNCTION("""COMPUTED_VALUE"""),"PERSONA FALLECIDA")</f>
        <v>PERSONA FALLECIDA</v>
      </c>
      <c r="F502" s="64" t="str">
        <f>IFERROR(__xludf.DUMMYFUNCTION("""COMPUTED_VALUE"""),"DESPRENDIMIENTO DE NEUMATICO")</f>
        <v>DESPRENDIMIENTO DE NEUMATICO</v>
      </c>
      <c r="G502" s="64" t="str">
        <f>IFERROR(__xludf.DUMMYFUNCTION("""COMPUTED_VALUE"""),"SALIDA DE PISTA")</f>
        <v>SALIDA DE PISTA</v>
      </c>
      <c r="H502" s="64" t="str">
        <f>IFERROR(__xludf.DUMMYFUNCTION("""COMPUTED_VALUE"""),"DESPRENDIMIENTO DE CONTENEDOR")</f>
        <v>DESPRENDIMIENTO DE CONTENEDOR</v>
      </c>
      <c r="I502" s="64" t="str">
        <f>IFERROR(__xludf.DUMMYFUNCTION("""COMPUTED_VALUE"""),"CAÍDA DE CARGA")</f>
        <v>CAÍDA DE CARGA</v>
      </c>
      <c r="J502" s="64" t="str">
        <f>IFERROR(__xludf.DUMMYFUNCTION("""COMPUTED_VALUE"""),"CHOQUE")</f>
        <v>CHOQUE</v>
      </c>
      <c r="K502" s="64" t="str">
        <f>IFERROR(__xludf.DUMMYFUNCTION("""COMPUTED_VALUE"""),"COLISIÓN")</f>
        <v>COLISIÓN</v>
      </c>
      <c r="L502" s="64" t="str">
        <f>IFERROR(__xludf.DUMMYFUNCTION("""COMPUTED_VALUE"""),"COLISIÓN MÚLTIPLE")</f>
        <v>COLISIÓN MÚLTIPLE</v>
      </c>
      <c r="M502" s="64" t="str">
        <f>IFERROR(__xludf.DUMMYFUNCTION("""COMPUTED_VALUE"""),"DERRAPE")</f>
        <v>DERRAPE</v>
      </c>
      <c r="N502" s="64" t="str">
        <f>IFERROR(__xludf.DUMMYFUNCTION("""COMPUTED_VALUE"""),"VEHÍCULO INCENDIADO")</f>
        <v>VEHÍCULO INCENDIADO</v>
      </c>
      <c r="O502" s="64" t="str">
        <f>IFERROR(__xludf.DUMMYFUNCTION("""COMPUTED_VALUE"""),"VUELCO")</f>
        <v>VUELCO</v>
      </c>
      <c r="P502" s="64" t="str">
        <f>IFERROR(__xludf.DUMMYFUNCTION("""COMPUTED_VALUE"""),"DESPRENDIMIENTO")</f>
        <v>DESPRENDIMIENTO</v>
      </c>
      <c r="Q502" s="64" t="str">
        <f>IFERROR(__xludf.DUMMYFUNCTION("""COMPUTED_VALUE"""),"CAÍDA DE ÁRBOL")</f>
        <v>CAÍDA DE ÁRBOL</v>
      </c>
      <c r="R502" s="64" t="str">
        <f>IFERROR(__xludf.DUMMYFUNCTION("""COMPUTED_VALUE"""),"DESPRENDIMIENTO DE EJE")</f>
        <v>DESPRENDIMIENTO DE EJE</v>
      </c>
      <c r="S502" s="64" t="str">
        <f>IFERROR(__xludf.DUMMYFUNCTION("""COMPUTED_VALUE"""),"PERSONA ATROPELLADA")</f>
        <v>PERSONA ATROPELLADA</v>
      </c>
    </row>
    <row r="503">
      <c r="B503" s="64"/>
      <c r="C503" s="64" t="str">
        <f>IFERROR(__xludf.DUMMYFUNCTION(" TRANSPOSE( unique ( QUERY(DATOPRO,""select Col2 where Col1 = '""&amp;B503&amp;""'"")))"),"")</f>
        <v/>
      </c>
    </row>
    <row r="504">
      <c r="B504" s="64"/>
      <c r="C504" s="64" t="str">
        <f>IFERROR(__xludf.DUMMYFUNCTION(" TRANSPOSE( unique ( QUERY(DATOPRO,""select Col2 where Col1 = '""&amp;B504&amp;""'"")))"),"")</f>
        <v/>
      </c>
    </row>
    <row r="505">
      <c r="B505" s="64" t="s">
        <v>38</v>
      </c>
      <c r="C505" s="64" t="str">
        <f>IFERROR(__xludf.DUMMYFUNCTION(" TRANSPOSE( unique ( QUERY(DATOPRO,""select Col2 where Col1 = '""&amp;B505&amp;""'"")))"),"ATAQUE ARMADO")</f>
        <v>ATAQUE ARMADO</v>
      </c>
      <c r="D505" s="64" t="str">
        <f>IFERROR(__xludf.DUMMYFUNCTION("""COMPUTED_VALUE"""),"DESBALANCE DE CARGA")</f>
        <v>DESBALANCE DE CARGA</v>
      </c>
      <c r="E505" s="64" t="str">
        <f>IFERROR(__xludf.DUMMYFUNCTION("""COMPUTED_VALUE"""),"PERSONA FALLECIDA")</f>
        <v>PERSONA FALLECIDA</v>
      </c>
      <c r="F505" s="64" t="str">
        <f>IFERROR(__xludf.DUMMYFUNCTION("""COMPUTED_VALUE"""),"DESPRENDIMIENTO DE NEUMATICO")</f>
        <v>DESPRENDIMIENTO DE NEUMATICO</v>
      </c>
      <c r="G505" s="64" t="str">
        <f>IFERROR(__xludf.DUMMYFUNCTION("""COMPUTED_VALUE"""),"SALIDA DE PISTA")</f>
        <v>SALIDA DE PISTA</v>
      </c>
      <c r="H505" s="64" t="str">
        <f>IFERROR(__xludf.DUMMYFUNCTION("""COMPUTED_VALUE"""),"DESPRENDIMIENTO DE CONTENEDOR")</f>
        <v>DESPRENDIMIENTO DE CONTENEDOR</v>
      </c>
      <c r="I505" s="64" t="str">
        <f>IFERROR(__xludf.DUMMYFUNCTION("""COMPUTED_VALUE"""),"CAÍDA DE CARGA")</f>
        <v>CAÍDA DE CARGA</v>
      </c>
      <c r="J505" s="64" t="str">
        <f>IFERROR(__xludf.DUMMYFUNCTION("""COMPUTED_VALUE"""),"CHOQUE")</f>
        <v>CHOQUE</v>
      </c>
      <c r="K505" s="64" t="str">
        <f>IFERROR(__xludf.DUMMYFUNCTION("""COMPUTED_VALUE"""),"COLISIÓN")</f>
        <v>COLISIÓN</v>
      </c>
      <c r="L505" s="64" t="str">
        <f>IFERROR(__xludf.DUMMYFUNCTION("""COMPUTED_VALUE"""),"COLISIÓN MÚLTIPLE")</f>
        <v>COLISIÓN MÚLTIPLE</v>
      </c>
      <c r="M505" s="64" t="str">
        <f>IFERROR(__xludf.DUMMYFUNCTION("""COMPUTED_VALUE"""),"DERRAPE")</f>
        <v>DERRAPE</v>
      </c>
      <c r="N505" s="64" t="str">
        <f>IFERROR(__xludf.DUMMYFUNCTION("""COMPUTED_VALUE"""),"VEHÍCULO INCENDIADO")</f>
        <v>VEHÍCULO INCENDIADO</v>
      </c>
      <c r="O505" s="64" t="str">
        <f>IFERROR(__xludf.DUMMYFUNCTION("""COMPUTED_VALUE"""),"VUELCO")</f>
        <v>VUELCO</v>
      </c>
      <c r="P505" s="64" t="str">
        <f>IFERROR(__xludf.DUMMYFUNCTION("""COMPUTED_VALUE"""),"DESPRENDIMIENTO")</f>
        <v>DESPRENDIMIENTO</v>
      </c>
      <c r="Q505" s="64" t="str">
        <f>IFERROR(__xludf.DUMMYFUNCTION("""COMPUTED_VALUE"""),"CAÍDA DE ÁRBOL")</f>
        <v>CAÍDA DE ÁRBOL</v>
      </c>
      <c r="R505" s="64" t="str">
        <f>IFERROR(__xludf.DUMMYFUNCTION("""COMPUTED_VALUE"""),"DESPRENDIMIENTO DE EJE")</f>
        <v>DESPRENDIMIENTO DE EJE</v>
      </c>
      <c r="S505" s="64" t="str">
        <f>IFERROR(__xludf.DUMMYFUNCTION("""COMPUTED_VALUE"""),"PERSONA ATROPELLADA")</f>
        <v>PERSONA ATROPELLADA</v>
      </c>
    </row>
    <row r="506">
      <c r="B506" s="64" t="s">
        <v>38</v>
      </c>
      <c r="C506" s="64" t="str">
        <f>IFERROR(__xludf.DUMMYFUNCTION(" TRANSPOSE( unique ( QUERY(DATOPRO,""select Col2 where Col1 = '""&amp;B506&amp;""'"")))"),"ATAQUE ARMADO")</f>
        <v>ATAQUE ARMADO</v>
      </c>
      <c r="D506" s="64" t="str">
        <f>IFERROR(__xludf.DUMMYFUNCTION("""COMPUTED_VALUE"""),"DESBALANCE DE CARGA")</f>
        <v>DESBALANCE DE CARGA</v>
      </c>
      <c r="E506" s="64" t="str">
        <f>IFERROR(__xludf.DUMMYFUNCTION("""COMPUTED_VALUE"""),"PERSONA FALLECIDA")</f>
        <v>PERSONA FALLECIDA</v>
      </c>
      <c r="F506" s="64" t="str">
        <f>IFERROR(__xludf.DUMMYFUNCTION("""COMPUTED_VALUE"""),"DESPRENDIMIENTO DE NEUMATICO")</f>
        <v>DESPRENDIMIENTO DE NEUMATICO</v>
      </c>
      <c r="G506" s="64" t="str">
        <f>IFERROR(__xludf.DUMMYFUNCTION("""COMPUTED_VALUE"""),"SALIDA DE PISTA")</f>
        <v>SALIDA DE PISTA</v>
      </c>
      <c r="H506" s="64" t="str">
        <f>IFERROR(__xludf.DUMMYFUNCTION("""COMPUTED_VALUE"""),"DESPRENDIMIENTO DE CONTENEDOR")</f>
        <v>DESPRENDIMIENTO DE CONTENEDOR</v>
      </c>
      <c r="I506" s="64" t="str">
        <f>IFERROR(__xludf.DUMMYFUNCTION("""COMPUTED_VALUE"""),"CAÍDA DE CARGA")</f>
        <v>CAÍDA DE CARGA</v>
      </c>
      <c r="J506" s="64" t="str">
        <f>IFERROR(__xludf.DUMMYFUNCTION("""COMPUTED_VALUE"""),"CHOQUE")</f>
        <v>CHOQUE</v>
      </c>
      <c r="K506" s="64" t="str">
        <f>IFERROR(__xludf.DUMMYFUNCTION("""COMPUTED_VALUE"""),"COLISIÓN")</f>
        <v>COLISIÓN</v>
      </c>
      <c r="L506" s="64" t="str">
        <f>IFERROR(__xludf.DUMMYFUNCTION("""COMPUTED_VALUE"""),"COLISIÓN MÚLTIPLE")</f>
        <v>COLISIÓN MÚLTIPLE</v>
      </c>
      <c r="M506" s="64" t="str">
        <f>IFERROR(__xludf.DUMMYFUNCTION("""COMPUTED_VALUE"""),"DERRAPE")</f>
        <v>DERRAPE</v>
      </c>
      <c r="N506" s="64" t="str">
        <f>IFERROR(__xludf.DUMMYFUNCTION("""COMPUTED_VALUE"""),"VEHÍCULO INCENDIADO")</f>
        <v>VEHÍCULO INCENDIADO</v>
      </c>
      <c r="O506" s="64" t="str">
        <f>IFERROR(__xludf.DUMMYFUNCTION("""COMPUTED_VALUE"""),"VUELCO")</f>
        <v>VUELCO</v>
      </c>
      <c r="P506" s="64" t="str">
        <f>IFERROR(__xludf.DUMMYFUNCTION("""COMPUTED_VALUE"""),"DESPRENDIMIENTO")</f>
        <v>DESPRENDIMIENTO</v>
      </c>
      <c r="Q506" s="64" t="str">
        <f>IFERROR(__xludf.DUMMYFUNCTION("""COMPUTED_VALUE"""),"CAÍDA DE ÁRBOL")</f>
        <v>CAÍDA DE ÁRBOL</v>
      </c>
      <c r="R506" s="64" t="str">
        <f>IFERROR(__xludf.DUMMYFUNCTION("""COMPUTED_VALUE"""),"DESPRENDIMIENTO DE EJE")</f>
        <v>DESPRENDIMIENTO DE EJE</v>
      </c>
      <c r="S506" s="64" t="str">
        <f>IFERROR(__xludf.DUMMYFUNCTION("""COMPUTED_VALUE"""),"PERSONA ATROPELLADA")</f>
        <v>PERSONA ATROPELLADA</v>
      </c>
    </row>
    <row r="507">
      <c r="B507" s="64" t="s">
        <v>54</v>
      </c>
      <c r="C507" s="64" t="str">
        <f>IFERROR(__xludf.DUMMYFUNCTION(" TRANSPOSE( unique ( QUERY(DATOPRO,""select Col2 where Col1 = '""&amp;B507&amp;""'"")))"),"PINCHAZO")</f>
        <v>PINCHAZO</v>
      </c>
      <c r="D507" s="64" t="str">
        <f>IFERROR(__xludf.DUMMYFUNCTION("""COMPUTED_VALUE"""),"TRABAJOS DE CARRETERA")</f>
        <v>TRABAJOS DE CARRETERA</v>
      </c>
      <c r="E507" s="64" t="str">
        <f>IFERROR(__xludf.DUMMYFUNCTION("""COMPUTED_VALUE"""),"CONSIGNACIÓN")</f>
        <v>CONSIGNACIÓN</v>
      </c>
      <c r="F507" s="64" t="str">
        <f>IFERROR(__xludf.DUMMYFUNCTION("""COMPUTED_VALUE"""),"DERRAME")</f>
        <v>DERRAME</v>
      </c>
      <c r="G507" s="64" t="str">
        <f>IFERROR(__xludf.DUMMYFUNCTION("""COMPUTED_VALUE"""),"CALENTAMIENTO")</f>
        <v>CALENTAMIENTO</v>
      </c>
      <c r="H507" s="64" t="str">
        <f>IFERROR(__xludf.DUMMYFUNCTION("""COMPUTED_VALUE"""),"ESCOLTANDO")</f>
        <v>ESCOLTANDO</v>
      </c>
      <c r="I507" s="64" t="str">
        <f>IFERROR(__xludf.DUMMYFUNCTION("""COMPUTED_VALUE"""),"FALTA DE COMBUSTIBLE")</f>
        <v>FALTA DE COMBUSTIBLE</v>
      </c>
      <c r="J507" s="64" t="str">
        <f>IFERROR(__xludf.DUMMYFUNCTION("""COMPUTED_VALUE"""),"DESPERFECTOS MECÁNICOS")</f>
        <v>DESPERFECTOS MECÁNICOS</v>
      </c>
      <c r="K507" s="64" t="str">
        <f>IFERROR(__xludf.DUMMYFUNCTION("""COMPUTED_VALUE"""),"LLAMADA DE ATENCIÓN")</f>
        <v>LLAMADA DE ATENCIÓN</v>
      </c>
      <c r="L507" s="64" t="str">
        <f>IFERROR(__xludf.DUMMYFUNCTION("""COMPUTED_VALUE"""),"OPERATIVOS")</f>
        <v>OPERATIVOS</v>
      </c>
      <c r="M507" s="64" t="str">
        <f>IFERROR(__xludf.DUMMYFUNCTION("""COMPUTED_VALUE"""),"SANCIÓN")</f>
        <v>SANCIÓN</v>
      </c>
      <c r="N507" s="64" t="str">
        <f>IFERROR(__xludf.DUMMYFUNCTION("""COMPUTED_VALUE"""),"SISTEMA ELECTRICO")</f>
        <v>SISTEMA ELECTRICO</v>
      </c>
      <c r="O507" s="64" t="str">
        <f>IFERROR(__xludf.DUMMYFUNCTION("""COMPUTED_VALUE"""),"ASISTENCIA AL USUARIO")</f>
        <v>ASISTENCIA AL USUARIO</v>
      </c>
      <c r="P507" s="64" t="str">
        <f>IFERROR(__xludf.DUMMYFUNCTION("""COMPUTED_VALUE"""),"DOBLE REMOLQUE")</f>
        <v>DOBLE REMOLQUE</v>
      </c>
      <c r="Q507" s="64" t="str">
        <f>IFERROR(__xludf.DUMMYFUNCTION("""COMPUTED_VALUE"""),"SINAPRESE")</f>
        <v>SINAPRESE</v>
      </c>
      <c r="R507" s="64" t="str">
        <f>IFERROR(__xludf.DUMMYFUNCTION("""COMPUTED_VALUE"""),"APOYO ATLETISMO")</f>
        <v>APOYO ATLETISMO</v>
      </c>
      <c r="S507" s="64" t="str">
        <f>IFERROR(__xludf.DUMMYFUNCTION("""COMPUTED_VALUE"""),"APOYO A CICLISMO")</f>
        <v>APOYO A CICLISMO</v>
      </c>
      <c r="T507" s="64" t="str">
        <f>IFERROR(__xludf.DUMMYFUNCTION("""COMPUTED_VALUE"""),"DESCARGA DE BATERÍA")</f>
        <v>DESCARGA DE BATERÍA</v>
      </c>
      <c r="U507" s="64" t="str">
        <f>IFERROR(__xludf.DUMMYFUNCTION("""COMPUTED_VALUE"""),"PROBLEMAS DE SALUD")</f>
        <v>PROBLEMAS DE SALUD</v>
      </c>
      <c r="V507" s="64" t="str">
        <f>IFERROR(__xludf.DUMMYFUNCTION("""COMPUTED_VALUE"""),"OLVIDO LA LLAVE")</f>
        <v>OLVIDO LA LLAVE</v>
      </c>
      <c r="W507" s="64" t="str">
        <f>IFERROR(__xludf.DUMMYFUNCTION("""COMPUTED_VALUE"""),"CARGA SOBREDIMENSIONADA")</f>
        <v>CARGA SOBREDIMENSIONADA</v>
      </c>
      <c r="X507" s="64" t="str">
        <f>IFERROR(__xludf.DUMMYFUNCTION("""COMPUTED_VALUE"""),"VEHÍCULO ABANDONADO")</f>
        <v>VEHÍCULO ABANDONADO</v>
      </c>
      <c r="Y507" s="64" t="str">
        <f>IFERROR(__xludf.DUMMYFUNCTION("""COMPUTED_VALUE"""),"DESPRENDIMIENTO")</f>
        <v>DESPRENDIMIENTO</v>
      </c>
      <c r="Z507" s="64" t="str">
        <f>IFERROR(__xludf.DUMMYFUNCTION("""COMPUTED_VALUE"""),"CAÍDA DE POSTE")</f>
        <v>CAÍDA DE POSTE</v>
      </c>
      <c r="AA507" s="64" t="str">
        <f>IFERROR(__xludf.DUMMYFUNCTION("""COMPUTED_VALUE"""),"CAÍDA DE RAMA")</f>
        <v>CAÍDA DE RAMA</v>
      </c>
      <c r="AB507" s="64" t="str">
        <f>IFERROR(__xludf.DUMMYFUNCTION("""COMPUTED_VALUE"""),"OPERATIVO DGT")</f>
        <v>OPERATIVO DGT</v>
      </c>
      <c r="AC507" s="64" t="str">
        <f>IFERROR(__xludf.DUMMYFUNCTION("""COMPUTED_VALUE"""),"OPERATIVO PMT")</f>
        <v>OPERATIVO PMT</v>
      </c>
      <c r="AD507" s="64" t="str">
        <f>IFERROR(__xludf.DUMMYFUNCTION("""COMPUTED_VALUE"""),"APOYO A DIGEF")</f>
        <v>APOYO A DIGEF</v>
      </c>
      <c r="AE507" s="64" t="str">
        <f>IFERROR(__xludf.DUMMYFUNCTION("""COMPUTED_VALUE"""),"OPERATIVO PNC TRANSITO")</f>
        <v>OPERATIVO PNC TRANSITO</v>
      </c>
      <c r="AF507" s="64" t="str">
        <f>IFERROR(__xludf.DUMMYFUNCTION("""COMPUTED_VALUE"""),"SOBRECARGA ")</f>
        <v>SOBRECARGA </v>
      </c>
      <c r="AG507" s="64" t="str">
        <f>IFERROR(__xludf.DUMMYFUNCTION("""COMPUTED_VALUE"""),"OPERATIVO EN CONJUNTO")</f>
        <v>OPERATIVO EN CONJUNTO</v>
      </c>
      <c r="AH507" s="64" t="str">
        <f>IFERROR(__xludf.DUMMYFUNCTION("""COMPUTED_VALUE"""),"PUESTO DE ATENCION AL USUARIO")</f>
        <v>PUESTO DE ATENCION AL USUARIO</v>
      </c>
      <c r="AI507" s="64" t="str">
        <f>IFERROR(__xludf.DUMMYFUNCTION("""COMPUTED_VALUE"""),"INCENDIO EN RUTA")</f>
        <v>INCENDIO EN RUTA</v>
      </c>
      <c r="AJ507" s="64" t="str">
        <f>IFERROR(__xludf.DUMMYFUNCTION("""COMPUTED_VALUE"""),"APOYO ANTORCHA ")</f>
        <v>APOYO ANTORCHA </v>
      </c>
    </row>
    <row r="508">
      <c r="B508" s="64" t="s">
        <v>54</v>
      </c>
      <c r="C508" s="64" t="str">
        <f>IFERROR(__xludf.DUMMYFUNCTION(" TRANSPOSE( unique ( QUERY(DATOPRO,""select Col2 where Col1 = '""&amp;B508&amp;""'"")))"),"PINCHAZO")</f>
        <v>PINCHAZO</v>
      </c>
      <c r="D508" s="64" t="str">
        <f>IFERROR(__xludf.DUMMYFUNCTION("""COMPUTED_VALUE"""),"TRABAJOS DE CARRETERA")</f>
        <v>TRABAJOS DE CARRETERA</v>
      </c>
      <c r="E508" s="64" t="str">
        <f>IFERROR(__xludf.DUMMYFUNCTION("""COMPUTED_VALUE"""),"CONSIGNACIÓN")</f>
        <v>CONSIGNACIÓN</v>
      </c>
      <c r="F508" s="64" t="str">
        <f>IFERROR(__xludf.DUMMYFUNCTION("""COMPUTED_VALUE"""),"DERRAME")</f>
        <v>DERRAME</v>
      </c>
      <c r="G508" s="64" t="str">
        <f>IFERROR(__xludf.DUMMYFUNCTION("""COMPUTED_VALUE"""),"CALENTAMIENTO")</f>
        <v>CALENTAMIENTO</v>
      </c>
      <c r="H508" s="64" t="str">
        <f>IFERROR(__xludf.DUMMYFUNCTION("""COMPUTED_VALUE"""),"ESCOLTANDO")</f>
        <v>ESCOLTANDO</v>
      </c>
      <c r="I508" s="64" t="str">
        <f>IFERROR(__xludf.DUMMYFUNCTION("""COMPUTED_VALUE"""),"FALTA DE COMBUSTIBLE")</f>
        <v>FALTA DE COMBUSTIBLE</v>
      </c>
      <c r="J508" s="64" t="str">
        <f>IFERROR(__xludf.DUMMYFUNCTION("""COMPUTED_VALUE"""),"DESPERFECTOS MECÁNICOS")</f>
        <v>DESPERFECTOS MECÁNICOS</v>
      </c>
      <c r="K508" s="64" t="str">
        <f>IFERROR(__xludf.DUMMYFUNCTION("""COMPUTED_VALUE"""),"LLAMADA DE ATENCIÓN")</f>
        <v>LLAMADA DE ATENCIÓN</v>
      </c>
      <c r="L508" s="64" t="str">
        <f>IFERROR(__xludf.DUMMYFUNCTION("""COMPUTED_VALUE"""),"OPERATIVOS")</f>
        <v>OPERATIVOS</v>
      </c>
      <c r="M508" s="64" t="str">
        <f>IFERROR(__xludf.DUMMYFUNCTION("""COMPUTED_VALUE"""),"SANCIÓN")</f>
        <v>SANCIÓN</v>
      </c>
      <c r="N508" s="64" t="str">
        <f>IFERROR(__xludf.DUMMYFUNCTION("""COMPUTED_VALUE"""),"SISTEMA ELECTRICO")</f>
        <v>SISTEMA ELECTRICO</v>
      </c>
      <c r="O508" s="64" t="str">
        <f>IFERROR(__xludf.DUMMYFUNCTION("""COMPUTED_VALUE"""),"ASISTENCIA AL USUARIO")</f>
        <v>ASISTENCIA AL USUARIO</v>
      </c>
      <c r="P508" s="64" t="str">
        <f>IFERROR(__xludf.DUMMYFUNCTION("""COMPUTED_VALUE"""),"DOBLE REMOLQUE")</f>
        <v>DOBLE REMOLQUE</v>
      </c>
      <c r="Q508" s="64" t="str">
        <f>IFERROR(__xludf.DUMMYFUNCTION("""COMPUTED_VALUE"""),"SINAPRESE")</f>
        <v>SINAPRESE</v>
      </c>
      <c r="R508" s="64" t="str">
        <f>IFERROR(__xludf.DUMMYFUNCTION("""COMPUTED_VALUE"""),"APOYO ATLETISMO")</f>
        <v>APOYO ATLETISMO</v>
      </c>
      <c r="S508" s="64" t="str">
        <f>IFERROR(__xludf.DUMMYFUNCTION("""COMPUTED_VALUE"""),"APOYO A CICLISMO")</f>
        <v>APOYO A CICLISMO</v>
      </c>
      <c r="T508" s="64" t="str">
        <f>IFERROR(__xludf.DUMMYFUNCTION("""COMPUTED_VALUE"""),"DESCARGA DE BATERÍA")</f>
        <v>DESCARGA DE BATERÍA</v>
      </c>
      <c r="U508" s="64" t="str">
        <f>IFERROR(__xludf.DUMMYFUNCTION("""COMPUTED_VALUE"""),"PROBLEMAS DE SALUD")</f>
        <v>PROBLEMAS DE SALUD</v>
      </c>
      <c r="V508" s="64" t="str">
        <f>IFERROR(__xludf.DUMMYFUNCTION("""COMPUTED_VALUE"""),"OLVIDO LA LLAVE")</f>
        <v>OLVIDO LA LLAVE</v>
      </c>
      <c r="W508" s="64" t="str">
        <f>IFERROR(__xludf.DUMMYFUNCTION("""COMPUTED_VALUE"""),"CARGA SOBREDIMENSIONADA")</f>
        <v>CARGA SOBREDIMENSIONADA</v>
      </c>
      <c r="X508" s="64" t="str">
        <f>IFERROR(__xludf.DUMMYFUNCTION("""COMPUTED_VALUE"""),"VEHÍCULO ABANDONADO")</f>
        <v>VEHÍCULO ABANDONADO</v>
      </c>
      <c r="Y508" s="64" t="str">
        <f>IFERROR(__xludf.DUMMYFUNCTION("""COMPUTED_VALUE"""),"DESPRENDIMIENTO")</f>
        <v>DESPRENDIMIENTO</v>
      </c>
      <c r="Z508" s="64" t="str">
        <f>IFERROR(__xludf.DUMMYFUNCTION("""COMPUTED_VALUE"""),"CAÍDA DE POSTE")</f>
        <v>CAÍDA DE POSTE</v>
      </c>
      <c r="AA508" s="64" t="str">
        <f>IFERROR(__xludf.DUMMYFUNCTION("""COMPUTED_VALUE"""),"CAÍDA DE RAMA")</f>
        <v>CAÍDA DE RAMA</v>
      </c>
      <c r="AB508" s="64" t="str">
        <f>IFERROR(__xludf.DUMMYFUNCTION("""COMPUTED_VALUE"""),"OPERATIVO DGT")</f>
        <v>OPERATIVO DGT</v>
      </c>
      <c r="AC508" s="64" t="str">
        <f>IFERROR(__xludf.DUMMYFUNCTION("""COMPUTED_VALUE"""),"OPERATIVO PMT")</f>
        <v>OPERATIVO PMT</v>
      </c>
      <c r="AD508" s="64" t="str">
        <f>IFERROR(__xludf.DUMMYFUNCTION("""COMPUTED_VALUE"""),"APOYO A DIGEF")</f>
        <v>APOYO A DIGEF</v>
      </c>
      <c r="AE508" s="64" t="str">
        <f>IFERROR(__xludf.DUMMYFUNCTION("""COMPUTED_VALUE"""),"OPERATIVO PNC TRANSITO")</f>
        <v>OPERATIVO PNC TRANSITO</v>
      </c>
      <c r="AF508" s="64" t="str">
        <f>IFERROR(__xludf.DUMMYFUNCTION("""COMPUTED_VALUE"""),"SOBRECARGA ")</f>
        <v>SOBRECARGA </v>
      </c>
      <c r="AG508" s="64" t="str">
        <f>IFERROR(__xludf.DUMMYFUNCTION("""COMPUTED_VALUE"""),"OPERATIVO EN CONJUNTO")</f>
        <v>OPERATIVO EN CONJUNTO</v>
      </c>
      <c r="AH508" s="64" t="str">
        <f>IFERROR(__xludf.DUMMYFUNCTION("""COMPUTED_VALUE"""),"PUESTO DE ATENCION AL USUARIO")</f>
        <v>PUESTO DE ATENCION AL USUARIO</v>
      </c>
      <c r="AI508" s="64" t="str">
        <f>IFERROR(__xludf.DUMMYFUNCTION("""COMPUTED_VALUE"""),"INCENDIO EN RUTA")</f>
        <v>INCENDIO EN RUTA</v>
      </c>
      <c r="AJ508" s="64" t="str">
        <f>IFERROR(__xludf.DUMMYFUNCTION("""COMPUTED_VALUE"""),"APOYO ANTORCHA ")</f>
        <v>APOYO ANTORCHA </v>
      </c>
    </row>
    <row r="509">
      <c r="B509" s="64"/>
      <c r="C509" s="64" t="str">
        <f>IFERROR(__xludf.DUMMYFUNCTION(" TRANSPOSE( unique ( QUERY(DATOPRO,""select Col2 where Col1 = '""&amp;B509&amp;""'"")))"),"")</f>
        <v/>
      </c>
    </row>
    <row r="510">
      <c r="B510" s="64" t="s">
        <v>38</v>
      </c>
      <c r="C510" s="64" t="str">
        <f>IFERROR(__xludf.DUMMYFUNCTION(" TRANSPOSE( unique ( QUERY(DATOPRO,""select Col2 where Col1 = '""&amp;B510&amp;""'"")))"),"ATAQUE ARMADO")</f>
        <v>ATAQUE ARMADO</v>
      </c>
      <c r="D510" s="64" t="str">
        <f>IFERROR(__xludf.DUMMYFUNCTION("""COMPUTED_VALUE"""),"DESBALANCE DE CARGA")</f>
        <v>DESBALANCE DE CARGA</v>
      </c>
      <c r="E510" s="64" t="str">
        <f>IFERROR(__xludf.DUMMYFUNCTION("""COMPUTED_VALUE"""),"PERSONA FALLECIDA")</f>
        <v>PERSONA FALLECIDA</v>
      </c>
      <c r="F510" s="64" t="str">
        <f>IFERROR(__xludf.DUMMYFUNCTION("""COMPUTED_VALUE"""),"DESPRENDIMIENTO DE NEUMATICO")</f>
        <v>DESPRENDIMIENTO DE NEUMATICO</v>
      </c>
      <c r="G510" s="64" t="str">
        <f>IFERROR(__xludf.DUMMYFUNCTION("""COMPUTED_VALUE"""),"SALIDA DE PISTA")</f>
        <v>SALIDA DE PISTA</v>
      </c>
      <c r="H510" s="64" t="str">
        <f>IFERROR(__xludf.DUMMYFUNCTION("""COMPUTED_VALUE"""),"DESPRENDIMIENTO DE CONTENEDOR")</f>
        <v>DESPRENDIMIENTO DE CONTENEDOR</v>
      </c>
      <c r="I510" s="64" t="str">
        <f>IFERROR(__xludf.DUMMYFUNCTION("""COMPUTED_VALUE"""),"CAÍDA DE CARGA")</f>
        <v>CAÍDA DE CARGA</v>
      </c>
      <c r="J510" s="64" t="str">
        <f>IFERROR(__xludf.DUMMYFUNCTION("""COMPUTED_VALUE"""),"CHOQUE")</f>
        <v>CHOQUE</v>
      </c>
      <c r="K510" s="64" t="str">
        <f>IFERROR(__xludf.DUMMYFUNCTION("""COMPUTED_VALUE"""),"COLISIÓN")</f>
        <v>COLISIÓN</v>
      </c>
      <c r="L510" s="64" t="str">
        <f>IFERROR(__xludf.DUMMYFUNCTION("""COMPUTED_VALUE"""),"COLISIÓN MÚLTIPLE")</f>
        <v>COLISIÓN MÚLTIPLE</v>
      </c>
      <c r="M510" s="64" t="str">
        <f>IFERROR(__xludf.DUMMYFUNCTION("""COMPUTED_VALUE"""),"DERRAPE")</f>
        <v>DERRAPE</v>
      </c>
      <c r="N510" s="64" t="str">
        <f>IFERROR(__xludf.DUMMYFUNCTION("""COMPUTED_VALUE"""),"VEHÍCULO INCENDIADO")</f>
        <v>VEHÍCULO INCENDIADO</v>
      </c>
      <c r="O510" s="64" t="str">
        <f>IFERROR(__xludf.DUMMYFUNCTION("""COMPUTED_VALUE"""),"VUELCO")</f>
        <v>VUELCO</v>
      </c>
      <c r="P510" s="64" t="str">
        <f>IFERROR(__xludf.DUMMYFUNCTION("""COMPUTED_VALUE"""),"DESPRENDIMIENTO")</f>
        <v>DESPRENDIMIENTO</v>
      </c>
      <c r="Q510" s="64" t="str">
        <f>IFERROR(__xludf.DUMMYFUNCTION("""COMPUTED_VALUE"""),"CAÍDA DE ÁRBOL")</f>
        <v>CAÍDA DE ÁRBOL</v>
      </c>
      <c r="R510" s="64" t="str">
        <f>IFERROR(__xludf.DUMMYFUNCTION("""COMPUTED_VALUE"""),"DESPRENDIMIENTO DE EJE")</f>
        <v>DESPRENDIMIENTO DE EJE</v>
      </c>
      <c r="S510" s="64" t="str">
        <f>IFERROR(__xludf.DUMMYFUNCTION("""COMPUTED_VALUE"""),"PERSONA ATROPELLADA")</f>
        <v>PERSONA ATROPELLADA</v>
      </c>
    </row>
    <row r="511">
      <c r="B511" s="64"/>
      <c r="C511" s="64" t="str">
        <f>IFERROR(__xludf.DUMMYFUNCTION(" TRANSPOSE( unique ( QUERY(DATOPRO,""select Col2 where Col1 = '""&amp;B511&amp;""'"")))"),"")</f>
        <v/>
      </c>
    </row>
    <row r="512">
      <c r="B512" s="64" t="s">
        <v>38</v>
      </c>
      <c r="C512" s="64" t="str">
        <f>IFERROR(__xludf.DUMMYFUNCTION(" TRANSPOSE( unique ( QUERY(DATOPRO,""select Col2 where Col1 = '""&amp;B512&amp;""'"")))"),"ATAQUE ARMADO")</f>
        <v>ATAQUE ARMADO</v>
      </c>
      <c r="D512" s="64" t="str">
        <f>IFERROR(__xludf.DUMMYFUNCTION("""COMPUTED_VALUE"""),"DESBALANCE DE CARGA")</f>
        <v>DESBALANCE DE CARGA</v>
      </c>
      <c r="E512" s="64" t="str">
        <f>IFERROR(__xludf.DUMMYFUNCTION("""COMPUTED_VALUE"""),"PERSONA FALLECIDA")</f>
        <v>PERSONA FALLECIDA</v>
      </c>
      <c r="F512" s="64" t="str">
        <f>IFERROR(__xludf.DUMMYFUNCTION("""COMPUTED_VALUE"""),"DESPRENDIMIENTO DE NEUMATICO")</f>
        <v>DESPRENDIMIENTO DE NEUMATICO</v>
      </c>
      <c r="G512" s="64" t="str">
        <f>IFERROR(__xludf.DUMMYFUNCTION("""COMPUTED_VALUE"""),"SALIDA DE PISTA")</f>
        <v>SALIDA DE PISTA</v>
      </c>
      <c r="H512" s="64" t="str">
        <f>IFERROR(__xludf.DUMMYFUNCTION("""COMPUTED_VALUE"""),"DESPRENDIMIENTO DE CONTENEDOR")</f>
        <v>DESPRENDIMIENTO DE CONTENEDOR</v>
      </c>
      <c r="I512" s="64" t="str">
        <f>IFERROR(__xludf.DUMMYFUNCTION("""COMPUTED_VALUE"""),"CAÍDA DE CARGA")</f>
        <v>CAÍDA DE CARGA</v>
      </c>
      <c r="J512" s="64" t="str">
        <f>IFERROR(__xludf.DUMMYFUNCTION("""COMPUTED_VALUE"""),"CHOQUE")</f>
        <v>CHOQUE</v>
      </c>
      <c r="K512" s="64" t="str">
        <f>IFERROR(__xludf.DUMMYFUNCTION("""COMPUTED_VALUE"""),"COLISIÓN")</f>
        <v>COLISIÓN</v>
      </c>
      <c r="L512" s="64" t="str">
        <f>IFERROR(__xludf.DUMMYFUNCTION("""COMPUTED_VALUE"""),"COLISIÓN MÚLTIPLE")</f>
        <v>COLISIÓN MÚLTIPLE</v>
      </c>
      <c r="M512" s="64" t="str">
        <f>IFERROR(__xludf.DUMMYFUNCTION("""COMPUTED_VALUE"""),"DERRAPE")</f>
        <v>DERRAPE</v>
      </c>
      <c r="N512" s="64" t="str">
        <f>IFERROR(__xludf.DUMMYFUNCTION("""COMPUTED_VALUE"""),"VEHÍCULO INCENDIADO")</f>
        <v>VEHÍCULO INCENDIADO</v>
      </c>
      <c r="O512" s="64" t="str">
        <f>IFERROR(__xludf.DUMMYFUNCTION("""COMPUTED_VALUE"""),"VUELCO")</f>
        <v>VUELCO</v>
      </c>
      <c r="P512" s="64" t="str">
        <f>IFERROR(__xludf.DUMMYFUNCTION("""COMPUTED_VALUE"""),"DESPRENDIMIENTO")</f>
        <v>DESPRENDIMIENTO</v>
      </c>
      <c r="Q512" s="64" t="str">
        <f>IFERROR(__xludf.DUMMYFUNCTION("""COMPUTED_VALUE"""),"CAÍDA DE ÁRBOL")</f>
        <v>CAÍDA DE ÁRBOL</v>
      </c>
      <c r="R512" s="64" t="str">
        <f>IFERROR(__xludf.DUMMYFUNCTION("""COMPUTED_VALUE"""),"DESPRENDIMIENTO DE EJE")</f>
        <v>DESPRENDIMIENTO DE EJE</v>
      </c>
      <c r="S512" s="64" t="str">
        <f>IFERROR(__xludf.DUMMYFUNCTION("""COMPUTED_VALUE"""),"PERSONA ATROPELLADA")</f>
        <v>PERSONA ATROPELLADA</v>
      </c>
    </row>
    <row r="513">
      <c r="B513" s="64" t="s">
        <v>54</v>
      </c>
      <c r="C513" s="64" t="str">
        <f>IFERROR(__xludf.DUMMYFUNCTION(" TRANSPOSE( unique ( QUERY(DATOPRO,""select Col2 where Col1 = '""&amp;B513&amp;""'"")))"),"PINCHAZO")</f>
        <v>PINCHAZO</v>
      </c>
      <c r="D513" s="64" t="str">
        <f>IFERROR(__xludf.DUMMYFUNCTION("""COMPUTED_VALUE"""),"TRABAJOS DE CARRETERA")</f>
        <v>TRABAJOS DE CARRETERA</v>
      </c>
      <c r="E513" s="64" t="str">
        <f>IFERROR(__xludf.DUMMYFUNCTION("""COMPUTED_VALUE"""),"CONSIGNACIÓN")</f>
        <v>CONSIGNACIÓN</v>
      </c>
      <c r="F513" s="64" t="str">
        <f>IFERROR(__xludf.DUMMYFUNCTION("""COMPUTED_VALUE"""),"DERRAME")</f>
        <v>DERRAME</v>
      </c>
      <c r="G513" s="64" t="str">
        <f>IFERROR(__xludf.DUMMYFUNCTION("""COMPUTED_VALUE"""),"CALENTAMIENTO")</f>
        <v>CALENTAMIENTO</v>
      </c>
      <c r="H513" s="64" t="str">
        <f>IFERROR(__xludf.DUMMYFUNCTION("""COMPUTED_VALUE"""),"ESCOLTANDO")</f>
        <v>ESCOLTANDO</v>
      </c>
      <c r="I513" s="64" t="str">
        <f>IFERROR(__xludf.DUMMYFUNCTION("""COMPUTED_VALUE"""),"FALTA DE COMBUSTIBLE")</f>
        <v>FALTA DE COMBUSTIBLE</v>
      </c>
      <c r="J513" s="64" t="str">
        <f>IFERROR(__xludf.DUMMYFUNCTION("""COMPUTED_VALUE"""),"DESPERFECTOS MECÁNICOS")</f>
        <v>DESPERFECTOS MECÁNICOS</v>
      </c>
      <c r="K513" s="64" t="str">
        <f>IFERROR(__xludf.DUMMYFUNCTION("""COMPUTED_VALUE"""),"LLAMADA DE ATENCIÓN")</f>
        <v>LLAMADA DE ATENCIÓN</v>
      </c>
      <c r="L513" s="64" t="str">
        <f>IFERROR(__xludf.DUMMYFUNCTION("""COMPUTED_VALUE"""),"OPERATIVOS")</f>
        <v>OPERATIVOS</v>
      </c>
      <c r="M513" s="64" t="str">
        <f>IFERROR(__xludf.DUMMYFUNCTION("""COMPUTED_VALUE"""),"SANCIÓN")</f>
        <v>SANCIÓN</v>
      </c>
      <c r="N513" s="64" t="str">
        <f>IFERROR(__xludf.DUMMYFUNCTION("""COMPUTED_VALUE"""),"SISTEMA ELECTRICO")</f>
        <v>SISTEMA ELECTRICO</v>
      </c>
      <c r="O513" s="64" t="str">
        <f>IFERROR(__xludf.DUMMYFUNCTION("""COMPUTED_VALUE"""),"ASISTENCIA AL USUARIO")</f>
        <v>ASISTENCIA AL USUARIO</v>
      </c>
      <c r="P513" s="64" t="str">
        <f>IFERROR(__xludf.DUMMYFUNCTION("""COMPUTED_VALUE"""),"DOBLE REMOLQUE")</f>
        <v>DOBLE REMOLQUE</v>
      </c>
      <c r="Q513" s="64" t="str">
        <f>IFERROR(__xludf.DUMMYFUNCTION("""COMPUTED_VALUE"""),"SINAPRESE")</f>
        <v>SINAPRESE</v>
      </c>
      <c r="R513" s="64" t="str">
        <f>IFERROR(__xludf.DUMMYFUNCTION("""COMPUTED_VALUE"""),"APOYO ATLETISMO")</f>
        <v>APOYO ATLETISMO</v>
      </c>
      <c r="S513" s="64" t="str">
        <f>IFERROR(__xludf.DUMMYFUNCTION("""COMPUTED_VALUE"""),"APOYO A CICLISMO")</f>
        <v>APOYO A CICLISMO</v>
      </c>
      <c r="T513" s="64" t="str">
        <f>IFERROR(__xludf.DUMMYFUNCTION("""COMPUTED_VALUE"""),"DESCARGA DE BATERÍA")</f>
        <v>DESCARGA DE BATERÍA</v>
      </c>
      <c r="U513" s="64" t="str">
        <f>IFERROR(__xludf.DUMMYFUNCTION("""COMPUTED_VALUE"""),"PROBLEMAS DE SALUD")</f>
        <v>PROBLEMAS DE SALUD</v>
      </c>
      <c r="V513" s="64" t="str">
        <f>IFERROR(__xludf.DUMMYFUNCTION("""COMPUTED_VALUE"""),"OLVIDO LA LLAVE")</f>
        <v>OLVIDO LA LLAVE</v>
      </c>
      <c r="W513" s="64" t="str">
        <f>IFERROR(__xludf.DUMMYFUNCTION("""COMPUTED_VALUE"""),"CARGA SOBREDIMENSIONADA")</f>
        <v>CARGA SOBREDIMENSIONADA</v>
      </c>
      <c r="X513" s="64" t="str">
        <f>IFERROR(__xludf.DUMMYFUNCTION("""COMPUTED_VALUE"""),"VEHÍCULO ABANDONADO")</f>
        <v>VEHÍCULO ABANDONADO</v>
      </c>
      <c r="Y513" s="64" t="str">
        <f>IFERROR(__xludf.DUMMYFUNCTION("""COMPUTED_VALUE"""),"DESPRENDIMIENTO")</f>
        <v>DESPRENDIMIENTO</v>
      </c>
      <c r="Z513" s="64" t="str">
        <f>IFERROR(__xludf.DUMMYFUNCTION("""COMPUTED_VALUE"""),"CAÍDA DE POSTE")</f>
        <v>CAÍDA DE POSTE</v>
      </c>
      <c r="AA513" s="64" t="str">
        <f>IFERROR(__xludf.DUMMYFUNCTION("""COMPUTED_VALUE"""),"CAÍDA DE RAMA")</f>
        <v>CAÍDA DE RAMA</v>
      </c>
      <c r="AB513" s="64" t="str">
        <f>IFERROR(__xludf.DUMMYFUNCTION("""COMPUTED_VALUE"""),"OPERATIVO DGT")</f>
        <v>OPERATIVO DGT</v>
      </c>
      <c r="AC513" s="64" t="str">
        <f>IFERROR(__xludf.DUMMYFUNCTION("""COMPUTED_VALUE"""),"OPERATIVO PMT")</f>
        <v>OPERATIVO PMT</v>
      </c>
      <c r="AD513" s="64" t="str">
        <f>IFERROR(__xludf.DUMMYFUNCTION("""COMPUTED_VALUE"""),"APOYO A DIGEF")</f>
        <v>APOYO A DIGEF</v>
      </c>
      <c r="AE513" s="64" t="str">
        <f>IFERROR(__xludf.DUMMYFUNCTION("""COMPUTED_VALUE"""),"OPERATIVO PNC TRANSITO")</f>
        <v>OPERATIVO PNC TRANSITO</v>
      </c>
      <c r="AF513" s="64" t="str">
        <f>IFERROR(__xludf.DUMMYFUNCTION("""COMPUTED_VALUE"""),"SOBRECARGA ")</f>
        <v>SOBRECARGA </v>
      </c>
      <c r="AG513" s="64" t="str">
        <f>IFERROR(__xludf.DUMMYFUNCTION("""COMPUTED_VALUE"""),"OPERATIVO EN CONJUNTO")</f>
        <v>OPERATIVO EN CONJUNTO</v>
      </c>
      <c r="AH513" s="64" t="str">
        <f>IFERROR(__xludf.DUMMYFUNCTION("""COMPUTED_VALUE"""),"PUESTO DE ATENCION AL USUARIO")</f>
        <v>PUESTO DE ATENCION AL USUARIO</v>
      </c>
      <c r="AI513" s="64" t="str">
        <f>IFERROR(__xludf.DUMMYFUNCTION("""COMPUTED_VALUE"""),"INCENDIO EN RUTA")</f>
        <v>INCENDIO EN RUTA</v>
      </c>
      <c r="AJ513" s="64" t="str">
        <f>IFERROR(__xludf.DUMMYFUNCTION("""COMPUTED_VALUE"""),"APOYO ANTORCHA ")</f>
        <v>APOYO ANTORCHA </v>
      </c>
    </row>
    <row r="514">
      <c r="B514" s="64" t="s">
        <v>54</v>
      </c>
      <c r="C514" s="64" t="str">
        <f>IFERROR(__xludf.DUMMYFUNCTION(" TRANSPOSE( unique ( QUERY(DATOPRO,""select Col2 where Col1 = '""&amp;B514&amp;""'"")))"),"PINCHAZO")</f>
        <v>PINCHAZO</v>
      </c>
      <c r="D514" s="64" t="str">
        <f>IFERROR(__xludf.DUMMYFUNCTION("""COMPUTED_VALUE"""),"TRABAJOS DE CARRETERA")</f>
        <v>TRABAJOS DE CARRETERA</v>
      </c>
      <c r="E514" s="64" t="str">
        <f>IFERROR(__xludf.DUMMYFUNCTION("""COMPUTED_VALUE"""),"CONSIGNACIÓN")</f>
        <v>CONSIGNACIÓN</v>
      </c>
      <c r="F514" s="64" t="str">
        <f>IFERROR(__xludf.DUMMYFUNCTION("""COMPUTED_VALUE"""),"DERRAME")</f>
        <v>DERRAME</v>
      </c>
      <c r="G514" s="64" t="str">
        <f>IFERROR(__xludf.DUMMYFUNCTION("""COMPUTED_VALUE"""),"CALENTAMIENTO")</f>
        <v>CALENTAMIENTO</v>
      </c>
      <c r="H514" s="64" t="str">
        <f>IFERROR(__xludf.DUMMYFUNCTION("""COMPUTED_VALUE"""),"ESCOLTANDO")</f>
        <v>ESCOLTANDO</v>
      </c>
      <c r="I514" s="64" t="str">
        <f>IFERROR(__xludf.DUMMYFUNCTION("""COMPUTED_VALUE"""),"FALTA DE COMBUSTIBLE")</f>
        <v>FALTA DE COMBUSTIBLE</v>
      </c>
      <c r="J514" s="64" t="str">
        <f>IFERROR(__xludf.DUMMYFUNCTION("""COMPUTED_VALUE"""),"DESPERFECTOS MECÁNICOS")</f>
        <v>DESPERFECTOS MECÁNICOS</v>
      </c>
      <c r="K514" s="64" t="str">
        <f>IFERROR(__xludf.DUMMYFUNCTION("""COMPUTED_VALUE"""),"LLAMADA DE ATENCIÓN")</f>
        <v>LLAMADA DE ATENCIÓN</v>
      </c>
      <c r="L514" s="64" t="str">
        <f>IFERROR(__xludf.DUMMYFUNCTION("""COMPUTED_VALUE"""),"OPERATIVOS")</f>
        <v>OPERATIVOS</v>
      </c>
      <c r="M514" s="64" t="str">
        <f>IFERROR(__xludf.DUMMYFUNCTION("""COMPUTED_VALUE"""),"SANCIÓN")</f>
        <v>SANCIÓN</v>
      </c>
      <c r="N514" s="64" t="str">
        <f>IFERROR(__xludf.DUMMYFUNCTION("""COMPUTED_VALUE"""),"SISTEMA ELECTRICO")</f>
        <v>SISTEMA ELECTRICO</v>
      </c>
      <c r="O514" s="64" t="str">
        <f>IFERROR(__xludf.DUMMYFUNCTION("""COMPUTED_VALUE"""),"ASISTENCIA AL USUARIO")</f>
        <v>ASISTENCIA AL USUARIO</v>
      </c>
      <c r="P514" s="64" t="str">
        <f>IFERROR(__xludf.DUMMYFUNCTION("""COMPUTED_VALUE"""),"DOBLE REMOLQUE")</f>
        <v>DOBLE REMOLQUE</v>
      </c>
      <c r="Q514" s="64" t="str">
        <f>IFERROR(__xludf.DUMMYFUNCTION("""COMPUTED_VALUE"""),"SINAPRESE")</f>
        <v>SINAPRESE</v>
      </c>
      <c r="R514" s="64" t="str">
        <f>IFERROR(__xludf.DUMMYFUNCTION("""COMPUTED_VALUE"""),"APOYO ATLETISMO")</f>
        <v>APOYO ATLETISMO</v>
      </c>
      <c r="S514" s="64" t="str">
        <f>IFERROR(__xludf.DUMMYFUNCTION("""COMPUTED_VALUE"""),"APOYO A CICLISMO")</f>
        <v>APOYO A CICLISMO</v>
      </c>
      <c r="T514" s="64" t="str">
        <f>IFERROR(__xludf.DUMMYFUNCTION("""COMPUTED_VALUE"""),"DESCARGA DE BATERÍA")</f>
        <v>DESCARGA DE BATERÍA</v>
      </c>
      <c r="U514" s="64" t="str">
        <f>IFERROR(__xludf.DUMMYFUNCTION("""COMPUTED_VALUE"""),"PROBLEMAS DE SALUD")</f>
        <v>PROBLEMAS DE SALUD</v>
      </c>
      <c r="V514" s="64" t="str">
        <f>IFERROR(__xludf.DUMMYFUNCTION("""COMPUTED_VALUE"""),"OLVIDO LA LLAVE")</f>
        <v>OLVIDO LA LLAVE</v>
      </c>
      <c r="W514" s="64" t="str">
        <f>IFERROR(__xludf.DUMMYFUNCTION("""COMPUTED_VALUE"""),"CARGA SOBREDIMENSIONADA")</f>
        <v>CARGA SOBREDIMENSIONADA</v>
      </c>
      <c r="X514" s="64" t="str">
        <f>IFERROR(__xludf.DUMMYFUNCTION("""COMPUTED_VALUE"""),"VEHÍCULO ABANDONADO")</f>
        <v>VEHÍCULO ABANDONADO</v>
      </c>
      <c r="Y514" s="64" t="str">
        <f>IFERROR(__xludf.DUMMYFUNCTION("""COMPUTED_VALUE"""),"DESPRENDIMIENTO")</f>
        <v>DESPRENDIMIENTO</v>
      </c>
      <c r="Z514" s="64" t="str">
        <f>IFERROR(__xludf.DUMMYFUNCTION("""COMPUTED_VALUE"""),"CAÍDA DE POSTE")</f>
        <v>CAÍDA DE POSTE</v>
      </c>
      <c r="AA514" s="64" t="str">
        <f>IFERROR(__xludf.DUMMYFUNCTION("""COMPUTED_VALUE"""),"CAÍDA DE RAMA")</f>
        <v>CAÍDA DE RAMA</v>
      </c>
      <c r="AB514" s="64" t="str">
        <f>IFERROR(__xludf.DUMMYFUNCTION("""COMPUTED_VALUE"""),"OPERATIVO DGT")</f>
        <v>OPERATIVO DGT</v>
      </c>
      <c r="AC514" s="64" t="str">
        <f>IFERROR(__xludf.DUMMYFUNCTION("""COMPUTED_VALUE"""),"OPERATIVO PMT")</f>
        <v>OPERATIVO PMT</v>
      </c>
      <c r="AD514" s="64" t="str">
        <f>IFERROR(__xludf.DUMMYFUNCTION("""COMPUTED_VALUE"""),"APOYO A DIGEF")</f>
        <v>APOYO A DIGEF</v>
      </c>
      <c r="AE514" s="64" t="str">
        <f>IFERROR(__xludf.DUMMYFUNCTION("""COMPUTED_VALUE"""),"OPERATIVO PNC TRANSITO")</f>
        <v>OPERATIVO PNC TRANSITO</v>
      </c>
      <c r="AF514" s="64" t="str">
        <f>IFERROR(__xludf.DUMMYFUNCTION("""COMPUTED_VALUE"""),"SOBRECARGA ")</f>
        <v>SOBRECARGA </v>
      </c>
      <c r="AG514" s="64" t="str">
        <f>IFERROR(__xludf.DUMMYFUNCTION("""COMPUTED_VALUE"""),"OPERATIVO EN CONJUNTO")</f>
        <v>OPERATIVO EN CONJUNTO</v>
      </c>
      <c r="AH514" s="64" t="str">
        <f>IFERROR(__xludf.DUMMYFUNCTION("""COMPUTED_VALUE"""),"PUESTO DE ATENCION AL USUARIO")</f>
        <v>PUESTO DE ATENCION AL USUARIO</v>
      </c>
      <c r="AI514" s="64" t="str">
        <f>IFERROR(__xludf.DUMMYFUNCTION("""COMPUTED_VALUE"""),"INCENDIO EN RUTA")</f>
        <v>INCENDIO EN RUTA</v>
      </c>
      <c r="AJ514" s="64" t="str">
        <f>IFERROR(__xludf.DUMMYFUNCTION("""COMPUTED_VALUE"""),"APOYO ANTORCHA ")</f>
        <v>APOYO ANTORCHA </v>
      </c>
    </row>
    <row r="515">
      <c r="B515" s="64" t="s">
        <v>54</v>
      </c>
      <c r="C515" s="64" t="str">
        <f>IFERROR(__xludf.DUMMYFUNCTION(" TRANSPOSE( unique ( QUERY(DATOPRO,""select Col2 where Col1 = '""&amp;B515&amp;""'"")))"),"PINCHAZO")</f>
        <v>PINCHAZO</v>
      </c>
      <c r="D515" s="64" t="str">
        <f>IFERROR(__xludf.DUMMYFUNCTION("""COMPUTED_VALUE"""),"TRABAJOS DE CARRETERA")</f>
        <v>TRABAJOS DE CARRETERA</v>
      </c>
      <c r="E515" s="64" t="str">
        <f>IFERROR(__xludf.DUMMYFUNCTION("""COMPUTED_VALUE"""),"CONSIGNACIÓN")</f>
        <v>CONSIGNACIÓN</v>
      </c>
      <c r="F515" s="64" t="str">
        <f>IFERROR(__xludf.DUMMYFUNCTION("""COMPUTED_VALUE"""),"DERRAME")</f>
        <v>DERRAME</v>
      </c>
      <c r="G515" s="64" t="str">
        <f>IFERROR(__xludf.DUMMYFUNCTION("""COMPUTED_VALUE"""),"CALENTAMIENTO")</f>
        <v>CALENTAMIENTO</v>
      </c>
      <c r="H515" s="64" t="str">
        <f>IFERROR(__xludf.DUMMYFUNCTION("""COMPUTED_VALUE"""),"ESCOLTANDO")</f>
        <v>ESCOLTANDO</v>
      </c>
      <c r="I515" s="64" t="str">
        <f>IFERROR(__xludf.DUMMYFUNCTION("""COMPUTED_VALUE"""),"FALTA DE COMBUSTIBLE")</f>
        <v>FALTA DE COMBUSTIBLE</v>
      </c>
      <c r="J515" s="64" t="str">
        <f>IFERROR(__xludf.DUMMYFUNCTION("""COMPUTED_VALUE"""),"DESPERFECTOS MECÁNICOS")</f>
        <v>DESPERFECTOS MECÁNICOS</v>
      </c>
      <c r="K515" s="64" t="str">
        <f>IFERROR(__xludf.DUMMYFUNCTION("""COMPUTED_VALUE"""),"LLAMADA DE ATENCIÓN")</f>
        <v>LLAMADA DE ATENCIÓN</v>
      </c>
      <c r="L515" s="64" t="str">
        <f>IFERROR(__xludf.DUMMYFUNCTION("""COMPUTED_VALUE"""),"OPERATIVOS")</f>
        <v>OPERATIVOS</v>
      </c>
      <c r="M515" s="64" t="str">
        <f>IFERROR(__xludf.DUMMYFUNCTION("""COMPUTED_VALUE"""),"SANCIÓN")</f>
        <v>SANCIÓN</v>
      </c>
      <c r="N515" s="64" t="str">
        <f>IFERROR(__xludf.DUMMYFUNCTION("""COMPUTED_VALUE"""),"SISTEMA ELECTRICO")</f>
        <v>SISTEMA ELECTRICO</v>
      </c>
      <c r="O515" s="64" t="str">
        <f>IFERROR(__xludf.DUMMYFUNCTION("""COMPUTED_VALUE"""),"ASISTENCIA AL USUARIO")</f>
        <v>ASISTENCIA AL USUARIO</v>
      </c>
      <c r="P515" s="64" t="str">
        <f>IFERROR(__xludf.DUMMYFUNCTION("""COMPUTED_VALUE"""),"DOBLE REMOLQUE")</f>
        <v>DOBLE REMOLQUE</v>
      </c>
      <c r="Q515" s="64" t="str">
        <f>IFERROR(__xludf.DUMMYFUNCTION("""COMPUTED_VALUE"""),"SINAPRESE")</f>
        <v>SINAPRESE</v>
      </c>
      <c r="R515" s="64" t="str">
        <f>IFERROR(__xludf.DUMMYFUNCTION("""COMPUTED_VALUE"""),"APOYO ATLETISMO")</f>
        <v>APOYO ATLETISMO</v>
      </c>
      <c r="S515" s="64" t="str">
        <f>IFERROR(__xludf.DUMMYFUNCTION("""COMPUTED_VALUE"""),"APOYO A CICLISMO")</f>
        <v>APOYO A CICLISMO</v>
      </c>
      <c r="T515" s="64" t="str">
        <f>IFERROR(__xludf.DUMMYFUNCTION("""COMPUTED_VALUE"""),"DESCARGA DE BATERÍA")</f>
        <v>DESCARGA DE BATERÍA</v>
      </c>
      <c r="U515" s="64" t="str">
        <f>IFERROR(__xludf.DUMMYFUNCTION("""COMPUTED_VALUE"""),"PROBLEMAS DE SALUD")</f>
        <v>PROBLEMAS DE SALUD</v>
      </c>
      <c r="V515" s="64" t="str">
        <f>IFERROR(__xludf.DUMMYFUNCTION("""COMPUTED_VALUE"""),"OLVIDO LA LLAVE")</f>
        <v>OLVIDO LA LLAVE</v>
      </c>
      <c r="W515" s="64" t="str">
        <f>IFERROR(__xludf.DUMMYFUNCTION("""COMPUTED_VALUE"""),"CARGA SOBREDIMENSIONADA")</f>
        <v>CARGA SOBREDIMENSIONADA</v>
      </c>
      <c r="X515" s="64" t="str">
        <f>IFERROR(__xludf.DUMMYFUNCTION("""COMPUTED_VALUE"""),"VEHÍCULO ABANDONADO")</f>
        <v>VEHÍCULO ABANDONADO</v>
      </c>
      <c r="Y515" s="64" t="str">
        <f>IFERROR(__xludf.DUMMYFUNCTION("""COMPUTED_VALUE"""),"DESPRENDIMIENTO")</f>
        <v>DESPRENDIMIENTO</v>
      </c>
      <c r="Z515" s="64" t="str">
        <f>IFERROR(__xludf.DUMMYFUNCTION("""COMPUTED_VALUE"""),"CAÍDA DE POSTE")</f>
        <v>CAÍDA DE POSTE</v>
      </c>
      <c r="AA515" s="64" t="str">
        <f>IFERROR(__xludf.DUMMYFUNCTION("""COMPUTED_VALUE"""),"CAÍDA DE RAMA")</f>
        <v>CAÍDA DE RAMA</v>
      </c>
      <c r="AB515" s="64" t="str">
        <f>IFERROR(__xludf.DUMMYFUNCTION("""COMPUTED_VALUE"""),"OPERATIVO DGT")</f>
        <v>OPERATIVO DGT</v>
      </c>
      <c r="AC515" s="64" t="str">
        <f>IFERROR(__xludf.DUMMYFUNCTION("""COMPUTED_VALUE"""),"OPERATIVO PMT")</f>
        <v>OPERATIVO PMT</v>
      </c>
      <c r="AD515" s="64" t="str">
        <f>IFERROR(__xludf.DUMMYFUNCTION("""COMPUTED_VALUE"""),"APOYO A DIGEF")</f>
        <v>APOYO A DIGEF</v>
      </c>
      <c r="AE515" s="64" t="str">
        <f>IFERROR(__xludf.DUMMYFUNCTION("""COMPUTED_VALUE"""),"OPERATIVO PNC TRANSITO")</f>
        <v>OPERATIVO PNC TRANSITO</v>
      </c>
      <c r="AF515" s="64" t="str">
        <f>IFERROR(__xludf.DUMMYFUNCTION("""COMPUTED_VALUE"""),"SOBRECARGA ")</f>
        <v>SOBRECARGA </v>
      </c>
      <c r="AG515" s="64" t="str">
        <f>IFERROR(__xludf.DUMMYFUNCTION("""COMPUTED_VALUE"""),"OPERATIVO EN CONJUNTO")</f>
        <v>OPERATIVO EN CONJUNTO</v>
      </c>
      <c r="AH515" s="64" t="str">
        <f>IFERROR(__xludf.DUMMYFUNCTION("""COMPUTED_VALUE"""),"PUESTO DE ATENCION AL USUARIO")</f>
        <v>PUESTO DE ATENCION AL USUARIO</v>
      </c>
      <c r="AI515" s="64" t="str">
        <f>IFERROR(__xludf.DUMMYFUNCTION("""COMPUTED_VALUE"""),"INCENDIO EN RUTA")</f>
        <v>INCENDIO EN RUTA</v>
      </c>
      <c r="AJ515" s="64" t="str">
        <f>IFERROR(__xludf.DUMMYFUNCTION("""COMPUTED_VALUE"""),"APOYO ANTORCHA ")</f>
        <v>APOYO ANTORCHA </v>
      </c>
    </row>
    <row r="516">
      <c r="B516" s="64" t="s">
        <v>54</v>
      </c>
      <c r="C516" s="64" t="str">
        <f>IFERROR(__xludf.DUMMYFUNCTION(" TRANSPOSE( unique ( QUERY(DATOPRO,""select Col2 where Col1 = '""&amp;B516&amp;""'"")))"),"PINCHAZO")</f>
        <v>PINCHAZO</v>
      </c>
      <c r="D516" s="64" t="str">
        <f>IFERROR(__xludf.DUMMYFUNCTION("""COMPUTED_VALUE"""),"TRABAJOS DE CARRETERA")</f>
        <v>TRABAJOS DE CARRETERA</v>
      </c>
      <c r="E516" s="64" t="str">
        <f>IFERROR(__xludf.DUMMYFUNCTION("""COMPUTED_VALUE"""),"CONSIGNACIÓN")</f>
        <v>CONSIGNACIÓN</v>
      </c>
      <c r="F516" s="64" t="str">
        <f>IFERROR(__xludf.DUMMYFUNCTION("""COMPUTED_VALUE"""),"DERRAME")</f>
        <v>DERRAME</v>
      </c>
      <c r="G516" s="64" t="str">
        <f>IFERROR(__xludf.DUMMYFUNCTION("""COMPUTED_VALUE"""),"CALENTAMIENTO")</f>
        <v>CALENTAMIENTO</v>
      </c>
      <c r="H516" s="64" t="str">
        <f>IFERROR(__xludf.DUMMYFUNCTION("""COMPUTED_VALUE"""),"ESCOLTANDO")</f>
        <v>ESCOLTANDO</v>
      </c>
      <c r="I516" s="64" t="str">
        <f>IFERROR(__xludf.DUMMYFUNCTION("""COMPUTED_VALUE"""),"FALTA DE COMBUSTIBLE")</f>
        <v>FALTA DE COMBUSTIBLE</v>
      </c>
      <c r="J516" s="64" t="str">
        <f>IFERROR(__xludf.DUMMYFUNCTION("""COMPUTED_VALUE"""),"DESPERFECTOS MECÁNICOS")</f>
        <v>DESPERFECTOS MECÁNICOS</v>
      </c>
      <c r="K516" s="64" t="str">
        <f>IFERROR(__xludf.DUMMYFUNCTION("""COMPUTED_VALUE"""),"LLAMADA DE ATENCIÓN")</f>
        <v>LLAMADA DE ATENCIÓN</v>
      </c>
      <c r="L516" s="64" t="str">
        <f>IFERROR(__xludf.DUMMYFUNCTION("""COMPUTED_VALUE"""),"OPERATIVOS")</f>
        <v>OPERATIVOS</v>
      </c>
      <c r="M516" s="64" t="str">
        <f>IFERROR(__xludf.DUMMYFUNCTION("""COMPUTED_VALUE"""),"SANCIÓN")</f>
        <v>SANCIÓN</v>
      </c>
      <c r="N516" s="64" t="str">
        <f>IFERROR(__xludf.DUMMYFUNCTION("""COMPUTED_VALUE"""),"SISTEMA ELECTRICO")</f>
        <v>SISTEMA ELECTRICO</v>
      </c>
      <c r="O516" s="64" t="str">
        <f>IFERROR(__xludf.DUMMYFUNCTION("""COMPUTED_VALUE"""),"ASISTENCIA AL USUARIO")</f>
        <v>ASISTENCIA AL USUARIO</v>
      </c>
      <c r="P516" s="64" t="str">
        <f>IFERROR(__xludf.DUMMYFUNCTION("""COMPUTED_VALUE"""),"DOBLE REMOLQUE")</f>
        <v>DOBLE REMOLQUE</v>
      </c>
      <c r="Q516" s="64" t="str">
        <f>IFERROR(__xludf.DUMMYFUNCTION("""COMPUTED_VALUE"""),"SINAPRESE")</f>
        <v>SINAPRESE</v>
      </c>
      <c r="R516" s="64" t="str">
        <f>IFERROR(__xludf.DUMMYFUNCTION("""COMPUTED_VALUE"""),"APOYO ATLETISMO")</f>
        <v>APOYO ATLETISMO</v>
      </c>
      <c r="S516" s="64" t="str">
        <f>IFERROR(__xludf.DUMMYFUNCTION("""COMPUTED_VALUE"""),"APOYO A CICLISMO")</f>
        <v>APOYO A CICLISMO</v>
      </c>
      <c r="T516" s="64" t="str">
        <f>IFERROR(__xludf.DUMMYFUNCTION("""COMPUTED_VALUE"""),"DESCARGA DE BATERÍA")</f>
        <v>DESCARGA DE BATERÍA</v>
      </c>
      <c r="U516" s="64" t="str">
        <f>IFERROR(__xludf.DUMMYFUNCTION("""COMPUTED_VALUE"""),"PROBLEMAS DE SALUD")</f>
        <v>PROBLEMAS DE SALUD</v>
      </c>
      <c r="V516" s="64" t="str">
        <f>IFERROR(__xludf.DUMMYFUNCTION("""COMPUTED_VALUE"""),"OLVIDO LA LLAVE")</f>
        <v>OLVIDO LA LLAVE</v>
      </c>
      <c r="W516" s="64" t="str">
        <f>IFERROR(__xludf.DUMMYFUNCTION("""COMPUTED_VALUE"""),"CARGA SOBREDIMENSIONADA")</f>
        <v>CARGA SOBREDIMENSIONADA</v>
      </c>
      <c r="X516" s="64" t="str">
        <f>IFERROR(__xludf.DUMMYFUNCTION("""COMPUTED_VALUE"""),"VEHÍCULO ABANDONADO")</f>
        <v>VEHÍCULO ABANDONADO</v>
      </c>
      <c r="Y516" s="64" t="str">
        <f>IFERROR(__xludf.DUMMYFUNCTION("""COMPUTED_VALUE"""),"DESPRENDIMIENTO")</f>
        <v>DESPRENDIMIENTO</v>
      </c>
      <c r="Z516" s="64" t="str">
        <f>IFERROR(__xludf.DUMMYFUNCTION("""COMPUTED_VALUE"""),"CAÍDA DE POSTE")</f>
        <v>CAÍDA DE POSTE</v>
      </c>
      <c r="AA516" s="64" t="str">
        <f>IFERROR(__xludf.DUMMYFUNCTION("""COMPUTED_VALUE"""),"CAÍDA DE RAMA")</f>
        <v>CAÍDA DE RAMA</v>
      </c>
      <c r="AB516" s="64" t="str">
        <f>IFERROR(__xludf.DUMMYFUNCTION("""COMPUTED_VALUE"""),"OPERATIVO DGT")</f>
        <v>OPERATIVO DGT</v>
      </c>
      <c r="AC516" s="64" t="str">
        <f>IFERROR(__xludf.DUMMYFUNCTION("""COMPUTED_VALUE"""),"OPERATIVO PMT")</f>
        <v>OPERATIVO PMT</v>
      </c>
      <c r="AD516" s="64" t="str">
        <f>IFERROR(__xludf.DUMMYFUNCTION("""COMPUTED_VALUE"""),"APOYO A DIGEF")</f>
        <v>APOYO A DIGEF</v>
      </c>
      <c r="AE516" s="64" t="str">
        <f>IFERROR(__xludf.DUMMYFUNCTION("""COMPUTED_VALUE"""),"OPERATIVO PNC TRANSITO")</f>
        <v>OPERATIVO PNC TRANSITO</v>
      </c>
      <c r="AF516" s="64" t="str">
        <f>IFERROR(__xludf.DUMMYFUNCTION("""COMPUTED_VALUE"""),"SOBRECARGA ")</f>
        <v>SOBRECARGA </v>
      </c>
      <c r="AG516" s="64" t="str">
        <f>IFERROR(__xludf.DUMMYFUNCTION("""COMPUTED_VALUE"""),"OPERATIVO EN CONJUNTO")</f>
        <v>OPERATIVO EN CONJUNTO</v>
      </c>
      <c r="AH516" s="64" t="str">
        <f>IFERROR(__xludf.DUMMYFUNCTION("""COMPUTED_VALUE"""),"PUESTO DE ATENCION AL USUARIO")</f>
        <v>PUESTO DE ATENCION AL USUARIO</v>
      </c>
      <c r="AI516" s="64" t="str">
        <f>IFERROR(__xludf.DUMMYFUNCTION("""COMPUTED_VALUE"""),"INCENDIO EN RUTA")</f>
        <v>INCENDIO EN RUTA</v>
      </c>
      <c r="AJ516" s="64" t="str">
        <f>IFERROR(__xludf.DUMMYFUNCTION("""COMPUTED_VALUE"""),"APOYO ANTORCHA ")</f>
        <v>APOYO ANTORCHA </v>
      </c>
    </row>
    <row r="517">
      <c r="B517" s="64" t="s">
        <v>38</v>
      </c>
      <c r="C517" s="64" t="str">
        <f>IFERROR(__xludf.DUMMYFUNCTION(" TRANSPOSE( unique ( QUERY(DATOPRO,""select Col2 where Col1 = '""&amp;B517&amp;""'"")))"),"ATAQUE ARMADO")</f>
        <v>ATAQUE ARMADO</v>
      </c>
      <c r="D517" s="64" t="str">
        <f>IFERROR(__xludf.DUMMYFUNCTION("""COMPUTED_VALUE"""),"DESBALANCE DE CARGA")</f>
        <v>DESBALANCE DE CARGA</v>
      </c>
      <c r="E517" s="64" t="str">
        <f>IFERROR(__xludf.DUMMYFUNCTION("""COMPUTED_VALUE"""),"PERSONA FALLECIDA")</f>
        <v>PERSONA FALLECIDA</v>
      </c>
      <c r="F517" s="64" t="str">
        <f>IFERROR(__xludf.DUMMYFUNCTION("""COMPUTED_VALUE"""),"DESPRENDIMIENTO DE NEUMATICO")</f>
        <v>DESPRENDIMIENTO DE NEUMATICO</v>
      </c>
      <c r="G517" s="64" t="str">
        <f>IFERROR(__xludf.DUMMYFUNCTION("""COMPUTED_VALUE"""),"SALIDA DE PISTA")</f>
        <v>SALIDA DE PISTA</v>
      </c>
      <c r="H517" s="64" t="str">
        <f>IFERROR(__xludf.DUMMYFUNCTION("""COMPUTED_VALUE"""),"DESPRENDIMIENTO DE CONTENEDOR")</f>
        <v>DESPRENDIMIENTO DE CONTENEDOR</v>
      </c>
      <c r="I517" s="64" t="str">
        <f>IFERROR(__xludf.DUMMYFUNCTION("""COMPUTED_VALUE"""),"CAÍDA DE CARGA")</f>
        <v>CAÍDA DE CARGA</v>
      </c>
      <c r="J517" s="64" t="str">
        <f>IFERROR(__xludf.DUMMYFUNCTION("""COMPUTED_VALUE"""),"CHOQUE")</f>
        <v>CHOQUE</v>
      </c>
      <c r="K517" s="64" t="str">
        <f>IFERROR(__xludf.DUMMYFUNCTION("""COMPUTED_VALUE"""),"COLISIÓN")</f>
        <v>COLISIÓN</v>
      </c>
      <c r="L517" s="64" t="str">
        <f>IFERROR(__xludf.DUMMYFUNCTION("""COMPUTED_VALUE"""),"COLISIÓN MÚLTIPLE")</f>
        <v>COLISIÓN MÚLTIPLE</v>
      </c>
      <c r="M517" s="64" t="str">
        <f>IFERROR(__xludf.DUMMYFUNCTION("""COMPUTED_VALUE"""),"DERRAPE")</f>
        <v>DERRAPE</v>
      </c>
      <c r="N517" s="64" t="str">
        <f>IFERROR(__xludf.DUMMYFUNCTION("""COMPUTED_VALUE"""),"VEHÍCULO INCENDIADO")</f>
        <v>VEHÍCULO INCENDIADO</v>
      </c>
      <c r="O517" s="64" t="str">
        <f>IFERROR(__xludf.DUMMYFUNCTION("""COMPUTED_VALUE"""),"VUELCO")</f>
        <v>VUELCO</v>
      </c>
      <c r="P517" s="64" t="str">
        <f>IFERROR(__xludf.DUMMYFUNCTION("""COMPUTED_VALUE"""),"DESPRENDIMIENTO")</f>
        <v>DESPRENDIMIENTO</v>
      </c>
      <c r="Q517" s="64" t="str">
        <f>IFERROR(__xludf.DUMMYFUNCTION("""COMPUTED_VALUE"""),"CAÍDA DE ÁRBOL")</f>
        <v>CAÍDA DE ÁRBOL</v>
      </c>
      <c r="R517" s="64" t="str">
        <f>IFERROR(__xludf.DUMMYFUNCTION("""COMPUTED_VALUE"""),"DESPRENDIMIENTO DE EJE")</f>
        <v>DESPRENDIMIENTO DE EJE</v>
      </c>
      <c r="S517" s="64" t="str">
        <f>IFERROR(__xludf.DUMMYFUNCTION("""COMPUTED_VALUE"""),"PERSONA ATROPELLADA")</f>
        <v>PERSONA ATROPELLADA</v>
      </c>
    </row>
    <row r="518">
      <c r="B518" s="64" t="s">
        <v>54</v>
      </c>
      <c r="C518" s="64" t="str">
        <f>IFERROR(__xludf.DUMMYFUNCTION(" TRANSPOSE( unique ( QUERY(DATOPRO,""select Col2 where Col1 = '""&amp;B518&amp;""'"")))"),"PINCHAZO")</f>
        <v>PINCHAZO</v>
      </c>
      <c r="D518" s="64" t="str">
        <f>IFERROR(__xludf.DUMMYFUNCTION("""COMPUTED_VALUE"""),"TRABAJOS DE CARRETERA")</f>
        <v>TRABAJOS DE CARRETERA</v>
      </c>
      <c r="E518" s="64" t="str">
        <f>IFERROR(__xludf.DUMMYFUNCTION("""COMPUTED_VALUE"""),"CONSIGNACIÓN")</f>
        <v>CONSIGNACIÓN</v>
      </c>
      <c r="F518" s="64" t="str">
        <f>IFERROR(__xludf.DUMMYFUNCTION("""COMPUTED_VALUE"""),"DERRAME")</f>
        <v>DERRAME</v>
      </c>
      <c r="G518" s="64" t="str">
        <f>IFERROR(__xludf.DUMMYFUNCTION("""COMPUTED_VALUE"""),"CALENTAMIENTO")</f>
        <v>CALENTAMIENTO</v>
      </c>
      <c r="H518" s="64" t="str">
        <f>IFERROR(__xludf.DUMMYFUNCTION("""COMPUTED_VALUE"""),"ESCOLTANDO")</f>
        <v>ESCOLTANDO</v>
      </c>
      <c r="I518" s="64" t="str">
        <f>IFERROR(__xludf.DUMMYFUNCTION("""COMPUTED_VALUE"""),"FALTA DE COMBUSTIBLE")</f>
        <v>FALTA DE COMBUSTIBLE</v>
      </c>
      <c r="J518" s="64" t="str">
        <f>IFERROR(__xludf.DUMMYFUNCTION("""COMPUTED_VALUE"""),"DESPERFECTOS MECÁNICOS")</f>
        <v>DESPERFECTOS MECÁNICOS</v>
      </c>
      <c r="K518" s="64" t="str">
        <f>IFERROR(__xludf.DUMMYFUNCTION("""COMPUTED_VALUE"""),"LLAMADA DE ATENCIÓN")</f>
        <v>LLAMADA DE ATENCIÓN</v>
      </c>
      <c r="L518" s="64" t="str">
        <f>IFERROR(__xludf.DUMMYFUNCTION("""COMPUTED_VALUE"""),"OPERATIVOS")</f>
        <v>OPERATIVOS</v>
      </c>
      <c r="M518" s="64" t="str">
        <f>IFERROR(__xludf.DUMMYFUNCTION("""COMPUTED_VALUE"""),"SANCIÓN")</f>
        <v>SANCIÓN</v>
      </c>
      <c r="N518" s="64" t="str">
        <f>IFERROR(__xludf.DUMMYFUNCTION("""COMPUTED_VALUE"""),"SISTEMA ELECTRICO")</f>
        <v>SISTEMA ELECTRICO</v>
      </c>
      <c r="O518" s="64" t="str">
        <f>IFERROR(__xludf.DUMMYFUNCTION("""COMPUTED_VALUE"""),"ASISTENCIA AL USUARIO")</f>
        <v>ASISTENCIA AL USUARIO</v>
      </c>
      <c r="P518" s="64" t="str">
        <f>IFERROR(__xludf.DUMMYFUNCTION("""COMPUTED_VALUE"""),"DOBLE REMOLQUE")</f>
        <v>DOBLE REMOLQUE</v>
      </c>
      <c r="Q518" s="64" t="str">
        <f>IFERROR(__xludf.DUMMYFUNCTION("""COMPUTED_VALUE"""),"SINAPRESE")</f>
        <v>SINAPRESE</v>
      </c>
      <c r="R518" s="64" t="str">
        <f>IFERROR(__xludf.DUMMYFUNCTION("""COMPUTED_VALUE"""),"APOYO ATLETISMO")</f>
        <v>APOYO ATLETISMO</v>
      </c>
      <c r="S518" s="64" t="str">
        <f>IFERROR(__xludf.DUMMYFUNCTION("""COMPUTED_VALUE"""),"APOYO A CICLISMO")</f>
        <v>APOYO A CICLISMO</v>
      </c>
      <c r="T518" s="64" t="str">
        <f>IFERROR(__xludf.DUMMYFUNCTION("""COMPUTED_VALUE"""),"DESCARGA DE BATERÍA")</f>
        <v>DESCARGA DE BATERÍA</v>
      </c>
      <c r="U518" s="64" t="str">
        <f>IFERROR(__xludf.DUMMYFUNCTION("""COMPUTED_VALUE"""),"PROBLEMAS DE SALUD")</f>
        <v>PROBLEMAS DE SALUD</v>
      </c>
      <c r="V518" s="64" t="str">
        <f>IFERROR(__xludf.DUMMYFUNCTION("""COMPUTED_VALUE"""),"OLVIDO LA LLAVE")</f>
        <v>OLVIDO LA LLAVE</v>
      </c>
      <c r="W518" s="64" t="str">
        <f>IFERROR(__xludf.DUMMYFUNCTION("""COMPUTED_VALUE"""),"CARGA SOBREDIMENSIONADA")</f>
        <v>CARGA SOBREDIMENSIONADA</v>
      </c>
      <c r="X518" s="64" t="str">
        <f>IFERROR(__xludf.DUMMYFUNCTION("""COMPUTED_VALUE"""),"VEHÍCULO ABANDONADO")</f>
        <v>VEHÍCULO ABANDONADO</v>
      </c>
      <c r="Y518" s="64" t="str">
        <f>IFERROR(__xludf.DUMMYFUNCTION("""COMPUTED_VALUE"""),"DESPRENDIMIENTO")</f>
        <v>DESPRENDIMIENTO</v>
      </c>
      <c r="Z518" s="64" t="str">
        <f>IFERROR(__xludf.DUMMYFUNCTION("""COMPUTED_VALUE"""),"CAÍDA DE POSTE")</f>
        <v>CAÍDA DE POSTE</v>
      </c>
      <c r="AA518" s="64" t="str">
        <f>IFERROR(__xludf.DUMMYFUNCTION("""COMPUTED_VALUE"""),"CAÍDA DE RAMA")</f>
        <v>CAÍDA DE RAMA</v>
      </c>
      <c r="AB518" s="64" t="str">
        <f>IFERROR(__xludf.DUMMYFUNCTION("""COMPUTED_VALUE"""),"OPERATIVO DGT")</f>
        <v>OPERATIVO DGT</v>
      </c>
      <c r="AC518" s="64" t="str">
        <f>IFERROR(__xludf.DUMMYFUNCTION("""COMPUTED_VALUE"""),"OPERATIVO PMT")</f>
        <v>OPERATIVO PMT</v>
      </c>
      <c r="AD518" s="64" t="str">
        <f>IFERROR(__xludf.DUMMYFUNCTION("""COMPUTED_VALUE"""),"APOYO A DIGEF")</f>
        <v>APOYO A DIGEF</v>
      </c>
      <c r="AE518" s="64" t="str">
        <f>IFERROR(__xludf.DUMMYFUNCTION("""COMPUTED_VALUE"""),"OPERATIVO PNC TRANSITO")</f>
        <v>OPERATIVO PNC TRANSITO</v>
      </c>
      <c r="AF518" s="64" t="str">
        <f>IFERROR(__xludf.DUMMYFUNCTION("""COMPUTED_VALUE"""),"SOBRECARGA ")</f>
        <v>SOBRECARGA </v>
      </c>
      <c r="AG518" s="64" t="str">
        <f>IFERROR(__xludf.DUMMYFUNCTION("""COMPUTED_VALUE"""),"OPERATIVO EN CONJUNTO")</f>
        <v>OPERATIVO EN CONJUNTO</v>
      </c>
      <c r="AH518" s="64" t="str">
        <f>IFERROR(__xludf.DUMMYFUNCTION("""COMPUTED_VALUE"""),"PUESTO DE ATENCION AL USUARIO")</f>
        <v>PUESTO DE ATENCION AL USUARIO</v>
      </c>
      <c r="AI518" s="64" t="str">
        <f>IFERROR(__xludf.DUMMYFUNCTION("""COMPUTED_VALUE"""),"INCENDIO EN RUTA")</f>
        <v>INCENDIO EN RUTA</v>
      </c>
      <c r="AJ518" s="64" t="str">
        <f>IFERROR(__xludf.DUMMYFUNCTION("""COMPUTED_VALUE"""),"APOYO ANTORCHA ")</f>
        <v>APOYO ANTORCHA </v>
      </c>
    </row>
    <row r="519">
      <c r="B519" s="64" t="s">
        <v>54</v>
      </c>
      <c r="C519" s="64" t="str">
        <f>IFERROR(__xludf.DUMMYFUNCTION(" TRANSPOSE( unique ( QUERY(DATOPRO,""select Col2 where Col1 = '""&amp;B519&amp;""'"")))"),"PINCHAZO")</f>
        <v>PINCHAZO</v>
      </c>
      <c r="D519" s="64" t="str">
        <f>IFERROR(__xludf.DUMMYFUNCTION("""COMPUTED_VALUE"""),"TRABAJOS DE CARRETERA")</f>
        <v>TRABAJOS DE CARRETERA</v>
      </c>
      <c r="E519" s="64" t="str">
        <f>IFERROR(__xludf.DUMMYFUNCTION("""COMPUTED_VALUE"""),"CONSIGNACIÓN")</f>
        <v>CONSIGNACIÓN</v>
      </c>
      <c r="F519" s="64" t="str">
        <f>IFERROR(__xludf.DUMMYFUNCTION("""COMPUTED_VALUE"""),"DERRAME")</f>
        <v>DERRAME</v>
      </c>
      <c r="G519" s="64" t="str">
        <f>IFERROR(__xludf.DUMMYFUNCTION("""COMPUTED_VALUE"""),"CALENTAMIENTO")</f>
        <v>CALENTAMIENTO</v>
      </c>
      <c r="H519" s="64" t="str">
        <f>IFERROR(__xludf.DUMMYFUNCTION("""COMPUTED_VALUE"""),"ESCOLTANDO")</f>
        <v>ESCOLTANDO</v>
      </c>
      <c r="I519" s="64" t="str">
        <f>IFERROR(__xludf.DUMMYFUNCTION("""COMPUTED_VALUE"""),"FALTA DE COMBUSTIBLE")</f>
        <v>FALTA DE COMBUSTIBLE</v>
      </c>
      <c r="J519" s="64" t="str">
        <f>IFERROR(__xludf.DUMMYFUNCTION("""COMPUTED_VALUE"""),"DESPERFECTOS MECÁNICOS")</f>
        <v>DESPERFECTOS MECÁNICOS</v>
      </c>
      <c r="K519" s="64" t="str">
        <f>IFERROR(__xludf.DUMMYFUNCTION("""COMPUTED_VALUE"""),"LLAMADA DE ATENCIÓN")</f>
        <v>LLAMADA DE ATENCIÓN</v>
      </c>
      <c r="L519" s="64" t="str">
        <f>IFERROR(__xludf.DUMMYFUNCTION("""COMPUTED_VALUE"""),"OPERATIVOS")</f>
        <v>OPERATIVOS</v>
      </c>
      <c r="M519" s="64" t="str">
        <f>IFERROR(__xludf.DUMMYFUNCTION("""COMPUTED_VALUE"""),"SANCIÓN")</f>
        <v>SANCIÓN</v>
      </c>
      <c r="N519" s="64" t="str">
        <f>IFERROR(__xludf.DUMMYFUNCTION("""COMPUTED_VALUE"""),"SISTEMA ELECTRICO")</f>
        <v>SISTEMA ELECTRICO</v>
      </c>
      <c r="O519" s="64" t="str">
        <f>IFERROR(__xludf.DUMMYFUNCTION("""COMPUTED_VALUE"""),"ASISTENCIA AL USUARIO")</f>
        <v>ASISTENCIA AL USUARIO</v>
      </c>
      <c r="P519" s="64" t="str">
        <f>IFERROR(__xludf.DUMMYFUNCTION("""COMPUTED_VALUE"""),"DOBLE REMOLQUE")</f>
        <v>DOBLE REMOLQUE</v>
      </c>
      <c r="Q519" s="64" t="str">
        <f>IFERROR(__xludf.DUMMYFUNCTION("""COMPUTED_VALUE"""),"SINAPRESE")</f>
        <v>SINAPRESE</v>
      </c>
      <c r="R519" s="64" t="str">
        <f>IFERROR(__xludf.DUMMYFUNCTION("""COMPUTED_VALUE"""),"APOYO ATLETISMO")</f>
        <v>APOYO ATLETISMO</v>
      </c>
      <c r="S519" s="64" t="str">
        <f>IFERROR(__xludf.DUMMYFUNCTION("""COMPUTED_VALUE"""),"APOYO A CICLISMO")</f>
        <v>APOYO A CICLISMO</v>
      </c>
      <c r="T519" s="64" t="str">
        <f>IFERROR(__xludf.DUMMYFUNCTION("""COMPUTED_VALUE"""),"DESCARGA DE BATERÍA")</f>
        <v>DESCARGA DE BATERÍA</v>
      </c>
      <c r="U519" s="64" t="str">
        <f>IFERROR(__xludf.DUMMYFUNCTION("""COMPUTED_VALUE"""),"PROBLEMAS DE SALUD")</f>
        <v>PROBLEMAS DE SALUD</v>
      </c>
      <c r="V519" s="64" t="str">
        <f>IFERROR(__xludf.DUMMYFUNCTION("""COMPUTED_VALUE"""),"OLVIDO LA LLAVE")</f>
        <v>OLVIDO LA LLAVE</v>
      </c>
      <c r="W519" s="64" t="str">
        <f>IFERROR(__xludf.DUMMYFUNCTION("""COMPUTED_VALUE"""),"CARGA SOBREDIMENSIONADA")</f>
        <v>CARGA SOBREDIMENSIONADA</v>
      </c>
      <c r="X519" s="64" t="str">
        <f>IFERROR(__xludf.DUMMYFUNCTION("""COMPUTED_VALUE"""),"VEHÍCULO ABANDONADO")</f>
        <v>VEHÍCULO ABANDONADO</v>
      </c>
      <c r="Y519" s="64" t="str">
        <f>IFERROR(__xludf.DUMMYFUNCTION("""COMPUTED_VALUE"""),"DESPRENDIMIENTO")</f>
        <v>DESPRENDIMIENTO</v>
      </c>
      <c r="Z519" s="64" t="str">
        <f>IFERROR(__xludf.DUMMYFUNCTION("""COMPUTED_VALUE"""),"CAÍDA DE POSTE")</f>
        <v>CAÍDA DE POSTE</v>
      </c>
      <c r="AA519" s="64" t="str">
        <f>IFERROR(__xludf.DUMMYFUNCTION("""COMPUTED_VALUE"""),"CAÍDA DE RAMA")</f>
        <v>CAÍDA DE RAMA</v>
      </c>
      <c r="AB519" s="64" t="str">
        <f>IFERROR(__xludf.DUMMYFUNCTION("""COMPUTED_VALUE"""),"OPERATIVO DGT")</f>
        <v>OPERATIVO DGT</v>
      </c>
      <c r="AC519" s="64" t="str">
        <f>IFERROR(__xludf.DUMMYFUNCTION("""COMPUTED_VALUE"""),"OPERATIVO PMT")</f>
        <v>OPERATIVO PMT</v>
      </c>
      <c r="AD519" s="64" t="str">
        <f>IFERROR(__xludf.DUMMYFUNCTION("""COMPUTED_VALUE"""),"APOYO A DIGEF")</f>
        <v>APOYO A DIGEF</v>
      </c>
      <c r="AE519" s="64" t="str">
        <f>IFERROR(__xludf.DUMMYFUNCTION("""COMPUTED_VALUE"""),"OPERATIVO PNC TRANSITO")</f>
        <v>OPERATIVO PNC TRANSITO</v>
      </c>
      <c r="AF519" s="64" t="str">
        <f>IFERROR(__xludf.DUMMYFUNCTION("""COMPUTED_VALUE"""),"SOBRECARGA ")</f>
        <v>SOBRECARGA </v>
      </c>
      <c r="AG519" s="64" t="str">
        <f>IFERROR(__xludf.DUMMYFUNCTION("""COMPUTED_VALUE"""),"OPERATIVO EN CONJUNTO")</f>
        <v>OPERATIVO EN CONJUNTO</v>
      </c>
      <c r="AH519" s="64" t="str">
        <f>IFERROR(__xludf.DUMMYFUNCTION("""COMPUTED_VALUE"""),"PUESTO DE ATENCION AL USUARIO")</f>
        <v>PUESTO DE ATENCION AL USUARIO</v>
      </c>
      <c r="AI519" s="64" t="str">
        <f>IFERROR(__xludf.DUMMYFUNCTION("""COMPUTED_VALUE"""),"INCENDIO EN RUTA")</f>
        <v>INCENDIO EN RUTA</v>
      </c>
      <c r="AJ519" s="64" t="str">
        <f>IFERROR(__xludf.DUMMYFUNCTION("""COMPUTED_VALUE"""),"APOYO ANTORCHA ")</f>
        <v>APOYO ANTORCHA </v>
      </c>
    </row>
    <row r="520">
      <c r="B520" s="64" t="s">
        <v>54</v>
      </c>
      <c r="C520" s="64" t="str">
        <f>IFERROR(__xludf.DUMMYFUNCTION(" TRANSPOSE( unique ( QUERY(DATOPRO,""select Col2 where Col1 = '""&amp;B520&amp;""'"")))"),"PINCHAZO")</f>
        <v>PINCHAZO</v>
      </c>
      <c r="D520" s="64" t="str">
        <f>IFERROR(__xludf.DUMMYFUNCTION("""COMPUTED_VALUE"""),"TRABAJOS DE CARRETERA")</f>
        <v>TRABAJOS DE CARRETERA</v>
      </c>
      <c r="E520" s="64" t="str">
        <f>IFERROR(__xludf.DUMMYFUNCTION("""COMPUTED_VALUE"""),"CONSIGNACIÓN")</f>
        <v>CONSIGNACIÓN</v>
      </c>
      <c r="F520" s="64" t="str">
        <f>IFERROR(__xludf.DUMMYFUNCTION("""COMPUTED_VALUE"""),"DERRAME")</f>
        <v>DERRAME</v>
      </c>
      <c r="G520" s="64" t="str">
        <f>IFERROR(__xludf.DUMMYFUNCTION("""COMPUTED_VALUE"""),"CALENTAMIENTO")</f>
        <v>CALENTAMIENTO</v>
      </c>
      <c r="H520" s="64" t="str">
        <f>IFERROR(__xludf.DUMMYFUNCTION("""COMPUTED_VALUE"""),"ESCOLTANDO")</f>
        <v>ESCOLTANDO</v>
      </c>
      <c r="I520" s="64" t="str">
        <f>IFERROR(__xludf.DUMMYFUNCTION("""COMPUTED_VALUE"""),"FALTA DE COMBUSTIBLE")</f>
        <v>FALTA DE COMBUSTIBLE</v>
      </c>
      <c r="J520" s="64" t="str">
        <f>IFERROR(__xludf.DUMMYFUNCTION("""COMPUTED_VALUE"""),"DESPERFECTOS MECÁNICOS")</f>
        <v>DESPERFECTOS MECÁNICOS</v>
      </c>
      <c r="K520" s="64" t="str">
        <f>IFERROR(__xludf.DUMMYFUNCTION("""COMPUTED_VALUE"""),"LLAMADA DE ATENCIÓN")</f>
        <v>LLAMADA DE ATENCIÓN</v>
      </c>
      <c r="L520" s="64" t="str">
        <f>IFERROR(__xludf.DUMMYFUNCTION("""COMPUTED_VALUE"""),"OPERATIVOS")</f>
        <v>OPERATIVOS</v>
      </c>
      <c r="M520" s="64" t="str">
        <f>IFERROR(__xludf.DUMMYFUNCTION("""COMPUTED_VALUE"""),"SANCIÓN")</f>
        <v>SANCIÓN</v>
      </c>
      <c r="N520" s="64" t="str">
        <f>IFERROR(__xludf.DUMMYFUNCTION("""COMPUTED_VALUE"""),"SISTEMA ELECTRICO")</f>
        <v>SISTEMA ELECTRICO</v>
      </c>
      <c r="O520" s="64" t="str">
        <f>IFERROR(__xludf.DUMMYFUNCTION("""COMPUTED_VALUE"""),"ASISTENCIA AL USUARIO")</f>
        <v>ASISTENCIA AL USUARIO</v>
      </c>
      <c r="P520" s="64" t="str">
        <f>IFERROR(__xludf.DUMMYFUNCTION("""COMPUTED_VALUE"""),"DOBLE REMOLQUE")</f>
        <v>DOBLE REMOLQUE</v>
      </c>
      <c r="Q520" s="64" t="str">
        <f>IFERROR(__xludf.DUMMYFUNCTION("""COMPUTED_VALUE"""),"SINAPRESE")</f>
        <v>SINAPRESE</v>
      </c>
      <c r="R520" s="64" t="str">
        <f>IFERROR(__xludf.DUMMYFUNCTION("""COMPUTED_VALUE"""),"APOYO ATLETISMO")</f>
        <v>APOYO ATLETISMO</v>
      </c>
      <c r="S520" s="64" t="str">
        <f>IFERROR(__xludf.DUMMYFUNCTION("""COMPUTED_VALUE"""),"APOYO A CICLISMO")</f>
        <v>APOYO A CICLISMO</v>
      </c>
      <c r="T520" s="64" t="str">
        <f>IFERROR(__xludf.DUMMYFUNCTION("""COMPUTED_VALUE"""),"DESCARGA DE BATERÍA")</f>
        <v>DESCARGA DE BATERÍA</v>
      </c>
      <c r="U520" s="64" t="str">
        <f>IFERROR(__xludf.DUMMYFUNCTION("""COMPUTED_VALUE"""),"PROBLEMAS DE SALUD")</f>
        <v>PROBLEMAS DE SALUD</v>
      </c>
      <c r="V520" s="64" t="str">
        <f>IFERROR(__xludf.DUMMYFUNCTION("""COMPUTED_VALUE"""),"OLVIDO LA LLAVE")</f>
        <v>OLVIDO LA LLAVE</v>
      </c>
      <c r="W520" s="64" t="str">
        <f>IFERROR(__xludf.DUMMYFUNCTION("""COMPUTED_VALUE"""),"CARGA SOBREDIMENSIONADA")</f>
        <v>CARGA SOBREDIMENSIONADA</v>
      </c>
      <c r="X520" s="64" t="str">
        <f>IFERROR(__xludf.DUMMYFUNCTION("""COMPUTED_VALUE"""),"VEHÍCULO ABANDONADO")</f>
        <v>VEHÍCULO ABANDONADO</v>
      </c>
      <c r="Y520" s="64" t="str">
        <f>IFERROR(__xludf.DUMMYFUNCTION("""COMPUTED_VALUE"""),"DESPRENDIMIENTO")</f>
        <v>DESPRENDIMIENTO</v>
      </c>
      <c r="Z520" s="64" t="str">
        <f>IFERROR(__xludf.DUMMYFUNCTION("""COMPUTED_VALUE"""),"CAÍDA DE POSTE")</f>
        <v>CAÍDA DE POSTE</v>
      </c>
      <c r="AA520" s="64" t="str">
        <f>IFERROR(__xludf.DUMMYFUNCTION("""COMPUTED_VALUE"""),"CAÍDA DE RAMA")</f>
        <v>CAÍDA DE RAMA</v>
      </c>
      <c r="AB520" s="64" t="str">
        <f>IFERROR(__xludf.DUMMYFUNCTION("""COMPUTED_VALUE"""),"OPERATIVO DGT")</f>
        <v>OPERATIVO DGT</v>
      </c>
      <c r="AC520" s="64" t="str">
        <f>IFERROR(__xludf.DUMMYFUNCTION("""COMPUTED_VALUE"""),"OPERATIVO PMT")</f>
        <v>OPERATIVO PMT</v>
      </c>
      <c r="AD520" s="64" t="str">
        <f>IFERROR(__xludf.DUMMYFUNCTION("""COMPUTED_VALUE"""),"APOYO A DIGEF")</f>
        <v>APOYO A DIGEF</v>
      </c>
      <c r="AE520" s="64" t="str">
        <f>IFERROR(__xludf.DUMMYFUNCTION("""COMPUTED_VALUE"""),"OPERATIVO PNC TRANSITO")</f>
        <v>OPERATIVO PNC TRANSITO</v>
      </c>
      <c r="AF520" s="64" t="str">
        <f>IFERROR(__xludf.DUMMYFUNCTION("""COMPUTED_VALUE"""),"SOBRECARGA ")</f>
        <v>SOBRECARGA </v>
      </c>
      <c r="AG520" s="64" t="str">
        <f>IFERROR(__xludf.DUMMYFUNCTION("""COMPUTED_VALUE"""),"OPERATIVO EN CONJUNTO")</f>
        <v>OPERATIVO EN CONJUNTO</v>
      </c>
      <c r="AH520" s="64" t="str">
        <f>IFERROR(__xludf.DUMMYFUNCTION("""COMPUTED_VALUE"""),"PUESTO DE ATENCION AL USUARIO")</f>
        <v>PUESTO DE ATENCION AL USUARIO</v>
      </c>
      <c r="AI520" s="64" t="str">
        <f>IFERROR(__xludf.DUMMYFUNCTION("""COMPUTED_VALUE"""),"INCENDIO EN RUTA")</f>
        <v>INCENDIO EN RUTA</v>
      </c>
      <c r="AJ520" s="64" t="str">
        <f>IFERROR(__xludf.DUMMYFUNCTION("""COMPUTED_VALUE"""),"APOYO ANTORCHA ")</f>
        <v>APOYO ANTORCHA </v>
      </c>
    </row>
    <row r="521">
      <c r="B521" s="64" t="s">
        <v>54</v>
      </c>
      <c r="C521" s="64" t="str">
        <f>IFERROR(__xludf.DUMMYFUNCTION(" TRANSPOSE( unique ( QUERY(DATOPRO,""select Col2 where Col1 = '""&amp;B521&amp;""'"")))"),"PINCHAZO")</f>
        <v>PINCHAZO</v>
      </c>
      <c r="D521" s="64" t="str">
        <f>IFERROR(__xludf.DUMMYFUNCTION("""COMPUTED_VALUE"""),"TRABAJOS DE CARRETERA")</f>
        <v>TRABAJOS DE CARRETERA</v>
      </c>
      <c r="E521" s="64" t="str">
        <f>IFERROR(__xludf.DUMMYFUNCTION("""COMPUTED_VALUE"""),"CONSIGNACIÓN")</f>
        <v>CONSIGNACIÓN</v>
      </c>
      <c r="F521" s="64" t="str">
        <f>IFERROR(__xludf.DUMMYFUNCTION("""COMPUTED_VALUE"""),"DERRAME")</f>
        <v>DERRAME</v>
      </c>
      <c r="G521" s="64" t="str">
        <f>IFERROR(__xludf.DUMMYFUNCTION("""COMPUTED_VALUE"""),"CALENTAMIENTO")</f>
        <v>CALENTAMIENTO</v>
      </c>
      <c r="H521" s="64" t="str">
        <f>IFERROR(__xludf.DUMMYFUNCTION("""COMPUTED_VALUE"""),"ESCOLTANDO")</f>
        <v>ESCOLTANDO</v>
      </c>
      <c r="I521" s="64" t="str">
        <f>IFERROR(__xludf.DUMMYFUNCTION("""COMPUTED_VALUE"""),"FALTA DE COMBUSTIBLE")</f>
        <v>FALTA DE COMBUSTIBLE</v>
      </c>
      <c r="J521" s="64" t="str">
        <f>IFERROR(__xludf.DUMMYFUNCTION("""COMPUTED_VALUE"""),"DESPERFECTOS MECÁNICOS")</f>
        <v>DESPERFECTOS MECÁNICOS</v>
      </c>
      <c r="K521" s="64" t="str">
        <f>IFERROR(__xludf.DUMMYFUNCTION("""COMPUTED_VALUE"""),"LLAMADA DE ATENCIÓN")</f>
        <v>LLAMADA DE ATENCIÓN</v>
      </c>
      <c r="L521" s="64" t="str">
        <f>IFERROR(__xludf.DUMMYFUNCTION("""COMPUTED_VALUE"""),"OPERATIVOS")</f>
        <v>OPERATIVOS</v>
      </c>
      <c r="M521" s="64" t="str">
        <f>IFERROR(__xludf.DUMMYFUNCTION("""COMPUTED_VALUE"""),"SANCIÓN")</f>
        <v>SANCIÓN</v>
      </c>
      <c r="N521" s="64" t="str">
        <f>IFERROR(__xludf.DUMMYFUNCTION("""COMPUTED_VALUE"""),"SISTEMA ELECTRICO")</f>
        <v>SISTEMA ELECTRICO</v>
      </c>
      <c r="O521" s="64" t="str">
        <f>IFERROR(__xludf.DUMMYFUNCTION("""COMPUTED_VALUE"""),"ASISTENCIA AL USUARIO")</f>
        <v>ASISTENCIA AL USUARIO</v>
      </c>
      <c r="P521" s="64" t="str">
        <f>IFERROR(__xludf.DUMMYFUNCTION("""COMPUTED_VALUE"""),"DOBLE REMOLQUE")</f>
        <v>DOBLE REMOLQUE</v>
      </c>
      <c r="Q521" s="64" t="str">
        <f>IFERROR(__xludf.DUMMYFUNCTION("""COMPUTED_VALUE"""),"SINAPRESE")</f>
        <v>SINAPRESE</v>
      </c>
      <c r="R521" s="64" t="str">
        <f>IFERROR(__xludf.DUMMYFUNCTION("""COMPUTED_VALUE"""),"APOYO ATLETISMO")</f>
        <v>APOYO ATLETISMO</v>
      </c>
      <c r="S521" s="64" t="str">
        <f>IFERROR(__xludf.DUMMYFUNCTION("""COMPUTED_VALUE"""),"APOYO A CICLISMO")</f>
        <v>APOYO A CICLISMO</v>
      </c>
      <c r="T521" s="64" t="str">
        <f>IFERROR(__xludf.DUMMYFUNCTION("""COMPUTED_VALUE"""),"DESCARGA DE BATERÍA")</f>
        <v>DESCARGA DE BATERÍA</v>
      </c>
      <c r="U521" s="64" t="str">
        <f>IFERROR(__xludf.DUMMYFUNCTION("""COMPUTED_VALUE"""),"PROBLEMAS DE SALUD")</f>
        <v>PROBLEMAS DE SALUD</v>
      </c>
      <c r="V521" s="64" t="str">
        <f>IFERROR(__xludf.DUMMYFUNCTION("""COMPUTED_VALUE"""),"OLVIDO LA LLAVE")</f>
        <v>OLVIDO LA LLAVE</v>
      </c>
      <c r="W521" s="64" t="str">
        <f>IFERROR(__xludf.DUMMYFUNCTION("""COMPUTED_VALUE"""),"CARGA SOBREDIMENSIONADA")</f>
        <v>CARGA SOBREDIMENSIONADA</v>
      </c>
      <c r="X521" s="64" t="str">
        <f>IFERROR(__xludf.DUMMYFUNCTION("""COMPUTED_VALUE"""),"VEHÍCULO ABANDONADO")</f>
        <v>VEHÍCULO ABANDONADO</v>
      </c>
      <c r="Y521" s="64" t="str">
        <f>IFERROR(__xludf.DUMMYFUNCTION("""COMPUTED_VALUE"""),"DESPRENDIMIENTO")</f>
        <v>DESPRENDIMIENTO</v>
      </c>
      <c r="Z521" s="64" t="str">
        <f>IFERROR(__xludf.DUMMYFUNCTION("""COMPUTED_VALUE"""),"CAÍDA DE POSTE")</f>
        <v>CAÍDA DE POSTE</v>
      </c>
      <c r="AA521" s="64" t="str">
        <f>IFERROR(__xludf.DUMMYFUNCTION("""COMPUTED_VALUE"""),"CAÍDA DE RAMA")</f>
        <v>CAÍDA DE RAMA</v>
      </c>
      <c r="AB521" s="64" t="str">
        <f>IFERROR(__xludf.DUMMYFUNCTION("""COMPUTED_VALUE"""),"OPERATIVO DGT")</f>
        <v>OPERATIVO DGT</v>
      </c>
      <c r="AC521" s="64" t="str">
        <f>IFERROR(__xludf.DUMMYFUNCTION("""COMPUTED_VALUE"""),"OPERATIVO PMT")</f>
        <v>OPERATIVO PMT</v>
      </c>
      <c r="AD521" s="64" t="str">
        <f>IFERROR(__xludf.DUMMYFUNCTION("""COMPUTED_VALUE"""),"APOYO A DIGEF")</f>
        <v>APOYO A DIGEF</v>
      </c>
      <c r="AE521" s="64" t="str">
        <f>IFERROR(__xludf.DUMMYFUNCTION("""COMPUTED_VALUE"""),"OPERATIVO PNC TRANSITO")</f>
        <v>OPERATIVO PNC TRANSITO</v>
      </c>
      <c r="AF521" s="64" t="str">
        <f>IFERROR(__xludf.DUMMYFUNCTION("""COMPUTED_VALUE"""),"SOBRECARGA ")</f>
        <v>SOBRECARGA </v>
      </c>
      <c r="AG521" s="64" t="str">
        <f>IFERROR(__xludf.DUMMYFUNCTION("""COMPUTED_VALUE"""),"OPERATIVO EN CONJUNTO")</f>
        <v>OPERATIVO EN CONJUNTO</v>
      </c>
      <c r="AH521" s="64" t="str">
        <f>IFERROR(__xludf.DUMMYFUNCTION("""COMPUTED_VALUE"""),"PUESTO DE ATENCION AL USUARIO")</f>
        <v>PUESTO DE ATENCION AL USUARIO</v>
      </c>
      <c r="AI521" s="64" t="str">
        <f>IFERROR(__xludf.DUMMYFUNCTION("""COMPUTED_VALUE"""),"INCENDIO EN RUTA")</f>
        <v>INCENDIO EN RUTA</v>
      </c>
      <c r="AJ521" s="64" t="str">
        <f>IFERROR(__xludf.DUMMYFUNCTION("""COMPUTED_VALUE"""),"APOYO ANTORCHA ")</f>
        <v>APOYO ANTORCHA </v>
      </c>
    </row>
    <row r="522">
      <c r="B522" s="64"/>
      <c r="C522" s="64" t="str">
        <f>IFERROR(__xludf.DUMMYFUNCTION(" TRANSPOSE( unique ( QUERY(DATOPRO,""select Col2 where Col1 = '""&amp;B522&amp;""'"")))"),"")</f>
        <v/>
      </c>
    </row>
    <row r="523">
      <c r="B523" s="64" t="s">
        <v>38</v>
      </c>
      <c r="C523" s="64" t="str">
        <f>IFERROR(__xludf.DUMMYFUNCTION(" TRANSPOSE( unique ( QUERY(DATOPRO,""select Col2 where Col1 = '""&amp;B523&amp;""'"")))"),"ATAQUE ARMADO")</f>
        <v>ATAQUE ARMADO</v>
      </c>
      <c r="D523" s="64" t="str">
        <f>IFERROR(__xludf.DUMMYFUNCTION("""COMPUTED_VALUE"""),"DESBALANCE DE CARGA")</f>
        <v>DESBALANCE DE CARGA</v>
      </c>
      <c r="E523" s="64" t="str">
        <f>IFERROR(__xludf.DUMMYFUNCTION("""COMPUTED_VALUE"""),"PERSONA FALLECIDA")</f>
        <v>PERSONA FALLECIDA</v>
      </c>
      <c r="F523" s="64" t="str">
        <f>IFERROR(__xludf.DUMMYFUNCTION("""COMPUTED_VALUE"""),"DESPRENDIMIENTO DE NEUMATICO")</f>
        <v>DESPRENDIMIENTO DE NEUMATICO</v>
      </c>
      <c r="G523" s="64" t="str">
        <f>IFERROR(__xludf.DUMMYFUNCTION("""COMPUTED_VALUE"""),"SALIDA DE PISTA")</f>
        <v>SALIDA DE PISTA</v>
      </c>
      <c r="H523" s="64" t="str">
        <f>IFERROR(__xludf.DUMMYFUNCTION("""COMPUTED_VALUE"""),"DESPRENDIMIENTO DE CONTENEDOR")</f>
        <v>DESPRENDIMIENTO DE CONTENEDOR</v>
      </c>
      <c r="I523" s="64" t="str">
        <f>IFERROR(__xludf.DUMMYFUNCTION("""COMPUTED_VALUE"""),"CAÍDA DE CARGA")</f>
        <v>CAÍDA DE CARGA</v>
      </c>
      <c r="J523" s="64" t="str">
        <f>IFERROR(__xludf.DUMMYFUNCTION("""COMPUTED_VALUE"""),"CHOQUE")</f>
        <v>CHOQUE</v>
      </c>
      <c r="K523" s="64" t="str">
        <f>IFERROR(__xludf.DUMMYFUNCTION("""COMPUTED_VALUE"""),"COLISIÓN")</f>
        <v>COLISIÓN</v>
      </c>
      <c r="L523" s="64" t="str">
        <f>IFERROR(__xludf.DUMMYFUNCTION("""COMPUTED_VALUE"""),"COLISIÓN MÚLTIPLE")</f>
        <v>COLISIÓN MÚLTIPLE</v>
      </c>
      <c r="M523" s="64" t="str">
        <f>IFERROR(__xludf.DUMMYFUNCTION("""COMPUTED_VALUE"""),"DERRAPE")</f>
        <v>DERRAPE</v>
      </c>
      <c r="N523" s="64" t="str">
        <f>IFERROR(__xludf.DUMMYFUNCTION("""COMPUTED_VALUE"""),"VEHÍCULO INCENDIADO")</f>
        <v>VEHÍCULO INCENDIADO</v>
      </c>
      <c r="O523" s="64" t="str">
        <f>IFERROR(__xludf.DUMMYFUNCTION("""COMPUTED_VALUE"""),"VUELCO")</f>
        <v>VUELCO</v>
      </c>
      <c r="P523" s="64" t="str">
        <f>IFERROR(__xludf.DUMMYFUNCTION("""COMPUTED_VALUE"""),"DESPRENDIMIENTO")</f>
        <v>DESPRENDIMIENTO</v>
      </c>
      <c r="Q523" s="64" t="str">
        <f>IFERROR(__xludf.DUMMYFUNCTION("""COMPUTED_VALUE"""),"CAÍDA DE ÁRBOL")</f>
        <v>CAÍDA DE ÁRBOL</v>
      </c>
      <c r="R523" s="64" t="str">
        <f>IFERROR(__xludf.DUMMYFUNCTION("""COMPUTED_VALUE"""),"DESPRENDIMIENTO DE EJE")</f>
        <v>DESPRENDIMIENTO DE EJE</v>
      </c>
      <c r="S523" s="64" t="str">
        <f>IFERROR(__xludf.DUMMYFUNCTION("""COMPUTED_VALUE"""),"PERSONA ATROPELLADA")</f>
        <v>PERSONA ATROPELLADA</v>
      </c>
    </row>
    <row r="524">
      <c r="B524" s="64" t="s">
        <v>54</v>
      </c>
      <c r="C524" s="64" t="str">
        <f>IFERROR(__xludf.DUMMYFUNCTION(" TRANSPOSE( unique ( QUERY(DATOPRO,""select Col2 where Col1 = '""&amp;B524&amp;""'"")))"),"PINCHAZO")</f>
        <v>PINCHAZO</v>
      </c>
      <c r="D524" s="64" t="str">
        <f>IFERROR(__xludf.DUMMYFUNCTION("""COMPUTED_VALUE"""),"TRABAJOS DE CARRETERA")</f>
        <v>TRABAJOS DE CARRETERA</v>
      </c>
      <c r="E524" s="64" t="str">
        <f>IFERROR(__xludf.DUMMYFUNCTION("""COMPUTED_VALUE"""),"CONSIGNACIÓN")</f>
        <v>CONSIGNACIÓN</v>
      </c>
      <c r="F524" s="64" t="str">
        <f>IFERROR(__xludf.DUMMYFUNCTION("""COMPUTED_VALUE"""),"DERRAME")</f>
        <v>DERRAME</v>
      </c>
      <c r="G524" s="64" t="str">
        <f>IFERROR(__xludf.DUMMYFUNCTION("""COMPUTED_VALUE"""),"CALENTAMIENTO")</f>
        <v>CALENTAMIENTO</v>
      </c>
      <c r="H524" s="64" t="str">
        <f>IFERROR(__xludf.DUMMYFUNCTION("""COMPUTED_VALUE"""),"ESCOLTANDO")</f>
        <v>ESCOLTANDO</v>
      </c>
      <c r="I524" s="64" t="str">
        <f>IFERROR(__xludf.DUMMYFUNCTION("""COMPUTED_VALUE"""),"FALTA DE COMBUSTIBLE")</f>
        <v>FALTA DE COMBUSTIBLE</v>
      </c>
      <c r="J524" s="64" t="str">
        <f>IFERROR(__xludf.DUMMYFUNCTION("""COMPUTED_VALUE"""),"DESPERFECTOS MECÁNICOS")</f>
        <v>DESPERFECTOS MECÁNICOS</v>
      </c>
      <c r="K524" s="64" t="str">
        <f>IFERROR(__xludf.DUMMYFUNCTION("""COMPUTED_VALUE"""),"LLAMADA DE ATENCIÓN")</f>
        <v>LLAMADA DE ATENCIÓN</v>
      </c>
      <c r="L524" s="64" t="str">
        <f>IFERROR(__xludf.DUMMYFUNCTION("""COMPUTED_VALUE"""),"OPERATIVOS")</f>
        <v>OPERATIVOS</v>
      </c>
      <c r="M524" s="64" t="str">
        <f>IFERROR(__xludf.DUMMYFUNCTION("""COMPUTED_VALUE"""),"SANCIÓN")</f>
        <v>SANCIÓN</v>
      </c>
      <c r="N524" s="64" t="str">
        <f>IFERROR(__xludf.DUMMYFUNCTION("""COMPUTED_VALUE"""),"SISTEMA ELECTRICO")</f>
        <v>SISTEMA ELECTRICO</v>
      </c>
      <c r="O524" s="64" t="str">
        <f>IFERROR(__xludf.DUMMYFUNCTION("""COMPUTED_VALUE"""),"ASISTENCIA AL USUARIO")</f>
        <v>ASISTENCIA AL USUARIO</v>
      </c>
      <c r="P524" s="64" t="str">
        <f>IFERROR(__xludf.DUMMYFUNCTION("""COMPUTED_VALUE"""),"DOBLE REMOLQUE")</f>
        <v>DOBLE REMOLQUE</v>
      </c>
      <c r="Q524" s="64" t="str">
        <f>IFERROR(__xludf.DUMMYFUNCTION("""COMPUTED_VALUE"""),"SINAPRESE")</f>
        <v>SINAPRESE</v>
      </c>
      <c r="R524" s="64" t="str">
        <f>IFERROR(__xludf.DUMMYFUNCTION("""COMPUTED_VALUE"""),"APOYO ATLETISMO")</f>
        <v>APOYO ATLETISMO</v>
      </c>
      <c r="S524" s="64" t="str">
        <f>IFERROR(__xludf.DUMMYFUNCTION("""COMPUTED_VALUE"""),"APOYO A CICLISMO")</f>
        <v>APOYO A CICLISMO</v>
      </c>
      <c r="T524" s="64" t="str">
        <f>IFERROR(__xludf.DUMMYFUNCTION("""COMPUTED_VALUE"""),"DESCARGA DE BATERÍA")</f>
        <v>DESCARGA DE BATERÍA</v>
      </c>
      <c r="U524" s="64" t="str">
        <f>IFERROR(__xludf.DUMMYFUNCTION("""COMPUTED_VALUE"""),"PROBLEMAS DE SALUD")</f>
        <v>PROBLEMAS DE SALUD</v>
      </c>
      <c r="V524" s="64" t="str">
        <f>IFERROR(__xludf.DUMMYFUNCTION("""COMPUTED_VALUE"""),"OLVIDO LA LLAVE")</f>
        <v>OLVIDO LA LLAVE</v>
      </c>
      <c r="W524" s="64" t="str">
        <f>IFERROR(__xludf.DUMMYFUNCTION("""COMPUTED_VALUE"""),"CARGA SOBREDIMENSIONADA")</f>
        <v>CARGA SOBREDIMENSIONADA</v>
      </c>
      <c r="X524" s="64" t="str">
        <f>IFERROR(__xludf.DUMMYFUNCTION("""COMPUTED_VALUE"""),"VEHÍCULO ABANDONADO")</f>
        <v>VEHÍCULO ABANDONADO</v>
      </c>
      <c r="Y524" s="64" t="str">
        <f>IFERROR(__xludf.DUMMYFUNCTION("""COMPUTED_VALUE"""),"DESPRENDIMIENTO")</f>
        <v>DESPRENDIMIENTO</v>
      </c>
      <c r="Z524" s="64" t="str">
        <f>IFERROR(__xludf.DUMMYFUNCTION("""COMPUTED_VALUE"""),"CAÍDA DE POSTE")</f>
        <v>CAÍDA DE POSTE</v>
      </c>
      <c r="AA524" s="64" t="str">
        <f>IFERROR(__xludf.DUMMYFUNCTION("""COMPUTED_VALUE"""),"CAÍDA DE RAMA")</f>
        <v>CAÍDA DE RAMA</v>
      </c>
      <c r="AB524" s="64" t="str">
        <f>IFERROR(__xludf.DUMMYFUNCTION("""COMPUTED_VALUE"""),"OPERATIVO DGT")</f>
        <v>OPERATIVO DGT</v>
      </c>
      <c r="AC524" s="64" t="str">
        <f>IFERROR(__xludf.DUMMYFUNCTION("""COMPUTED_VALUE"""),"OPERATIVO PMT")</f>
        <v>OPERATIVO PMT</v>
      </c>
      <c r="AD524" s="64" t="str">
        <f>IFERROR(__xludf.DUMMYFUNCTION("""COMPUTED_VALUE"""),"APOYO A DIGEF")</f>
        <v>APOYO A DIGEF</v>
      </c>
      <c r="AE524" s="64" t="str">
        <f>IFERROR(__xludf.DUMMYFUNCTION("""COMPUTED_VALUE"""),"OPERATIVO PNC TRANSITO")</f>
        <v>OPERATIVO PNC TRANSITO</v>
      </c>
      <c r="AF524" s="64" t="str">
        <f>IFERROR(__xludf.DUMMYFUNCTION("""COMPUTED_VALUE"""),"SOBRECARGA ")</f>
        <v>SOBRECARGA </v>
      </c>
      <c r="AG524" s="64" t="str">
        <f>IFERROR(__xludf.DUMMYFUNCTION("""COMPUTED_VALUE"""),"OPERATIVO EN CONJUNTO")</f>
        <v>OPERATIVO EN CONJUNTO</v>
      </c>
      <c r="AH524" s="64" t="str">
        <f>IFERROR(__xludf.DUMMYFUNCTION("""COMPUTED_VALUE"""),"PUESTO DE ATENCION AL USUARIO")</f>
        <v>PUESTO DE ATENCION AL USUARIO</v>
      </c>
      <c r="AI524" s="64" t="str">
        <f>IFERROR(__xludf.DUMMYFUNCTION("""COMPUTED_VALUE"""),"INCENDIO EN RUTA")</f>
        <v>INCENDIO EN RUTA</v>
      </c>
      <c r="AJ524" s="64" t="str">
        <f>IFERROR(__xludf.DUMMYFUNCTION("""COMPUTED_VALUE"""),"APOYO ANTORCHA ")</f>
        <v>APOYO ANTORCHA </v>
      </c>
    </row>
    <row r="525">
      <c r="B525" s="64" t="s">
        <v>54</v>
      </c>
      <c r="C525" s="64" t="str">
        <f>IFERROR(__xludf.DUMMYFUNCTION(" TRANSPOSE( unique ( QUERY(DATOPRO,""select Col2 where Col1 = '""&amp;B525&amp;""'"")))"),"PINCHAZO")</f>
        <v>PINCHAZO</v>
      </c>
      <c r="D525" s="64" t="str">
        <f>IFERROR(__xludf.DUMMYFUNCTION("""COMPUTED_VALUE"""),"TRABAJOS DE CARRETERA")</f>
        <v>TRABAJOS DE CARRETERA</v>
      </c>
      <c r="E525" s="64" t="str">
        <f>IFERROR(__xludf.DUMMYFUNCTION("""COMPUTED_VALUE"""),"CONSIGNACIÓN")</f>
        <v>CONSIGNACIÓN</v>
      </c>
      <c r="F525" s="64" t="str">
        <f>IFERROR(__xludf.DUMMYFUNCTION("""COMPUTED_VALUE"""),"DERRAME")</f>
        <v>DERRAME</v>
      </c>
      <c r="G525" s="64" t="str">
        <f>IFERROR(__xludf.DUMMYFUNCTION("""COMPUTED_VALUE"""),"CALENTAMIENTO")</f>
        <v>CALENTAMIENTO</v>
      </c>
      <c r="H525" s="64" t="str">
        <f>IFERROR(__xludf.DUMMYFUNCTION("""COMPUTED_VALUE"""),"ESCOLTANDO")</f>
        <v>ESCOLTANDO</v>
      </c>
      <c r="I525" s="64" t="str">
        <f>IFERROR(__xludf.DUMMYFUNCTION("""COMPUTED_VALUE"""),"FALTA DE COMBUSTIBLE")</f>
        <v>FALTA DE COMBUSTIBLE</v>
      </c>
      <c r="J525" s="64" t="str">
        <f>IFERROR(__xludf.DUMMYFUNCTION("""COMPUTED_VALUE"""),"DESPERFECTOS MECÁNICOS")</f>
        <v>DESPERFECTOS MECÁNICOS</v>
      </c>
      <c r="K525" s="64" t="str">
        <f>IFERROR(__xludf.DUMMYFUNCTION("""COMPUTED_VALUE"""),"LLAMADA DE ATENCIÓN")</f>
        <v>LLAMADA DE ATENCIÓN</v>
      </c>
      <c r="L525" s="64" t="str">
        <f>IFERROR(__xludf.DUMMYFUNCTION("""COMPUTED_VALUE"""),"OPERATIVOS")</f>
        <v>OPERATIVOS</v>
      </c>
      <c r="M525" s="64" t="str">
        <f>IFERROR(__xludf.DUMMYFUNCTION("""COMPUTED_VALUE"""),"SANCIÓN")</f>
        <v>SANCIÓN</v>
      </c>
      <c r="N525" s="64" t="str">
        <f>IFERROR(__xludf.DUMMYFUNCTION("""COMPUTED_VALUE"""),"SISTEMA ELECTRICO")</f>
        <v>SISTEMA ELECTRICO</v>
      </c>
      <c r="O525" s="64" t="str">
        <f>IFERROR(__xludf.DUMMYFUNCTION("""COMPUTED_VALUE"""),"ASISTENCIA AL USUARIO")</f>
        <v>ASISTENCIA AL USUARIO</v>
      </c>
      <c r="P525" s="64" t="str">
        <f>IFERROR(__xludf.DUMMYFUNCTION("""COMPUTED_VALUE"""),"DOBLE REMOLQUE")</f>
        <v>DOBLE REMOLQUE</v>
      </c>
      <c r="Q525" s="64" t="str">
        <f>IFERROR(__xludf.DUMMYFUNCTION("""COMPUTED_VALUE"""),"SINAPRESE")</f>
        <v>SINAPRESE</v>
      </c>
      <c r="R525" s="64" t="str">
        <f>IFERROR(__xludf.DUMMYFUNCTION("""COMPUTED_VALUE"""),"APOYO ATLETISMO")</f>
        <v>APOYO ATLETISMO</v>
      </c>
      <c r="S525" s="64" t="str">
        <f>IFERROR(__xludf.DUMMYFUNCTION("""COMPUTED_VALUE"""),"APOYO A CICLISMO")</f>
        <v>APOYO A CICLISMO</v>
      </c>
      <c r="T525" s="64" t="str">
        <f>IFERROR(__xludf.DUMMYFUNCTION("""COMPUTED_VALUE"""),"DESCARGA DE BATERÍA")</f>
        <v>DESCARGA DE BATERÍA</v>
      </c>
      <c r="U525" s="64" t="str">
        <f>IFERROR(__xludf.DUMMYFUNCTION("""COMPUTED_VALUE"""),"PROBLEMAS DE SALUD")</f>
        <v>PROBLEMAS DE SALUD</v>
      </c>
      <c r="V525" s="64" t="str">
        <f>IFERROR(__xludf.DUMMYFUNCTION("""COMPUTED_VALUE"""),"OLVIDO LA LLAVE")</f>
        <v>OLVIDO LA LLAVE</v>
      </c>
      <c r="W525" s="64" t="str">
        <f>IFERROR(__xludf.DUMMYFUNCTION("""COMPUTED_VALUE"""),"CARGA SOBREDIMENSIONADA")</f>
        <v>CARGA SOBREDIMENSIONADA</v>
      </c>
      <c r="X525" s="64" t="str">
        <f>IFERROR(__xludf.DUMMYFUNCTION("""COMPUTED_VALUE"""),"VEHÍCULO ABANDONADO")</f>
        <v>VEHÍCULO ABANDONADO</v>
      </c>
      <c r="Y525" s="64" t="str">
        <f>IFERROR(__xludf.DUMMYFUNCTION("""COMPUTED_VALUE"""),"DESPRENDIMIENTO")</f>
        <v>DESPRENDIMIENTO</v>
      </c>
      <c r="Z525" s="64" t="str">
        <f>IFERROR(__xludf.DUMMYFUNCTION("""COMPUTED_VALUE"""),"CAÍDA DE POSTE")</f>
        <v>CAÍDA DE POSTE</v>
      </c>
      <c r="AA525" s="64" t="str">
        <f>IFERROR(__xludf.DUMMYFUNCTION("""COMPUTED_VALUE"""),"CAÍDA DE RAMA")</f>
        <v>CAÍDA DE RAMA</v>
      </c>
      <c r="AB525" s="64" t="str">
        <f>IFERROR(__xludf.DUMMYFUNCTION("""COMPUTED_VALUE"""),"OPERATIVO DGT")</f>
        <v>OPERATIVO DGT</v>
      </c>
      <c r="AC525" s="64" t="str">
        <f>IFERROR(__xludf.DUMMYFUNCTION("""COMPUTED_VALUE"""),"OPERATIVO PMT")</f>
        <v>OPERATIVO PMT</v>
      </c>
      <c r="AD525" s="64" t="str">
        <f>IFERROR(__xludf.DUMMYFUNCTION("""COMPUTED_VALUE"""),"APOYO A DIGEF")</f>
        <v>APOYO A DIGEF</v>
      </c>
      <c r="AE525" s="64" t="str">
        <f>IFERROR(__xludf.DUMMYFUNCTION("""COMPUTED_VALUE"""),"OPERATIVO PNC TRANSITO")</f>
        <v>OPERATIVO PNC TRANSITO</v>
      </c>
      <c r="AF525" s="64" t="str">
        <f>IFERROR(__xludf.DUMMYFUNCTION("""COMPUTED_VALUE"""),"SOBRECARGA ")</f>
        <v>SOBRECARGA </v>
      </c>
      <c r="AG525" s="64" t="str">
        <f>IFERROR(__xludf.DUMMYFUNCTION("""COMPUTED_VALUE"""),"OPERATIVO EN CONJUNTO")</f>
        <v>OPERATIVO EN CONJUNTO</v>
      </c>
      <c r="AH525" s="64" t="str">
        <f>IFERROR(__xludf.DUMMYFUNCTION("""COMPUTED_VALUE"""),"PUESTO DE ATENCION AL USUARIO")</f>
        <v>PUESTO DE ATENCION AL USUARIO</v>
      </c>
      <c r="AI525" s="64" t="str">
        <f>IFERROR(__xludf.DUMMYFUNCTION("""COMPUTED_VALUE"""),"INCENDIO EN RUTA")</f>
        <v>INCENDIO EN RUTA</v>
      </c>
      <c r="AJ525" s="64" t="str">
        <f>IFERROR(__xludf.DUMMYFUNCTION("""COMPUTED_VALUE"""),"APOYO ANTORCHA ")</f>
        <v>APOYO ANTORCHA </v>
      </c>
    </row>
    <row r="526">
      <c r="B526" s="64" t="s">
        <v>54</v>
      </c>
      <c r="C526" s="64" t="str">
        <f>IFERROR(__xludf.DUMMYFUNCTION(" TRANSPOSE( unique ( QUERY(DATOPRO,""select Col2 where Col1 = '""&amp;B526&amp;""'"")))"),"PINCHAZO")</f>
        <v>PINCHAZO</v>
      </c>
      <c r="D526" s="64" t="str">
        <f>IFERROR(__xludf.DUMMYFUNCTION("""COMPUTED_VALUE"""),"TRABAJOS DE CARRETERA")</f>
        <v>TRABAJOS DE CARRETERA</v>
      </c>
      <c r="E526" s="64" t="str">
        <f>IFERROR(__xludf.DUMMYFUNCTION("""COMPUTED_VALUE"""),"CONSIGNACIÓN")</f>
        <v>CONSIGNACIÓN</v>
      </c>
      <c r="F526" s="64" t="str">
        <f>IFERROR(__xludf.DUMMYFUNCTION("""COMPUTED_VALUE"""),"DERRAME")</f>
        <v>DERRAME</v>
      </c>
      <c r="G526" s="64" t="str">
        <f>IFERROR(__xludf.DUMMYFUNCTION("""COMPUTED_VALUE"""),"CALENTAMIENTO")</f>
        <v>CALENTAMIENTO</v>
      </c>
      <c r="H526" s="64" t="str">
        <f>IFERROR(__xludf.DUMMYFUNCTION("""COMPUTED_VALUE"""),"ESCOLTANDO")</f>
        <v>ESCOLTANDO</v>
      </c>
      <c r="I526" s="64" t="str">
        <f>IFERROR(__xludf.DUMMYFUNCTION("""COMPUTED_VALUE"""),"FALTA DE COMBUSTIBLE")</f>
        <v>FALTA DE COMBUSTIBLE</v>
      </c>
      <c r="J526" s="64" t="str">
        <f>IFERROR(__xludf.DUMMYFUNCTION("""COMPUTED_VALUE"""),"DESPERFECTOS MECÁNICOS")</f>
        <v>DESPERFECTOS MECÁNICOS</v>
      </c>
      <c r="K526" s="64" t="str">
        <f>IFERROR(__xludf.DUMMYFUNCTION("""COMPUTED_VALUE"""),"LLAMADA DE ATENCIÓN")</f>
        <v>LLAMADA DE ATENCIÓN</v>
      </c>
      <c r="L526" s="64" t="str">
        <f>IFERROR(__xludf.DUMMYFUNCTION("""COMPUTED_VALUE"""),"OPERATIVOS")</f>
        <v>OPERATIVOS</v>
      </c>
      <c r="M526" s="64" t="str">
        <f>IFERROR(__xludf.DUMMYFUNCTION("""COMPUTED_VALUE"""),"SANCIÓN")</f>
        <v>SANCIÓN</v>
      </c>
      <c r="N526" s="64" t="str">
        <f>IFERROR(__xludf.DUMMYFUNCTION("""COMPUTED_VALUE"""),"SISTEMA ELECTRICO")</f>
        <v>SISTEMA ELECTRICO</v>
      </c>
      <c r="O526" s="64" t="str">
        <f>IFERROR(__xludf.DUMMYFUNCTION("""COMPUTED_VALUE"""),"ASISTENCIA AL USUARIO")</f>
        <v>ASISTENCIA AL USUARIO</v>
      </c>
      <c r="P526" s="64" t="str">
        <f>IFERROR(__xludf.DUMMYFUNCTION("""COMPUTED_VALUE"""),"DOBLE REMOLQUE")</f>
        <v>DOBLE REMOLQUE</v>
      </c>
      <c r="Q526" s="64" t="str">
        <f>IFERROR(__xludf.DUMMYFUNCTION("""COMPUTED_VALUE"""),"SINAPRESE")</f>
        <v>SINAPRESE</v>
      </c>
      <c r="R526" s="64" t="str">
        <f>IFERROR(__xludf.DUMMYFUNCTION("""COMPUTED_VALUE"""),"APOYO ATLETISMO")</f>
        <v>APOYO ATLETISMO</v>
      </c>
      <c r="S526" s="64" t="str">
        <f>IFERROR(__xludf.DUMMYFUNCTION("""COMPUTED_VALUE"""),"APOYO A CICLISMO")</f>
        <v>APOYO A CICLISMO</v>
      </c>
      <c r="T526" s="64" t="str">
        <f>IFERROR(__xludf.DUMMYFUNCTION("""COMPUTED_VALUE"""),"DESCARGA DE BATERÍA")</f>
        <v>DESCARGA DE BATERÍA</v>
      </c>
      <c r="U526" s="64" t="str">
        <f>IFERROR(__xludf.DUMMYFUNCTION("""COMPUTED_VALUE"""),"PROBLEMAS DE SALUD")</f>
        <v>PROBLEMAS DE SALUD</v>
      </c>
      <c r="V526" s="64" t="str">
        <f>IFERROR(__xludf.DUMMYFUNCTION("""COMPUTED_VALUE"""),"OLVIDO LA LLAVE")</f>
        <v>OLVIDO LA LLAVE</v>
      </c>
      <c r="W526" s="64" t="str">
        <f>IFERROR(__xludf.DUMMYFUNCTION("""COMPUTED_VALUE"""),"CARGA SOBREDIMENSIONADA")</f>
        <v>CARGA SOBREDIMENSIONADA</v>
      </c>
      <c r="X526" s="64" t="str">
        <f>IFERROR(__xludf.DUMMYFUNCTION("""COMPUTED_VALUE"""),"VEHÍCULO ABANDONADO")</f>
        <v>VEHÍCULO ABANDONADO</v>
      </c>
      <c r="Y526" s="64" t="str">
        <f>IFERROR(__xludf.DUMMYFUNCTION("""COMPUTED_VALUE"""),"DESPRENDIMIENTO")</f>
        <v>DESPRENDIMIENTO</v>
      </c>
      <c r="Z526" s="64" t="str">
        <f>IFERROR(__xludf.DUMMYFUNCTION("""COMPUTED_VALUE"""),"CAÍDA DE POSTE")</f>
        <v>CAÍDA DE POSTE</v>
      </c>
      <c r="AA526" s="64" t="str">
        <f>IFERROR(__xludf.DUMMYFUNCTION("""COMPUTED_VALUE"""),"CAÍDA DE RAMA")</f>
        <v>CAÍDA DE RAMA</v>
      </c>
      <c r="AB526" s="64" t="str">
        <f>IFERROR(__xludf.DUMMYFUNCTION("""COMPUTED_VALUE"""),"OPERATIVO DGT")</f>
        <v>OPERATIVO DGT</v>
      </c>
      <c r="AC526" s="64" t="str">
        <f>IFERROR(__xludf.DUMMYFUNCTION("""COMPUTED_VALUE"""),"OPERATIVO PMT")</f>
        <v>OPERATIVO PMT</v>
      </c>
      <c r="AD526" s="64" t="str">
        <f>IFERROR(__xludf.DUMMYFUNCTION("""COMPUTED_VALUE"""),"APOYO A DIGEF")</f>
        <v>APOYO A DIGEF</v>
      </c>
      <c r="AE526" s="64" t="str">
        <f>IFERROR(__xludf.DUMMYFUNCTION("""COMPUTED_VALUE"""),"OPERATIVO PNC TRANSITO")</f>
        <v>OPERATIVO PNC TRANSITO</v>
      </c>
      <c r="AF526" s="64" t="str">
        <f>IFERROR(__xludf.DUMMYFUNCTION("""COMPUTED_VALUE"""),"SOBRECARGA ")</f>
        <v>SOBRECARGA </v>
      </c>
      <c r="AG526" s="64" t="str">
        <f>IFERROR(__xludf.DUMMYFUNCTION("""COMPUTED_VALUE"""),"OPERATIVO EN CONJUNTO")</f>
        <v>OPERATIVO EN CONJUNTO</v>
      </c>
      <c r="AH526" s="64" t="str">
        <f>IFERROR(__xludf.DUMMYFUNCTION("""COMPUTED_VALUE"""),"PUESTO DE ATENCION AL USUARIO")</f>
        <v>PUESTO DE ATENCION AL USUARIO</v>
      </c>
      <c r="AI526" s="64" t="str">
        <f>IFERROR(__xludf.DUMMYFUNCTION("""COMPUTED_VALUE"""),"INCENDIO EN RUTA")</f>
        <v>INCENDIO EN RUTA</v>
      </c>
      <c r="AJ526" s="64" t="str">
        <f>IFERROR(__xludf.DUMMYFUNCTION("""COMPUTED_VALUE"""),"APOYO ANTORCHA ")</f>
        <v>APOYO ANTORCHA </v>
      </c>
    </row>
    <row r="527">
      <c r="B527" s="64" t="s">
        <v>54</v>
      </c>
      <c r="C527" s="64" t="str">
        <f>IFERROR(__xludf.DUMMYFUNCTION(" TRANSPOSE( unique ( QUERY(DATOPRO,""select Col2 where Col1 = '""&amp;B527&amp;""'"")))"),"PINCHAZO")</f>
        <v>PINCHAZO</v>
      </c>
      <c r="D527" s="64" t="str">
        <f>IFERROR(__xludf.DUMMYFUNCTION("""COMPUTED_VALUE"""),"TRABAJOS DE CARRETERA")</f>
        <v>TRABAJOS DE CARRETERA</v>
      </c>
      <c r="E527" s="64" t="str">
        <f>IFERROR(__xludf.DUMMYFUNCTION("""COMPUTED_VALUE"""),"CONSIGNACIÓN")</f>
        <v>CONSIGNACIÓN</v>
      </c>
      <c r="F527" s="64" t="str">
        <f>IFERROR(__xludf.DUMMYFUNCTION("""COMPUTED_VALUE"""),"DERRAME")</f>
        <v>DERRAME</v>
      </c>
      <c r="G527" s="64" t="str">
        <f>IFERROR(__xludf.DUMMYFUNCTION("""COMPUTED_VALUE"""),"CALENTAMIENTO")</f>
        <v>CALENTAMIENTO</v>
      </c>
      <c r="H527" s="64" t="str">
        <f>IFERROR(__xludf.DUMMYFUNCTION("""COMPUTED_VALUE"""),"ESCOLTANDO")</f>
        <v>ESCOLTANDO</v>
      </c>
      <c r="I527" s="64" t="str">
        <f>IFERROR(__xludf.DUMMYFUNCTION("""COMPUTED_VALUE"""),"FALTA DE COMBUSTIBLE")</f>
        <v>FALTA DE COMBUSTIBLE</v>
      </c>
      <c r="J527" s="64" t="str">
        <f>IFERROR(__xludf.DUMMYFUNCTION("""COMPUTED_VALUE"""),"DESPERFECTOS MECÁNICOS")</f>
        <v>DESPERFECTOS MECÁNICOS</v>
      </c>
      <c r="K527" s="64" t="str">
        <f>IFERROR(__xludf.DUMMYFUNCTION("""COMPUTED_VALUE"""),"LLAMADA DE ATENCIÓN")</f>
        <v>LLAMADA DE ATENCIÓN</v>
      </c>
      <c r="L527" s="64" t="str">
        <f>IFERROR(__xludf.DUMMYFUNCTION("""COMPUTED_VALUE"""),"OPERATIVOS")</f>
        <v>OPERATIVOS</v>
      </c>
      <c r="M527" s="64" t="str">
        <f>IFERROR(__xludf.DUMMYFUNCTION("""COMPUTED_VALUE"""),"SANCIÓN")</f>
        <v>SANCIÓN</v>
      </c>
      <c r="N527" s="64" t="str">
        <f>IFERROR(__xludf.DUMMYFUNCTION("""COMPUTED_VALUE"""),"SISTEMA ELECTRICO")</f>
        <v>SISTEMA ELECTRICO</v>
      </c>
      <c r="O527" s="64" t="str">
        <f>IFERROR(__xludf.DUMMYFUNCTION("""COMPUTED_VALUE"""),"ASISTENCIA AL USUARIO")</f>
        <v>ASISTENCIA AL USUARIO</v>
      </c>
      <c r="P527" s="64" t="str">
        <f>IFERROR(__xludf.DUMMYFUNCTION("""COMPUTED_VALUE"""),"DOBLE REMOLQUE")</f>
        <v>DOBLE REMOLQUE</v>
      </c>
      <c r="Q527" s="64" t="str">
        <f>IFERROR(__xludf.DUMMYFUNCTION("""COMPUTED_VALUE"""),"SINAPRESE")</f>
        <v>SINAPRESE</v>
      </c>
      <c r="R527" s="64" t="str">
        <f>IFERROR(__xludf.DUMMYFUNCTION("""COMPUTED_VALUE"""),"APOYO ATLETISMO")</f>
        <v>APOYO ATLETISMO</v>
      </c>
      <c r="S527" s="64" t="str">
        <f>IFERROR(__xludf.DUMMYFUNCTION("""COMPUTED_VALUE"""),"APOYO A CICLISMO")</f>
        <v>APOYO A CICLISMO</v>
      </c>
      <c r="T527" s="64" t="str">
        <f>IFERROR(__xludf.DUMMYFUNCTION("""COMPUTED_VALUE"""),"DESCARGA DE BATERÍA")</f>
        <v>DESCARGA DE BATERÍA</v>
      </c>
      <c r="U527" s="64" t="str">
        <f>IFERROR(__xludf.DUMMYFUNCTION("""COMPUTED_VALUE"""),"PROBLEMAS DE SALUD")</f>
        <v>PROBLEMAS DE SALUD</v>
      </c>
      <c r="V527" s="64" t="str">
        <f>IFERROR(__xludf.DUMMYFUNCTION("""COMPUTED_VALUE"""),"OLVIDO LA LLAVE")</f>
        <v>OLVIDO LA LLAVE</v>
      </c>
      <c r="W527" s="64" t="str">
        <f>IFERROR(__xludf.DUMMYFUNCTION("""COMPUTED_VALUE"""),"CARGA SOBREDIMENSIONADA")</f>
        <v>CARGA SOBREDIMENSIONADA</v>
      </c>
      <c r="X527" s="64" t="str">
        <f>IFERROR(__xludf.DUMMYFUNCTION("""COMPUTED_VALUE"""),"VEHÍCULO ABANDONADO")</f>
        <v>VEHÍCULO ABANDONADO</v>
      </c>
      <c r="Y527" s="64" t="str">
        <f>IFERROR(__xludf.DUMMYFUNCTION("""COMPUTED_VALUE"""),"DESPRENDIMIENTO")</f>
        <v>DESPRENDIMIENTO</v>
      </c>
      <c r="Z527" s="64" t="str">
        <f>IFERROR(__xludf.DUMMYFUNCTION("""COMPUTED_VALUE"""),"CAÍDA DE POSTE")</f>
        <v>CAÍDA DE POSTE</v>
      </c>
      <c r="AA527" s="64" t="str">
        <f>IFERROR(__xludf.DUMMYFUNCTION("""COMPUTED_VALUE"""),"CAÍDA DE RAMA")</f>
        <v>CAÍDA DE RAMA</v>
      </c>
      <c r="AB527" s="64" t="str">
        <f>IFERROR(__xludf.DUMMYFUNCTION("""COMPUTED_VALUE"""),"OPERATIVO DGT")</f>
        <v>OPERATIVO DGT</v>
      </c>
      <c r="AC527" s="64" t="str">
        <f>IFERROR(__xludf.DUMMYFUNCTION("""COMPUTED_VALUE"""),"OPERATIVO PMT")</f>
        <v>OPERATIVO PMT</v>
      </c>
      <c r="AD527" s="64" t="str">
        <f>IFERROR(__xludf.DUMMYFUNCTION("""COMPUTED_VALUE"""),"APOYO A DIGEF")</f>
        <v>APOYO A DIGEF</v>
      </c>
      <c r="AE527" s="64" t="str">
        <f>IFERROR(__xludf.DUMMYFUNCTION("""COMPUTED_VALUE"""),"OPERATIVO PNC TRANSITO")</f>
        <v>OPERATIVO PNC TRANSITO</v>
      </c>
      <c r="AF527" s="64" t="str">
        <f>IFERROR(__xludf.DUMMYFUNCTION("""COMPUTED_VALUE"""),"SOBRECARGA ")</f>
        <v>SOBRECARGA </v>
      </c>
      <c r="AG527" s="64" t="str">
        <f>IFERROR(__xludf.DUMMYFUNCTION("""COMPUTED_VALUE"""),"OPERATIVO EN CONJUNTO")</f>
        <v>OPERATIVO EN CONJUNTO</v>
      </c>
      <c r="AH527" s="64" t="str">
        <f>IFERROR(__xludf.DUMMYFUNCTION("""COMPUTED_VALUE"""),"PUESTO DE ATENCION AL USUARIO")</f>
        <v>PUESTO DE ATENCION AL USUARIO</v>
      </c>
      <c r="AI527" s="64" t="str">
        <f>IFERROR(__xludf.DUMMYFUNCTION("""COMPUTED_VALUE"""),"INCENDIO EN RUTA")</f>
        <v>INCENDIO EN RUTA</v>
      </c>
      <c r="AJ527" s="64" t="str">
        <f>IFERROR(__xludf.DUMMYFUNCTION("""COMPUTED_VALUE"""),"APOYO ANTORCHA ")</f>
        <v>APOYO ANTORCHA </v>
      </c>
    </row>
    <row r="528">
      <c r="B528" s="64" t="s">
        <v>54</v>
      </c>
      <c r="C528" s="64" t="str">
        <f>IFERROR(__xludf.DUMMYFUNCTION(" TRANSPOSE( unique ( QUERY(DATOPRO,""select Col2 where Col1 = '""&amp;B528&amp;""'"")))"),"PINCHAZO")</f>
        <v>PINCHAZO</v>
      </c>
      <c r="D528" s="64" t="str">
        <f>IFERROR(__xludf.DUMMYFUNCTION("""COMPUTED_VALUE"""),"TRABAJOS DE CARRETERA")</f>
        <v>TRABAJOS DE CARRETERA</v>
      </c>
      <c r="E528" s="64" t="str">
        <f>IFERROR(__xludf.DUMMYFUNCTION("""COMPUTED_VALUE"""),"CONSIGNACIÓN")</f>
        <v>CONSIGNACIÓN</v>
      </c>
      <c r="F528" s="64" t="str">
        <f>IFERROR(__xludf.DUMMYFUNCTION("""COMPUTED_VALUE"""),"DERRAME")</f>
        <v>DERRAME</v>
      </c>
      <c r="G528" s="64" t="str">
        <f>IFERROR(__xludf.DUMMYFUNCTION("""COMPUTED_VALUE"""),"CALENTAMIENTO")</f>
        <v>CALENTAMIENTO</v>
      </c>
      <c r="H528" s="64" t="str">
        <f>IFERROR(__xludf.DUMMYFUNCTION("""COMPUTED_VALUE"""),"ESCOLTANDO")</f>
        <v>ESCOLTANDO</v>
      </c>
      <c r="I528" s="64" t="str">
        <f>IFERROR(__xludf.DUMMYFUNCTION("""COMPUTED_VALUE"""),"FALTA DE COMBUSTIBLE")</f>
        <v>FALTA DE COMBUSTIBLE</v>
      </c>
      <c r="J528" s="64" t="str">
        <f>IFERROR(__xludf.DUMMYFUNCTION("""COMPUTED_VALUE"""),"DESPERFECTOS MECÁNICOS")</f>
        <v>DESPERFECTOS MECÁNICOS</v>
      </c>
      <c r="K528" s="64" t="str">
        <f>IFERROR(__xludf.DUMMYFUNCTION("""COMPUTED_VALUE"""),"LLAMADA DE ATENCIÓN")</f>
        <v>LLAMADA DE ATENCIÓN</v>
      </c>
      <c r="L528" s="64" t="str">
        <f>IFERROR(__xludf.DUMMYFUNCTION("""COMPUTED_VALUE"""),"OPERATIVOS")</f>
        <v>OPERATIVOS</v>
      </c>
      <c r="M528" s="64" t="str">
        <f>IFERROR(__xludf.DUMMYFUNCTION("""COMPUTED_VALUE"""),"SANCIÓN")</f>
        <v>SANCIÓN</v>
      </c>
      <c r="N528" s="64" t="str">
        <f>IFERROR(__xludf.DUMMYFUNCTION("""COMPUTED_VALUE"""),"SISTEMA ELECTRICO")</f>
        <v>SISTEMA ELECTRICO</v>
      </c>
      <c r="O528" s="64" t="str">
        <f>IFERROR(__xludf.DUMMYFUNCTION("""COMPUTED_VALUE"""),"ASISTENCIA AL USUARIO")</f>
        <v>ASISTENCIA AL USUARIO</v>
      </c>
      <c r="P528" s="64" t="str">
        <f>IFERROR(__xludf.DUMMYFUNCTION("""COMPUTED_VALUE"""),"DOBLE REMOLQUE")</f>
        <v>DOBLE REMOLQUE</v>
      </c>
      <c r="Q528" s="64" t="str">
        <f>IFERROR(__xludf.DUMMYFUNCTION("""COMPUTED_VALUE"""),"SINAPRESE")</f>
        <v>SINAPRESE</v>
      </c>
      <c r="R528" s="64" t="str">
        <f>IFERROR(__xludf.DUMMYFUNCTION("""COMPUTED_VALUE"""),"APOYO ATLETISMO")</f>
        <v>APOYO ATLETISMO</v>
      </c>
      <c r="S528" s="64" t="str">
        <f>IFERROR(__xludf.DUMMYFUNCTION("""COMPUTED_VALUE"""),"APOYO A CICLISMO")</f>
        <v>APOYO A CICLISMO</v>
      </c>
      <c r="T528" s="64" t="str">
        <f>IFERROR(__xludf.DUMMYFUNCTION("""COMPUTED_VALUE"""),"DESCARGA DE BATERÍA")</f>
        <v>DESCARGA DE BATERÍA</v>
      </c>
      <c r="U528" s="64" t="str">
        <f>IFERROR(__xludf.DUMMYFUNCTION("""COMPUTED_VALUE"""),"PROBLEMAS DE SALUD")</f>
        <v>PROBLEMAS DE SALUD</v>
      </c>
      <c r="V528" s="64" t="str">
        <f>IFERROR(__xludf.DUMMYFUNCTION("""COMPUTED_VALUE"""),"OLVIDO LA LLAVE")</f>
        <v>OLVIDO LA LLAVE</v>
      </c>
      <c r="W528" s="64" t="str">
        <f>IFERROR(__xludf.DUMMYFUNCTION("""COMPUTED_VALUE"""),"CARGA SOBREDIMENSIONADA")</f>
        <v>CARGA SOBREDIMENSIONADA</v>
      </c>
      <c r="X528" s="64" t="str">
        <f>IFERROR(__xludf.DUMMYFUNCTION("""COMPUTED_VALUE"""),"VEHÍCULO ABANDONADO")</f>
        <v>VEHÍCULO ABANDONADO</v>
      </c>
      <c r="Y528" s="64" t="str">
        <f>IFERROR(__xludf.DUMMYFUNCTION("""COMPUTED_VALUE"""),"DESPRENDIMIENTO")</f>
        <v>DESPRENDIMIENTO</v>
      </c>
      <c r="Z528" s="64" t="str">
        <f>IFERROR(__xludf.DUMMYFUNCTION("""COMPUTED_VALUE"""),"CAÍDA DE POSTE")</f>
        <v>CAÍDA DE POSTE</v>
      </c>
      <c r="AA528" s="64" t="str">
        <f>IFERROR(__xludf.DUMMYFUNCTION("""COMPUTED_VALUE"""),"CAÍDA DE RAMA")</f>
        <v>CAÍDA DE RAMA</v>
      </c>
      <c r="AB528" s="64" t="str">
        <f>IFERROR(__xludf.DUMMYFUNCTION("""COMPUTED_VALUE"""),"OPERATIVO DGT")</f>
        <v>OPERATIVO DGT</v>
      </c>
      <c r="AC528" s="64" t="str">
        <f>IFERROR(__xludf.DUMMYFUNCTION("""COMPUTED_VALUE"""),"OPERATIVO PMT")</f>
        <v>OPERATIVO PMT</v>
      </c>
      <c r="AD528" s="64" t="str">
        <f>IFERROR(__xludf.DUMMYFUNCTION("""COMPUTED_VALUE"""),"APOYO A DIGEF")</f>
        <v>APOYO A DIGEF</v>
      </c>
      <c r="AE528" s="64" t="str">
        <f>IFERROR(__xludf.DUMMYFUNCTION("""COMPUTED_VALUE"""),"OPERATIVO PNC TRANSITO")</f>
        <v>OPERATIVO PNC TRANSITO</v>
      </c>
      <c r="AF528" s="64" t="str">
        <f>IFERROR(__xludf.DUMMYFUNCTION("""COMPUTED_VALUE"""),"SOBRECARGA ")</f>
        <v>SOBRECARGA </v>
      </c>
      <c r="AG528" s="64" t="str">
        <f>IFERROR(__xludf.DUMMYFUNCTION("""COMPUTED_VALUE"""),"OPERATIVO EN CONJUNTO")</f>
        <v>OPERATIVO EN CONJUNTO</v>
      </c>
      <c r="AH528" s="64" t="str">
        <f>IFERROR(__xludf.DUMMYFUNCTION("""COMPUTED_VALUE"""),"PUESTO DE ATENCION AL USUARIO")</f>
        <v>PUESTO DE ATENCION AL USUARIO</v>
      </c>
      <c r="AI528" s="64" t="str">
        <f>IFERROR(__xludf.DUMMYFUNCTION("""COMPUTED_VALUE"""),"INCENDIO EN RUTA")</f>
        <v>INCENDIO EN RUTA</v>
      </c>
      <c r="AJ528" s="64" t="str">
        <f>IFERROR(__xludf.DUMMYFUNCTION("""COMPUTED_VALUE"""),"APOYO ANTORCHA ")</f>
        <v>APOYO ANTORCHA </v>
      </c>
    </row>
    <row r="529">
      <c r="B529" s="64" t="s">
        <v>54</v>
      </c>
      <c r="C529" s="64" t="str">
        <f>IFERROR(__xludf.DUMMYFUNCTION(" TRANSPOSE( unique ( QUERY(DATOPRO,""select Col2 where Col1 = '""&amp;B529&amp;""'"")))"),"PINCHAZO")</f>
        <v>PINCHAZO</v>
      </c>
      <c r="D529" s="64" t="str">
        <f>IFERROR(__xludf.DUMMYFUNCTION("""COMPUTED_VALUE"""),"TRABAJOS DE CARRETERA")</f>
        <v>TRABAJOS DE CARRETERA</v>
      </c>
      <c r="E529" s="64" t="str">
        <f>IFERROR(__xludf.DUMMYFUNCTION("""COMPUTED_VALUE"""),"CONSIGNACIÓN")</f>
        <v>CONSIGNACIÓN</v>
      </c>
      <c r="F529" s="64" t="str">
        <f>IFERROR(__xludf.DUMMYFUNCTION("""COMPUTED_VALUE"""),"DERRAME")</f>
        <v>DERRAME</v>
      </c>
      <c r="G529" s="64" t="str">
        <f>IFERROR(__xludf.DUMMYFUNCTION("""COMPUTED_VALUE"""),"CALENTAMIENTO")</f>
        <v>CALENTAMIENTO</v>
      </c>
      <c r="H529" s="64" t="str">
        <f>IFERROR(__xludf.DUMMYFUNCTION("""COMPUTED_VALUE"""),"ESCOLTANDO")</f>
        <v>ESCOLTANDO</v>
      </c>
      <c r="I529" s="64" t="str">
        <f>IFERROR(__xludf.DUMMYFUNCTION("""COMPUTED_VALUE"""),"FALTA DE COMBUSTIBLE")</f>
        <v>FALTA DE COMBUSTIBLE</v>
      </c>
      <c r="J529" s="64" t="str">
        <f>IFERROR(__xludf.DUMMYFUNCTION("""COMPUTED_VALUE"""),"DESPERFECTOS MECÁNICOS")</f>
        <v>DESPERFECTOS MECÁNICOS</v>
      </c>
      <c r="K529" s="64" t="str">
        <f>IFERROR(__xludf.DUMMYFUNCTION("""COMPUTED_VALUE"""),"LLAMADA DE ATENCIÓN")</f>
        <v>LLAMADA DE ATENCIÓN</v>
      </c>
      <c r="L529" s="64" t="str">
        <f>IFERROR(__xludf.DUMMYFUNCTION("""COMPUTED_VALUE"""),"OPERATIVOS")</f>
        <v>OPERATIVOS</v>
      </c>
      <c r="M529" s="64" t="str">
        <f>IFERROR(__xludf.DUMMYFUNCTION("""COMPUTED_VALUE"""),"SANCIÓN")</f>
        <v>SANCIÓN</v>
      </c>
      <c r="N529" s="64" t="str">
        <f>IFERROR(__xludf.DUMMYFUNCTION("""COMPUTED_VALUE"""),"SISTEMA ELECTRICO")</f>
        <v>SISTEMA ELECTRICO</v>
      </c>
      <c r="O529" s="64" t="str">
        <f>IFERROR(__xludf.DUMMYFUNCTION("""COMPUTED_VALUE"""),"ASISTENCIA AL USUARIO")</f>
        <v>ASISTENCIA AL USUARIO</v>
      </c>
      <c r="P529" s="64" t="str">
        <f>IFERROR(__xludf.DUMMYFUNCTION("""COMPUTED_VALUE"""),"DOBLE REMOLQUE")</f>
        <v>DOBLE REMOLQUE</v>
      </c>
      <c r="Q529" s="64" t="str">
        <f>IFERROR(__xludf.DUMMYFUNCTION("""COMPUTED_VALUE"""),"SINAPRESE")</f>
        <v>SINAPRESE</v>
      </c>
      <c r="R529" s="64" t="str">
        <f>IFERROR(__xludf.DUMMYFUNCTION("""COMPUTED_VALUE"""),"APOYO ATLETISMO")</f>
        <v>APOYO ATLETISMO</v>
      </c>
      <c r="S529" s="64" t="str">
        <f>IFERROR(__xludf.DUMMYFUNCTION("""COMPUTED_VALUE"""),"APOYO A CICLISMO")</f>
        <v>APOYO A CICLISMO</v>
      </c>
      <c r="T529" s="64" t="str">
        <f>IFERROR(__xludf.DUMMYFUNCTION("""COMPUTED_VALUE"""),"DESCARGA DE BATERÍA")</f>
        <v>DESCARGA DE BATERÍA</v>
      </c>
      <c r="U529" s="64" t="str">
        <f>IFERROR(__xludf.DUMMYFUNCTION("""COMPUTED_VALUE"""),"PROBLEMAS DE SALUD")</f>
        <v>PROBLEMAS DE SALUD</v>
      </c>
      <c r="V529" s="64" t="str">
        <f>IFERROR(__xludf.DUMMYFUNCTION("""COMPUTED_VALUE"""),"OLVIDO LA LLAVE")</f>
        <v>OLVIDO LA LLAVE</v>
      </c>
      <c r="W529" s="64" t="str">
        <f>IFERROR(__xludf.DUMMYFUNCTION("""COMPUTED_VALUE"""),"CARGA SOBREDIMENSIONADA")</f>
        <v>CARGA SOBREDIMENSIONADA</v>
      </c>
      <c r="X529" s="64" t="str">
        <f>IFERROR(__xludf.DUMMYFUNCTION("""COMPUTED_VALUE"""),"VEHÍCULO ABANDONADO")</f>
        <v>VEHÍCULO ABANDONADO</v>
      </c>
      <c r="Y529" s="64" t="str">
        <f>IFERROR(__xludf.DUMMYFUNCTION("""COMPUTED_VALUE"""),"DESPRENDIMIENTO")</f>
        <v>DESPRENDIMIENTO</v>
      </c>
      <c r="Z529" s="64" t="str">
        <f>IFERROR(__xludf.DUMMYFUNCTION("""COMPUTED_VALUE"""),"CAÍDA DE POSTE")</f>
        <v>CAÍDA DE POSTE</v>
      </c>
      <c r="AA529" s="64" t="str">
        <f>IFERROR(__xludf.DUMMYFUNCTION("""COMPUTED_VALUE"""),"CAÍDA DE RAMA")</f>
        <v>CAÍDA DE RAMA</v>
      </c>
      <c r="AB529" s="64" t="str">
        <f>IFERROR(__xludf.DUMMYFUNCTION("""COMPUTED_VALUE"""),"OPERATIVO DGT")</f>
        <v>OPERATIVO DGT</v>
      </c>
      <c r="AC529" s="64" t="str">
        <f>IFERROR(__xludf.DUMMYFUNCTION("""COMPUTED_VALUE"""),"OPERATIVO PMT")</f>
        <v>OPERATIVO PMT</v>
      </c>
      <c r="AD529" s="64" t="str">
        <f>IFERROR(__xludf.DUMMYFUNCTION("""COMPUTED_VALUE"""),"APOYO A DIGEF")</f>
        <v>APOYO A DIGEF</v>
      </c>
      <c r="AE529" s="64" t="str">
        <f>IFERROR(__xludf.DUMMYFUNCTION("""COMPUTED_VALUE"""),"OPERATIVO PNC TRANSITO")</f>
        <v>OPERATIVO PNC TRANSITO</v>
      </c>
      <c r="AF529" s="64" t="str">
        <f>IFERROR(__xludf.DUMMYFUNCTION("""COMPUTED_VALUE"""),"SOBRECARGA ")</f>
        <v>SOBRECARGA </v>
      </c>
      <c r="AG529" s="64" t="str">
        <f>IFERROR(__xludf.DUMMYFUNCTION("""COMPUTED_VALUE"""),"OPERATIVO EN CONJUNTO")</f>
        <v>OPERATIVO EN CONJUNTO</v>
      </c>
      <c r="AH529" s="64" t="str">
        <f>IFERROR(__xludf.DUMMYFUNCTION("""COMPUTED_VALUE"""),"PUESTO DE ATENCION AL USUARIO")</f>
        <v>PUESTO DE ATENCION AL USUARIO</v>
      </c>
      <c r="AI529" s="64" t="str">
        <f>IFERROR(__xludf.DUMMYFUNCTION("""COMPUTED_VALUE"""),"INCENDIO EN RUTA")</f>
        <v>INCENDIO EN RUTA</v>
      </c>
      <c r="AJ529" s="64" t="str">
        <f>IFERROR(__xludf.DUMMYFUNCTION("""COMPUTED_VALUE"""),"APOYO ANTORCHA ")</f>
        <v>APOYO ANTORCHA </v>
      </c>
    </row>
    <row r="530">
      <c r="B530" s="64" t="s">
        <v>54</v>
      </c>
      <c r="C530" s="64" t="str">
        <f>IFERROR(__xludf.DUMMYFUNCTION(" TRANSPOSE( unique ( QUERY(DATOPRO,""select Col2 where Col1 = '""&amp;B530&amp;""'"")))"),"PINCHAZO")</f>
        <v>PINCHAZO</v>
      </c>
      <c r="D530" s="64" t="str">
        <f>IFERROR(__xludf.DUMMYFUNCTION("""COMPUTED_VALUE"""),"TRABAJOS DE CARRETERA")</f>
        <v>TRABAJOS DE CARRETERA</v>
      </c>
      <c r="E530" s="64" t="str">
        <f>IFERROR(__xludf.DUMMYFUNCTION("""COMPUTED_VALUE"""),"CONSIGNACIÓN")</f>
        <v>CONSIGNACIÓN</v>
      </c>
      <c r="F530" s="64" t="str">
        <f>IFERROR(__xludf.DUMMYFUNCTION("""COMPUTED_VALUE"""),"DERRAME")</f>
        <v>DERRAME</v>
      </c>
      <c r="G530" s="64" t="str">
        <f>IFERROR(__xludf.DUMMYFUNCTION("""COMPUTED_VALUE"""),"CALENTAMIENTO")</f>
        <v>CALENTAMIENTO</v>
      </c>
      <c r="H530" s="64" t="str">
        <f>IFERROR(__xludf.DUMMYFUNCTION("""COMPUTED_VALUE"""),"ESCOLTANDO")</f>
        <v>ESCOLTANDO</v>
      </c>
      <c r="I530" s="64" t="str">
        <f>IFERROR(__xludf.DUMMYFUNCTION("""COMPUTED_VALUE"""),"FALTA DE COMBUSTIBLE")</f>
        <v>FALTA DE COMBUSTIBLE</v>
      </c>
      <c r="J530" s="64" t="str">
        <f>IFERROR(__xludf.DUMMYFUNCTION("""COMPUTED_VALUE"""),"DESPERFECTOS MECÁNICOS")</f>
        <v>DESPERFECTOS MECÁNICOS</v>
      </c>
      <c r="K530" s="64" t="str">
        <f>IFERROR(__xludf.DUMMYFUNCTION("""COMPUTED_VALUE"""),"LLAMADA DE ATENCIÓN")</f>
        <v>LLAMADA DE ATENCIÓN</v>
      </c>
      <c r="L530" s="64" t="str">
        <f>IFERROR(__xludf.DUMMYFUNCTION("""COMPUTED_VALUE"""),"OPERATIVOS")</f>
        <v>OPERATIVOS</v>
      </c>
      <c r="M530" s="64" t="str">
        <f>IFERROR(__xludf.DUMMYFUNCTION("""COMPUTED_VALUE"""),"SANCIÓN")</f>
        <v>SANCIÓN</v>
      </c>
      <c r="N530" s="64" t="str">
        <f>IFERROR(__xludf.DUMMYFUNCTION("""COMPUTED_VALUE"""),"SISTEMA ELECTRICO")</f>
        <v>SISTEMA ELECTRICO</v>
      </c>
      <c r="O530" s="64" t="str">
        <f>IFERROR(__xludf.DUMMYFUNCTION("""COMPUTED_VALUE"""),"ASISTENCIA AL USUARIO")</f>
        <v>ASISTENCIA AL USUARIO</v>
      </c>
      <c r="P530" s="64" t="str">
        <f>IFERROR(__xludf.DUMMYFUNCTION("""COMPUTED_VALUE"""),"DOBLE REMOLQUE")</f>
        <v>DOBLE REMOLQUE</v>
      </c>
      <c r="Q530" s="64" t="str">
        <f>IFERROR(__xludf.DUMMYFUNCTION("""COMPUTED_VALUE"""),"SINAPRESE")</f>
        <v>SINAPRESE</v>
      </c>
      <c r="R530" s="64" t="str">
        <f>IFERROR(__xludf.DUMMYFUNCTION("""COMPUTED_VALUE"""),"APOYO ATLETISMO")</f>
        <v>APOYO ATLETISMO</v>
      </c>
      <c r="S530" s="64" t="str">
        <f>IFERROR(__xludf.DUMMYFUNCTION("""COMPUTED_VALUE"""),"APOYO A CICLISMO")</f>
        <v>APOYO A CICLISMO</v>
      </c>
      <c r="T530" s="64" t="str">
        <f>IFERROR(__xludf.DUMMYFUNCTION("""COMPUTED_VALUE"""),"DESCARGA DE BATERÍA")</f>
        <v>DESCARGA DE BATERÍA</v>
      </c>
      <c r="U530" s="64" t="str">
        <f>IFERROR(__xludf.DUMMYFUNCTION("""COMPUTED_VALUE"""),"PROBLEMAS DE SALUD")</f>
        <v>PROBLEMAS DE SALUD</v>
      </c>
      <c r="V530" s="64" t="str">
        <f>IFERROR(__xludf.DUMMYFUNCTION("""COMPUTED_VALUE"""),"OLVIDO LA LLAVE")</f>
        <v>OLVIDO LA LLAVE</v>
      </c>
      <c r="W530" s="64" t="str">
        <f>IFERROR(__xludf.DUMMYFUNCTION("""COMPUTED_VALUE"""),"CARGA SOBREDIMENSIONADA")</f>
        <v>CARGA SOBREDIMENSIONADA</v>
      </c>
      <c r="X530" s="64" t="str">
        <f>IFERROR(__xludf.DUMMYFUNCTION("""COMPUTED_VALUE"""),"VEHÍCULO ABANDONADO")</f>
        <v>VEHÍCULO ABANDONADO</v>
      </c>
      <c r="Y530" s="64" t="str">
        <f>IFERROR(__xludf.DUMMYFUNCTION("""COMPUTED_VALUE"""),"DESPRENDIMIENTO")</f>
        <v>DESPRENDIMIENTO</v>
      </c>
      <c r="Z530" s="64" t="str">
        <f>IFERROR(__xludf.DUMMYFUNCTION("""COMPUTED_VALUE"""),"CAÍDA DE POSTE")</f>
        <v>CAÍDA DE POSTE</v>
      </c>
      <c r="AA530" s="64" t="str">
        <f>IFERROR(__xludf.DUMMYFUNCTION("""COMPUTED_VALUE"""),"CAÍDA DE RAMA")</f>
        <v>CAÍDA DE RAMA</v>
      </c>
      <c r="AB530" s="64" t="str">
        <f>IFERROR(__xludf.DUMMYFUNCTION("""COMPUTED_VALUE"""),"OPERATIVO DGT")</f>
        <v>OPERATIVO DGT</v>
      </c>
      <c r="AC530" s="64" t="str">
        <f>IFERROR(__xludf.DUMMYFUNCTION("""COMPUTED_VALUE"""),"OPERATIVO PMT")</f>
        <v>OPERATIVO PMT</v>
      </c>
      <c r="AD530" s="64" t="str">
        <f>IFERROR(__xludf.DUMMYFUNCTION("""COMPUTED_VALUE"""),"APOYO A DIGEF")</f>
        <v>APOYO A DIGEF</v>
      </c>
      <c r="AE530" s="64" t="str">
        <f>IFERROR(__xludf.DUMMYFUNCTION("""COMPUTED_VALUE"""),"OPERATIVO PNC TRANSITO")</f>
        <v>OPERATIVO PNC TRANSITO</v>
      </c>
      <c r="AF530" s="64" t="str">
        <f>IFERROR(__xludf.DUMMYFUNCTION("""COMPUTED_VALUE"""),"SOBRECARGA ")</f>
        <v>SOBRECARGA </v>
      </c>
      <c r="AG530" s="64" t="str">
        <f>IFERROR(__xludf.DUMMYFUNCTION("""COMPUTED_VALUE"""),"OPERATIVO EN CONJUNTO")</f>
        <v>OPERATIVO EN CONJUNTO</v>
      </c>
      <c r="AH530" s="64" t="str">
        <f>IFERROR(__xludf.DUMMYFUNCTION("""COMPUTED_VALUE"""),"PUESTO DE ATENCION AL USUARIO")</f>
        <v>PUESTO DE ATENCION AL USUARIO</v>
      </c>
      <c r="AI530" s="64" t="str">
        <f>IFERROR(__xludf.DUMMYFUNCTION("""COMPUTED_VALUE"""),"INCENDIO EN RUTA")</f>
        <v>INCENDIO EN RUTA</v>
      </c>
      <c r="AJ530" s="64" t="str">
        <f>IFERROR(__xludf.DUMMYFUNCTION("""COMPUTED_VALUE"""),"APOYO ANTORCHA ")</f>
        <v>APOYO ANTORCHA </v>
      </c>
    </row>
    <row r="531">
      <c r="B531" s="64" t="s">
        <v>54</v>
      </c>
      <c r="C531" s="64" t="str">
        <f>IFERROR(__xludf.DUMMYFUNCTION(" TRANSPOSE( unique ( QUERY(DATOPRO,""select Col2 where Col1 = '""&amp;B531&amp;""'"")))"),"PINCHAZO")</f>
        <v>PINCHAZO</v>
      </c>
      <c r="D531" s="64" t="str">
        <f>IFERROR(__xludf.DUMMYFUNCTION("""COMPUTED_VALUE"""),"TRABAJOS DE CARRETERA")</f>
        <v>TRABAJOS DE CARRETERA</v>
      </c>
      <c r="E531" s="64" t="str">
        <f>IFERROR(__xludf.DUMMYFUNCTION("""COMPUTED_VALUE"""),"CONSIGNACIÓN")</f>
        <v>CONSIGNACIÓN</v>
      </c>
      <c r="F531" s="64" t="str">
        <f>IFERROR(__xludf.DUMMYFUNCTION("""COMPUTED_VALUE"""),"DERRAME")</f>
        <v>DERRAME</v>
      </c>
      <c r="G531" s="64" t="str">
        <f>IFERROR(__xludf.DUMMYFUNCTION("""COMPUTED_VALUE"""),"CALENTAMIENTO")</f>
        <v>CALENTAMIENTO</v>
      </c>
      <c r="H531" s="64" t="str">
        <f>IFERROR(__xludf.DUMMYFUNCTION("""COMPUTED_VALUE"""),"ESCOLTANDO")</f>
        <v>ESCOLTANDO</v>
      </c>
      <c r="I531" s="64" t="str">
        <f>IFERROR(__xludf.DUMMYFUNCTION("""COMPUTED_VALUE"""),"FALTA DE COMBUSTIBLE")</f>
        <v>FALTA DE COMBUSTIBLE</v>
      </c>
      <c r="J531" s="64" t="str">
        <f>IFERROR(__xludf.DUMMYFUNCTION("""COMPUTED_VALUE"""),"DESPERFECTOS MECÁNICOS")</f>
        <v>DESPERFECTOS MECÁNICOS</v>
      </c>
      <c r="K531" s="64" t="str">
        <f>IFERROR(__xludf.DUMMYFUNCTION("""COMPUTED_VALUE"""),"LLAMADA DE ATENCIÓN")</f>
        <v>LLAMADA DE ATENCIÓN</v>
      </c>
      <c r="L531" s="64" t="str">
        <f>IFERROR(__xludf.DUMMYFUNCTION("""COMPUTED_VALUE"""),"OPERATIVOS")</f>
        <v>OPERATIVOS</v>
      </c>
      <c r="M531" s="64" t="str">
        <f>IFERROR(__xludf.DUMMYFUNCTION("""COMPUTED_VALUE"""),"SANCIÓN")</f>
        <v>SANCIÓN</v>
      </c>
      <c r="N531" s="64" t="str">
        <f>IFERROR(__xludf.DUMMYFUNCTION("""COMPUTED_VALUE"""),"SISTEMA ELECTRICO")</f>
        <v>SISTEMA ELECTRICO</v>
      </c>
      <c r="O531" s="64" t="str">
        <f>IFERROR(__xludf.DUMMYFUNCTION("""COMPUTED_VALUE"""),"ASISTENCIA AL USUARIO")</f>
        <v>ASISTENCIA AL USUARIO</v>
      </c>
      <c r="P531" s="64" t="str">
        <f>IFERROR(__xludf.DUMMYFUNCTION("""COMPUTED_VALUE"""),"DOBLE REMOLQUE")</f>
        <v>DOBLE REMOLQUE</v>
      </c>
      <c r="Q531" s="64" t="str">
        <f>IFERROR(__xludf.DUMMYFUNCTION("""COMPUTED_VALUE"""),"SINAPRESE")</f>
        <v>SINAPRESE</v>
      </c>
      <c r="R531" s="64" t="str">
        <f>IFERROR(__xludf.DUMMYFUNCTION("""COMPUTED_VALUE"""),"APOYO ATLETISMO")</f>
        <v>APOYO ATLETISMO</v>
      </c>
      <c r="S531" s="64" t="str">
        <f>IFERROR(__xludf.DUMMYFUNCTION("""COMPUTED_VALUE"""),"APOYO A CICLISMO")</f>
        <v>APOYO A CICLISMO</v>
      </c>
      <c r="T531" s="64" t="str">
        <f>IFERROR(__xludf.DUMMYFUNCTION("""COMPUTED_VALUE"""),"DESCARGA DE BATERÍA")</f>
        <v>DESCARGA DE BATERÍA</v>
      </c>
      <c r="U531" s="64" t="str">
        <f>IFERROR(__xludf.DUMMYFUNCTION("""COMPUTED_VALUE"""),"PROBLEMAS DE SALUD")</f>
        <v>PROBLEMAS DE SALUD</v>
      </c>
      <c r="V531" s="64" t="str">
        <f>IFERROR(__xludf.DUMMYFUNCTION("""COMPUTED_VALUE"""),"OLVIDO LA LLAVE")</f>
        <v>OLVIDO LA LLAVE</v>
      </c>
      <c r="W531" s="64" t="str">
        <f>IFERROR(__xludf.DUMMYFUNCTION("""COMPUTED_VALUE"""),"CARGA SOBREDIMENSIONADA")</f>
        <v>CARGA SOBREDIMENSIONADA</v>
      </c>
      <c r="X531" s="64" t="str">
        <f>IFERROR(__xludf.DUMMYFUNCTION("""COMPUTED_VALUE"""),"VEHÍCULO ABANDONADO")</f>
        <v>VEHÍCULO ABANDONADO</v>
      </c>
      <c r="Y531" s="64" t="str">
        <f>IFERROR(__xludf.DUMMYFUNCTION("""COMPUTED_VALUE"""),"DESPRENDIMIENTO")</f>
        <v>DESPRENDIMIENTO</v>
      </c>
      <c r="Z531" s="64" t="str">
        <f>IFERROR(__xludf.DUMMYFUNCTION("""COMPUTED_VALUE"""),"CAÍDA DE POSTE")</f>
        <v>CAÍDA DE POSTE</v>
      </c>
      <c r="AA531" s="64" t="str">
        <f>IFERROR(__xludf.DUMMYFUNCTION("""COMPUTED_VALUE"""),"CAÍDA DE RAMA")</f>
        <v>CAÍDA DE RAMA</v>
      </c>
      <c r="AB531" s="64" t="str">
        <f>IFERROR(__xludf.DUMMYFUNCTION("""COMPUTED_VALUE"""),"OPERATIVO DGT")</f>
        <v>OPERATIVO DGT</v>
      </c>
      <c r="AC531" s="64" t="str">
        <f>IFERROR(__xludf.DUMMYFUNCTION("""COMPUTED_VALUE"""),"OPERATIVO PMT")</f>
        <v>OPERATIVO PMT</v>
      </c>
      <c r="AD531" s="64" t="str">
        <f>IFERROR(__xludf.DUMMYFUNCTION("""COMPUTED_VALUE"""),"APOYO A DIGEF")</f>
        <v>APOYO A DIGEF</v>
      </c>
      <c r="AE531" s="64" t="str">
        <f>IFERROR(__xludf.DUMMYFUNCTION("""COMPUTED_VALUE"""),"OPERATIVO PNC TRANSITO")</f>
        <v>OPERATIVO PNC TRANSITO</v>
      </c>
      <c r="AF531" s="64" t="str">
        <f>IFERROR(__xludf.DUMMYFUNCTION("""COMPUTED_VALUE"""),"SOBRECARGA ")</f>
        <v>SOBRECARGA </v>
      </c>
      <c r="AG531" s="64" t="str">
        <f>IFERROR(__xludf.DUMMYFUNCTION("""COMPUTED_VALUE"""),"OPERATIVO EN CONJUNTO")</f>
        <v>OPERATIVO EN CONJUNTO</v>
      </c>
      <c r="AH531" s="64" t="str">
        <f>IFERROR(__xludf.DUMMYFUNCTION("""COMPUTED_VALUE"""),"PUESTO DE ATENCION AL USUARIO")</f>
        <v>PUESTO DE ATENCION AL USUARIO</v>
      </c>
      <c r="AI531" s="64" t="str">
        <f>IFERROR(__xludf.DUMMYFUNCTION("""COMPUTED_VALUE"""),"INCENDIO EN RUTA")</f>
        <v>INCENDIO EN RUTA</v>
      </c>
      <c r="AJ531" s="64" t="str">
        <f>IFERROR(__xludf.DUMMYFUNCTION("""COMPUTED_VALUE"""),"APOYO ANTORCHA ")</f>
        <v>APOYO ANTORCHA </v>
      </c>
    </row>
    <row r="532">
      <c r="B532" s="64" t="s">
        <v>54</v>
      </c>
      <c r="C532" s="64" t="str">
        <f>IFERROR(__xludf.DUMMYFUNCTION(" TRANSPOSE( unique ( QUERY(DATOPRO,""select Col2 where Col1 = '""&amp;B532&amp;""'"")))"),"PINCHAZO")</f>
        <v>PINCHAZO</v>
      </c>
      <c r="D532" s="64" t="str">
        <f>IFERROR(__xludf.DUMMYFUNCTION("""COMPUTED_VALUE"""),"TRABAJOS DE CARRETERA")</f>
        <v>TRABAJOS DE CARRETERA</v>
      </c>
      <c r="E532" s="64" t="str">
        <f>IFERROR(__xludf.DUMMYFUNCTION("""COMPUTED_VALUE"""),"CONSIGNACIÓN")</f>
        <v>CONSIGNACIÓN</v>
      </c>
      <c r="F532" s="64" t="str">
        <f>IFERROR(__xludf.DUMMYFUNCTION("""COMPUTED_VALUE"""),"DERRAME")</f>
        <v>DERRAME</v>
      </c>
      <c r="G532" s="64" t="str">
        <f>IFERROR(__xludf.DUMMYFUNCTION("""COMPUTED_VALUE"""),"CALENTAMIENTO")</f>
        <v>CALENTAMIENTO</v>
      </c>
      <c r="H532" s="64" t="str">
        <f>IFERROR(__xludf.DUMMYFUNCTION("""COMPUTED_VALUE"""),"ESCOLTANDO")</f>
        <v>ESCOLTANDO</v>
      </c>
      <c r="I532" s="64" t="str">
        <f>IFERROR(__xludf.DUMMYFUNCTION("""COMPUTED_VALUE"""),"FALTA DE COMBUSTIBLE")</f>
        <v>FALTA DE COMBUSTIBLE</v>
      </c>
      <c r="J532" s="64" t="str">
        <f>IFERROR(__xludf.DUMMYFUNCTION("""COMPUTED_VALUE"""),"DESPERFECTOS MECÁNICOS")</f>
        <v>DESPERFECTOS MECÁNICOS</v>
      </c>
      <c r="K532" s="64" t="str">
        <f>IFERROR(__xludf.DUMMYFUNCTION("""COMPUTED_VALUE"""),"LLAMADA DE ATENCIÓN")</f>
        <v>LLAMADA DE ATENCIÓN</v>
      </c>
      <c r="L532" s="64" t="str">
        <f>IFERROR(__xludf.DUMMYFUNCTION("""COMPUTED_VALUE"""),"OPERATIVOS")</f>
        <v>OPERATIVOS</v>
      </c>
      <c r="M532" s="64" t="str">
        <f>IFERROR(__xludf.DUMMYFUNCTION("""COMPUTED_VALUE"""),"SANCIÓN")</f>
        <v>SANCIÓN</v>
      </c>
      <c r="N532" s="64" t="str">
        <f>IFERROR(__xludf.DUMMYFUNCTION("""COMPUTED_VALUE"""),"SISTEMA ELECTRICO")</f>
        <v>SISTEMA ELECTRICO</v>
      </c>
      <c r="O532" s="64" t="str">
        <f>IFERROR(__xludf.DUMMYFUNCTION("""COMPUTED_VALUE"""),"ASISTENCIA AL USUARIO")</f>
        <v>ASISTENCIA AL USUARIO</v>
      </c>
      <c r="P532" s="64" t="str">
        <f>IFERROR(__xludf.DUMMYFUNCTION("""COMPUTED_VALUE"""),"DOBLE REMOLQUE")</f>
        <v>DOBLE REMOLQUE</v>
      </c>
      <c r="Q532" s="64" t="str">
        <f>IFERROR(__xludf.DUMMYFUNCTION("""COMPUTED_VALUE"""),"SINAPRESE")</f>
        <v>SINAPRESE</v>
      </c>
      <c r="R532" s="64" t="str">
        <f>IFERROR(__xludf.DUMMYFUNCTION("""COMPUTED_VALUE"""),"APOYO ATLETISMO")</f>
        <v>APOYO ATLETISMO</v>
      </c>
      <c r="S532" s="64" t="str">
        <f>IFERROR(__xludf.DUMMYFUNCTION("""COMPUTED_VALUE"""),"APOYO A CICLISMO")</f>
        <v>APOYO A CICLISMO</v>
      </c>
      <c r="T532" s="64" t="str">
        <f>IFERROR(__xludf.DUMMYFUNCTION("""COMPUTED_VALUE"""),"DESCARGA DE BATERÍA")</f>
        <v>DESCARGA DE BATERÍA</v>
      </c>
      <c r="U532" s="64" t="str">
        <f>IFERROR(__xludf.DUMMYFUNCTION("""COMPUTED_VALUE"""),"PROBLEMAS DE SALUD")</f>
        <v>PROBLEMAS DE SALUD</v>
      </c>
      <c r="V532" s="64" t="str">
        <f>IFERROR(__xludf.DUMMYFUNCTION("""COMPUTED_VALUE"""),"OLVIDO LA LLAVE")</f>
        <v>OLVIDO LA LLAVE</v>
      </c>
      <c r="W532" s="64" t="str">
        <f>IFERROR(__xludf.DUMMYFUNCTION("""COMPUTED_VALUE"""),"CARGA SOBREDIMENSIONADA")</f>
        <v>CARGA SOBREDIMENSIONADA</v>
      </c>
      <c r="X532" s="64" t="str">
        <f>IFERROR(__xludf.DUMMYFUNCTION("""COMPUTED_VALUE"""),"VEHÍCULO ABANDONADO")</f>
        <v>VEHÍCULO ABANDONADO</v>
      </c>
      <c r="Y532" s="64" t="str">
        <f>IFERROR(__xludf.DUMMYFUNCTION("""COMPUTED_VALUE"""),"DESPRENDIMIENTO")</f>
        <v>DESPRENDIMIENTO</v>
      </c>
      <c r="Z532" s="64" t="str">
        <f>IFERROR(__xludf.DUMMYFUNCTION("""COMPUTED_VALUE"""),"CAÍDA DE POSTE")</f>
        <v>CAÍDA DE POSTE</v>
      </c>
      <c r="AA532" s="64" t="str">
        <f>IFERROR(__xludf.DUMMYFUNCTION("""COMPUTED_VALUE"""),"CAÍDA DE RAMA")</f>
        <v>CAÍDA DE RAMA</v>
      </c>
      <c r="AB532" s="64" t="str">
        <f>IFERROR(__xludf.DUMMYFUNCTION("""COMPUTED_VALUE"""),"OPERATIVO DGT")</f>
        <v>OPERATIVO DGT</v>
      </c>
      <c r="AC532" s="64" t="str">
        <f>IFERROR(__xludf.DUMMYFUNCTION("""COMPUTED_VALUE"""),"OPERATIVO PMT")</f>
        <v>OPERATIVO PMT</v>
      </c>
      <c r="AD532" s="64" t="str">
        <f>IFERROR(__xludf.DUMMYFUNCTION("""COMPUTED_VALUE"""),"APOYO A DIGEF")</f>
        <v>APOYO A DIGEF</v>
      </c>
      <c r="AE532" s="64" t="str">
        <f>IFERROR(__xludf.DUMMYFUNCTION("""COMPUTED_VALUE"""),"OPERATIVO PNC TRANSITO")</f>
        <v>OPERATIVO PNC TRANSITO</v>
      </c>
      <c r="AF532" s="64" t="str">
        <f>IFERROR(__xludf.DUMMYFUNCTION("""COMPUTED_VALUE"""),"SOBRECARGA ")</f>
        <v>SOBRECARGA </v>
      </c>
      <c r="AG532" s="64" t="str">
        <f>IFERROR(__xludf.DUMMYFUNCTION("""COMPUTED_VALUE"""),"OPERATIVO EN CONJUNTO")</f>
        <v>OPERATIVO EN CONJUNTO</v>
      </c>
      <c r="AH532" s="64" t="str">
        <f>IFERROR(__xludf.DUMMYFUNCTION("""COMPUTED_VALUE"""),"PUESTO DE ATENCION AL USUARIO")</f>
        <v>PUESTO DE ATENCION AL USUARIO</v>
      </c>
      <c r="AI532" s="64" t="str">
        <f>IFERROR(__xludf.DUMMYFUNCTION("""COMPUTED_VALUE"""),"INCENDIO EN RUTA")</f>
        <v>INCENDIO EN RUTA</v>
      </c>
      <c r="AJ532" s="64" t="str">
        <f>IFERROR(__xludf.DUMMYFUNCTION("""COMPUTED_VALUE"""),"APOYO ANTORCHA ")</f>
        <v>APOYO ANTORCHA </v>
      </c>
    </row>
    <row r="533">
      <c r="B533" s="64" t="s">
        <v>54</v>
      </c>
      <c r="C533" s="64" t="str">
        <f>IFERROR(__xludf.DUMMYFUNCTION(" TRANSPOSE( unique ( QUERY(DATOPRO,""select Col2 where Col1 = '""&amp;B533&amp;""'"")))"),"PINCHAZO")</f>
        <v>PINCHAZO</v>
      </c>
      <c r="D533" s="64" t="str">
        <f>IFERROR(__xludf.DUMMYFUNCTION("""COMPUTED_VALUE"""),"TRABAJOS DE CARRETERA")</f>
        <v>TRABAJOS DE CARRETERA</v>
      </c>
      <c r="E533" s="64" t="str">
        <f>IFERROR(__xludf.DUMMYFUNCTION("""COMPUTED_VALUE"""),"CONSIGNACIÓN")</f>
        <v>CONSIGNACIÓN</v>
      </c>
      <c r="F533" s="64" t="str">
        <f>IFERROR(__xludf.DUMMYFUNCTION("""COMPUTED_VALUE"""),"DERRAME")</f>
        <v>DERRAME</v>
      </c>
      <c r="G533" s="64" t="str">
        <f>IFERROR(__xludf.DUMMYFUNCTION("""COMPUTED_VALUE"""),"CALENTAMIENTO")</f>
        <v>CALENTAMIENTO</v>
      </c>
      <c r="H533" s="64" t="str">
        <f>IFERROR(__xludf.DUMMYFUNCTION("""COMPUTED_VALUE"""),"ESCOLTANDO")</f>
        <v>ESCOLTANDO</v>
      </c>
      <c r="I533" s="64" t="str">
        <f>IFERROR(__xludf.DUMMYFUNCTION("""COMPUTED_VALUE"""),"FALTA DE COMBUSTIBLE")</f>
        <v>FALTA DE COMBUSTIBLE</v>
      </c>
      <c r="J533" s="64" t="str">
        <f>IFERROR(__xludf.DUMMYFUNCTION("""COMPUTED_VALUE"""),"DESPERFECTOS MECÁNICOS")</f>
        <v>DESPERFECTOS MECÁNICOS</v>
      </c>
      <c r="K533" s="64" t="str">
        <f>IFERROR(__xludf.DUMMYFUNCTION("""COMPUTED_VALUE"""),"LLAMADA DE ATENCIÓN")</f>
        <v>LLAMADA DE ATENCIÓN</v>
      </c>
      <c r="L533" s="64" t="str">
        <f>IFERROR(__xludf.DUMMYFUNCTION("""COMPUTED_VALUE"""),"OPERATIVOS")</f>
        <v>OPERATIVOS</v>
      </c>
      <c r="M533" s="64" t="str">
        <f>IFERROR(__xludf.DUMMYFUNCTION("""COMPUTED_VALUE"""),"SANCIÓN")</f>
        <v>SANCIÓN</v>
      </c>
      <c r="N533" s="64" t="str">
        <f>IFERROR(__xludf.DUMMYFUNCTION("""COMPUTED_VALUE"""),"SISTEMA ELECTRICO")</f>
        <v>SISTEMA ELECTRICO</v>
      </c>
      <c r="O533" s="64" t="str">
        <f>IFERROR(__xludf.DUMMYFUNCTION("""COMPUTED_VALUE"""),"ASISTENCIA AL USUARIO")</f>
        <v>ASISTENCIA AL USUARIO</v>
      </c>
      <c r="P533" s="64" t="str">
        <f>IFERROR(__xludf.DUMMYFUNCTION("""COMPUTED_VALUE"""),"DOBLE REMOLQUE")</f>
        <v>DOBLE REMOLQUE</v>
      </c>
      <c r="Q533" s="64" t="str">
        <f>IFERROR(__xludf.DUMMYFUNCTION("""COMPUTED_VALUE"""),"SINAPRESE")</f>
        <v>SINAPRESE</v>
      </c>
      <c r="R533" s="64" t="str">
        <f>IFERROR(__xludf.DUMMYFUNCTION("""COMPUTED_VALUE"""),"APOYO ATLETISMO")</f>
        <v>APOYO ATLETISMO</v>
      </c>
      <c r="S533" s="64" t="str">
        <f>IFERROR(__xludf.DUMMYFUNCTION("""COMPUTED_VALUE"""),"APOYO A CICLISMO")</f>
        <v>APOYO A CICLISMO</v>
      </c>
      <c r="T533" s="64" t="str">
        <f>IFERROR(__xludf.DUMMYFUNCTION("""COMPUTED_VALUE"""),"DESCARGA DE BATERÍA")</f>
        <v>DESCARGA DE BATERÍA</v>
      </c>
      <c r="U533" s="64" t="str">
        <f>IFERROR(__xludf.DUMMYFUNCTION("""COMPUTED_VALUE"""),"PROBLEMAS DE SALUD")</f>
        <v>PROBLEMAS DE SALUD</v>
      </c>
      <c r="V533" s="64" t="str">
        <f>IFERROR(__xludf.DUMMYFUNCTION("""COMPUTED_VALUE"""),"OLVIDO LA LLAVE")</f>
        <v>OLVIDO LA LLAVE</v>
      </c>
      <c r="W533" s="64" t="str">
        <f>IFERROR(__xludf.DUMMYFUNCTION("""COMPUTED_VALUE"""),"CARGA SOBREDIMENSIONADA")</f>
        <v>CARGA SOBREDIMENSIONADA</v>
      </c>
      <c r="X533" s="64" t="str">
        <f>IFERROR(__xludf.DUMMYFUNCTION("""COMPUTED_VALUE"""),"VEHÍCULO ABANDONADO")</f>
        <v>VEHÍCULO ABANDONADO</v>
      </c>
      <c r="Y533" s="64" t="str">
        <f>IFERROR(__xludf.DUMMYFUNCTION("""COMPUTED_VALUE"""),"DESPRENDIMIENTO")</f>
        <v>DESPRENDIMIENTO</v>
      </c>
      <c r="Z533" s="64" t="str">
        <f>IFERROR(__xludf.DUMMYFUNCTION("""COMPUTED_VALUE"""),"CAÍDA DE POSTE")</f>
        <v>CAÍDA DE POSTE</v>
      </c>
      <c r="AA533" s="64" t="str">
        <f>IFERROR(__xludf.DUMMYFUNCTION("""COMPUTED_VALUE"""),"CAÍDA DE RAMA")</f>
        <v>CAÍDA DE RAMA</v>
      </c>
      <c r="AB533" s="64" t="str">
        <f>IFERROR(__xludf.DUMMYFUNCTION("""COMPUTED_VALUE"""),"OPERATIVO DGT")</f>
        <v>OPERATIVO DGT</v>
      </c>
      <c r="AC533" s="64" t="str">
        <f>IFERROR(__xludf.DUMMYFUNCTION("""COMPUTED_VALUE"""),"OPERATIVO PMT")</f>
        <v>OPERATIVO PMT</v>
      </c>
      <c r="AD533" s="64" t="str">
        <f>IFERROR(__xludf.DUMMYFUNCTION("""COMPUTED_VALUE"""),"APOYO A DIGEF")</f>
        <v>APOYO A DIGEF</v>
      </c>
      <c r="AE533" s="64" t="str">
        <f>IFERROR(__xludf.DUMMYFUNCTION("""COMPUTED_VALUE"""),"OPERATIVO PNC TRANSITO")</f>
        <v>OPERATIVO PNC TRANSITO</v>
      </c>
      <c r="AF533" s="64" t="str">
        <f>IFERROR(__xludf.DUMMYFUNCTION("""COMPUTED_VALUE"""),"SOBRECARGA ")</f>
        <v>SOBRECARGA </v>
      </c>
      <c r="AG533" s="64" t="str">
        <f>IFERROR(__xludf.DUMMYFUNCTION("""COMPUTED_VALUE"""),"OPERATIVO EN CONJUNTO")</f>
        <v>OPERATIVO EN CONJUNTO</v>
      </c>
      <c r="AH533" s="64" t="str">
        <f>IFERROR(__xludf.DUMMYFUNCTION("""COMPUTED_VALUE"""),"PUESTO DE ATENCION AL USUARIO")</f>
        <v>PUESTO DE ATENCION AL USUARIO</v>
      </c>
      <c r="AI533" s="64" t="str">
        <f>IFERROR(__xludf.DUMMYFUNCTION("""COMPUTED_VALUE"""),"INCENDIO EN RUTA")</f>
        <v>INCENDIO EN RUTA</v>
      </c>
      <c r="AJ533" s="64" t="str">
        <f>IFERROR(__xludf.DUMMYFUNCTION("""COMPUTED_VALUE"""),"APOYO ANTORCHA ")</f>
        <v>APOYO ANTORCHA </v>
      </c>
    </row>
    <row r="534">
      <c r="B534" s="64" t="s">
        <v>54</v>
      </c>
      <c r="C534" s="64" t="str">
        <f>IFERROR(__xludf.DUMMYFUNCTION(" TRANSPOSE( unique ( QUERY(DATOPRO,""select Col2 where Col1 = '""&amp;B534&amp;""'"")))"),"PINCHAZO")</f>
        <v>PINCHAZO</v>
      </c>
      <c r="D534" s="64" t="str">
        <f>IFERROR(__xludf.DUMMYFUNCTION("""COMPUTED_VALUE"""),"TRABAJOS DE CARRETERA")</f>
        <v>TRABAJOS DE CARRETERA</v>
      </c>
      <c r="E534" s="64" t="str">
        <f>IFERROR(__xludf.DUMMYFUNCTION("""COMPUTED_VALUE"""),"CONSIGNACIÓN")</f>
        <v>CONSIGNACIÓN</v>
      </c>
      <c r="F534" s="64" t="str">
        <f>IFERROR(__xludf.DUMMYFUNCTION("""COMPUTED_VALUE"""),"DERRAME")</f>
        <v>DERRAME</v>
      </c>
      <c r="G534" s="64" t="str">
        <f>IFERROR(__xludf.DUMMYFUNCTION("""COMPUTED_VALUE"""),"CALENTAMIENTO")</f>
        <v>CALENTAMIENTO</v>
      </c>
      <c r="H534" s="64" t="str">
        <f>IFERROR(__xludf.DUMMYFUNCTION("""COMPUTED_VALUE"""),"ESCOLTANDO")</f>
        <v>ESCOLTANDO</v>
      </c>
      <c r="I534" s="64" t="str">
        <f>IFERROR(__xludf.DUMMYFUNCTION("""COMPUTED_VALUE"""),"FALTA DE COMBUSTIBLE")</f>
        <v>FALTA DE COMBUSTIBLE</v>
      </c>
      <c r="J534" s="64" t="str">
        <f>IFERROR(__xludf.DUMMYFUNCTION("""COMPUTED_VALUE"""),"DESPERFECTOS MECÁNICOS")</f>
        <v>DESPERFECTOS MECÁNICOS</v>
      </c>
      <c r="K534" s="64" t="str">
        <f>IFERROR(__xludf.DUMMYFUNCTION("""COMPUTED_VALUE"""),"LLAMADA DE ATENCIÓN")</f>
        <v>LLAMADA DE ATENCIÓN</v>
      </c>
      <c r="L534" s="64" t="str">
        <f>IFERROR(__xludf.DUMMYFUNCTION("""COMPUTED_VALUE"""),"OPERATIVOS")</f>
        <v>OPERATIVOS</v>
      </c>
      <c r="M534" s="64" t="str">
        <f>IFERROR(__xludf.DUMMYFUNCTION("""COMPUTED_VALUE"""),"SANCIÓN")</f>
        <v>SANCIÓN</v>
      </c>
      <c r="N534" s="64" t="str">
        <f>IFERROR(__xludf.DUMMYFUNCTION("""COMPUTED_VALUE"""),"SISTEMA ELECTRICO")</f>
        <v>SISTEMA ELECTRICO</v>
      </c>
      <c r="O534" s="64" t="str">
        <f>IFERROR(__xludf.DUMMYFUNCTION("""COMPUTED_VALUE"""),"ASISTENCIA AL USUARIO")</f>
        <v>ASISTENCIA AL USUARIO</v>
      </c>
      <c r="P534" s="64" t="str">
        <f>IFERROR(__xludf.DUMMYFUNCTION("""COMPUTED_VALUE"""),"DOBLE REMOLQUE")</f>
        <v>DOBLE REMOLQUE</v>
      </c>
      <c r="Q534" s="64" t="str">
        <f>IFERROR(__xludf.DUMMYFUNCTION("""COMPUTED_VALUE"""),"SINAPRESE")</f>
        <v>SINAPRESE</v>
      </c>
      <c r="R534" s="64" t="str">
        <f>IFERROR(__xludf.DUMMYFUNCTION("""COMPUTED_VALUE"""),"APOYO ATLETISMO")</f>
        <v>APOYO ATLETISMO</v>
      </c>
      <c r="S534" s="64" t="str">
        <f>IFERROR(__xludf.DUMMYFUNCTION("""COMPUTED_VALUE"""),"APOYO A CICLISMO")</f>
        <v>APOYO A CICLISMO</v>
      </c>
      <c r="T534" s="64" t="str">
        <f>IFERROR(__xludf.DUMMYFUNCTION("""COMPUTED_VALUE"""),"DESCARGA DE BATERÍA")</f>
        <v>DESCARGA DE BATERÍA</v>
      </c>
      <c r="U534" s="64" t="str">
        <f>IFERROR(__xludf.DUMMYFUNCTION("""COMPUTED_VALUE"""),"PROBLEMAS DE SALUD")</f>
        <v>PROBLEMAS DE SALUD</v>
      </c>
      <c r="V534" s="64" t="str">
        <f>IFERROR(__xludf.DUMMYFUNCTION("""COMPUTED_VALUE"""),"OLVIDO LA LLAVE")</f>
        <v>OLVIDO LA LLAVE</v>
      </c>
      <c r="W534" s="64" t="str">
        <f>IFERROR(__xludf.DUMMYFUNCTION("""COMPUTED_VALUE"""),"CARGA SOBREDIMENSIONADA")</f>
        <v>CARGA SOBREDIMENSIONADA</v>
      </c>
      <c r="X534" s="64" t="str">
        <f>IFERROR(__xludf.DUMMYFUNCTION("""COMPUTED_VALUE"""),"VEHÍCULO ABANDONADO")</f>
        <v>VEHÍCULO ABANDONADO</v>
      </c>
      <c r="Y534" s="64" t="str">
        <f>IFERROR(__xludf.DUMMYFUNCTION("""COMPUTED_VALUE"""),"DESPRENDIMIENTO")</f>
        <v>DESPRENDIMIENTO</v>
      </c>
      <c r="Z534" s="64" t="str">
        <f>IFERROR(__xludf.DUMMYFUNCTION("""COMPUTED_VALUE"""),"CAÍDA DE POSTE")</f>
        <v>CAÍDA DE POSTE</v>
      </c>
      <c r="AA534" s="64" t="str">
        <f>IFERROR(__xludf.DUMMYFUNCTION("""COMPUTED_VALUE"""),"CAÍDA DE RAMA")</f>
        <v>CAÍDA DE RAMA</v>
      </c>
      <c r="AB534" s="64" t="str">
        <f>IFERROR(__xludf.DUMMYFUNCTION("""COMPUTED_VALUE"""),"OPERATIVO DGT")</f>
        <v>OPERATIVO DGT</v>
      </c>
      <c r="AC534" s="64" t="str">
        <f>IFERROR(__xludf.DUMMYFUNCTION("""COMPUTED_VALUE"""),"OPERATIVO PMT")</f>
        <v>OPERATIVO PMT</v>
      </c>
      <c r="AD534" s="64" t="str">
        <f>IFERROR(__xludf.DUMMYFUNCTION("""COMPUTED_VALUE"""),"APOYO A DIGEF")</f>
        <v>APOYO A DIGEF</v>
      </c>
      <c r="AE534" s="64" t="str">
        <f>IFERROR(__xludf.DUMMYFUNCTION("""COMPUTED_VALUE"""),"OPERATIVO PNC TRANSITO")</f>
        <v>OPERATIVO PNC TRANSITO</v>
      </c>
      <c r="AF534" s="64" t="str">
        <f>IFERROR(__xludf.DUMMYFUNCTION("""COMPUTED_VALUE"""),"SOBRECARGA ")</f>
        <v>SOBRECARGA </v>
      </c>
      <c r="AG534" s="64" t="str">
        <f>IFERROR(__xludf.DUMMYFUNCTION("""COMPUTED_VALUE"""),"OPERATIVO EN CONJUNTO")</f>
        <v>OPERATIVO EN CONJUNTO</v>
      </c>
      <c r="AH534" s="64" t="str">
        <f>IFERROR(__xludf.DUMMYFUNCTION("""COMPUTED_VALUE"""),"PUESTO DE ATENCION AL USUARIO")</f>
        <v>PUESTO DE ATENCION AL USUARIO</v>
      </c>
      <c r="AI534" s="64" t="str">
        <f>IFERROR(__xludf.DUMMYFUNCTION("""COMPUTED_VALUE"""),"INCENDIO EN RUTA")</f>
        <v>INCENDIO EN RUTA</v>
      </c>
      <c r="AJ534" s="64" t="str">
        <f>IFERROR(__xludf.DUMMYFUNCTION("""COMPUTED_VALUE"""),"APOYO ANTORCHA ")</f>
        <v>APOYO ANTORCHA </v>
      </c>
    </row>
    <row r="535">
      <c r="B535" s="64"/>
      <c r="C535" s="64" t="str">
        <f>IFERROR(__xludf.DUMMYFUNCTION(" TRANSPOSE( unique ( QUERY(DATOPRO,""select Col2 where Col1 = '""&amp;B535&amp;""'"")))"),"")</f>
        <v/>
      </c>
    </row>
    <row r="536">
      <c r="B536" s="64"/>
      <c r="C536" s="64" t="str">
        <f>IFERROR(__xludf.DUMMYFUNCTION(" TRANSPOSE( unique ( QUERY(DATOPRO,""select Col2 where Col1 = '""&amp;B536&amp;""'"")))"),"")</f>
        <v/>
      </c>
    </row>
    <row r="537">
      <c r="B537" s="64" t="s">
        <v>38</v>
      </c>
      <c r="C537" s="64" t="str">
        <f>IFERROR(__xludf.DUMMYFUNCTION(" TRANSPOSE( unique ( QUERY(DATOPRO,""select Col2 where Col1 = '""&amp;B537&amp;""'"")))"),"ATAQUE ARMADO")</f>
        <v>ATAQUE ARMADO</v>
      </c>
      <c r="D537" s="64" t="str">
        <f>IFERROR(__xludf.DUMMYFUNCTION("""COMPUTED_VALUE"""),"DESBALANCE DE CARGA")</f>
        <v>DESBALANCE DE CARGA</v>
      </c>
      <c r="E537" s="64" t="str">
        <f>IFERROR(__xludf.DUMMYFUNCTION("""COMPUTED_VALUE"""),"PERSONA FALLECIDA")</f>
        <v>PERSONA FALLECIDA</v>
      </c>
      <c r="F537" s="64" t="str">
        <f>IFERROR(__xludf.DUMMYFUNCTION("""COMPUTED_VALUE"""),"DESPRENDIMIENTO DE NEUMATICO")</f>
        <v>DESPRENDIMIENTO DE NEUMATICO</v>
      </c>
      <c r="G537" s="64" t="str">
        <f>IFERROR(__xludf.DUMMYFUNCTION("""COMPUTED_VALUE"""),"SALIDA DE PISTA")</f>
        <v>SALIDA DE PISTA</v>
      </c>
      <c r="H537" s="64" t="str">
        <f>IFERROR(__xludf.DUMMYFUNCTION("""COMPUTED_VALUE"""),"DESPRENDIMIENTO DE CONTENEDOR")</f>
        <v>DESPRENDIMIENTO DE CONTENEDOR</v>
      </c>
      <c r="I537" s="64" t="str">
        <f>IFERROR(__xludf.DUMMYFUNCTION("""COMPUTED_VALUE"""),"CAÍDA DE CARGA")</f>
        <v>CAÍDA DE CARGA</v>
      </c>
      <c r="J537" s="64" t="str">
        <f>IFERROR(__xludf.DUMMYFUNCTION("""COMPUTED_VALUE"""),"CHOQUE")</f>
        <v>CHOQUE</v>
      </c>
      <c r="K537" s="64" t="str">
        <f>IFERROR(__xludf.DUMMYFUNCTION("""COMPUTED_VALUE"""),"COLISIÓN")</f>
        <v>COLISIÓN</v>
      </c>
      <c r="L537" s="64" t="str">
        <f>IFERROR(__xludf.DUMMYFUNCTION("""COMPUTED_VALUE"""),"COLISIÓN MÚLTIPLE")</f>
        <v>COLISIÓN MÚLTIPLE</v>
      </c>
      <c r="M537" s="64" t="str">
        <f>IFERROR(__xludf.DUMMYFUNCTION("""COMPUTED_VALUE"""),"DERRAPE")</f>
        <v>DERRAPE</v>
      </c>
      <c r="N537" s="64" t="str">
        <f>IFERROR(__xludf.DUMMYFUNCTION("""COMPUTED_VALUE"""),"VEHÍCULO INCENDIADO")</f>
        <v>VEHÍCULO INCENDIADO</v>
      </c>
      <c r="O537" s="64" t="str">
        <f>IFERROR(__xludf.DUMMYFUNCTION("""COMPUTED_VALUE"""),"VUELCO")</f>
        <v>VUELCO</v>
      </c>
      <c r="P537" s="64" t="str">
        <f>IFERROR(__xludf.DUMMYFUNCTION("""COMPUTED_VALUE"""),"DESPRENDIMIENTO")</f>
        <v>DESPRENDIMIENTO</v>
      </c>
      <c r="Q537" s="64" t="str">
        <f>IFERROR(__xludf.DUMMYFUNCTION("""COMPUTED_VALUE"""),"CAÍDA DE ÁRBOL")</f>
        <v>CAÍDA DE ÁRBOL</v>
      </c>
      <c r="R537" s="64" t="str">
        <f>IFERROR(__xludf.DUMMYFUNCTION("""COMPUTED_VALUE"""),"DESPRENDIMIENTO DE EJE")</f>
        <v>DESPRENDIMIENTO DE EJE</v>
      </c>
      <c r="S537" s="64" t="str">
        <f>IFERROR(__xludf.DUMMYFUNCTION("""COMPUTED_VALUE"""),"PERSONA ATROPELLADA")</f>
        <v>PERSONA ATROPELLADA</v>
      </c>
    </row>
    <row r="538">
      <c r="B538" s="64"/>
      <c r="C538" s="64" t="str">
        <f>IFERROR(__xludf.DUMMYFUNCTION(" TRANSPOSE( unique ( QUERY(DATOPRO,""select Col2 where Col1 = '""&amp;B538&amp;""'"")))"),"")</f>
        <v/>
      </c>
    </row>
    <row r="539">
      <c r="B539" s="64" t="s">
        <v>38</v>
      </c>
      <c r="C539" s="64" t="str">
        <f>IFERROR(__xludf.DUMMYFUNCTION(" TRANSPOSE( unique ( QUERY(DATOPRO,""select Col2 where Col1 = '""&amp;B539&amp;""'"")))"),"ATAQUE ARMADO")</f>
        <v>ATAQUE ARMADO</v>
      </c>
      <c r="D539" s="64" t="str">
        <f>IFERROR(__xludf.DUMMYFUNCTION("""COMPUTED_VALUE"""),"DESBALANCE DE CARGA")</f>
        <v>DESBALANCE DE CARGA</v>
      </c>
      <c r="E539" s="64" t="str">
        <f>IFERROR(__xludf.DUMMYFUNCTION("""COMPUTED_VALUE"""),"PERSONA FALLECIDA")</f>
        <v>PERSONA FALLECIDA</v>
      </c>
      <c r="F539" s="64" t="str">
        <f>IFERROR(__xludf.DUMMYFUNCTION("""COMPUTED_VALUE"""),"DESPRENDIMIENTO DE NEUMATICO")</f>
        <v>DESPRENDIMIENTO DE NEUMATICO</v>
      </c>
      <c r="G539" s="64" t="str">
        <f>IFERROR(__xludf.DUMMYFUNCTION("""COMPUTED_VALUE"""),"SALIDA DE PISTA")</f>
        <v>SALIDA DE PISTA</v>
      </c>
      <c r="H539" s="64" t="str">
        <f>IFERROR(__xludf.DUMMYFUNCTION("""COMPUTED_VALUE"""),"DESPRENDIMIENTO DE CONTENEDOR")</f>
        <v>DESPRENDIMIENTO DE CONTENEDOR</v>
      </c>
      <c r="I539" s="64" t="str">
        <f>IFERROR(__xludf.DUMMYFUNCTION("""COMPUTED_VALUE"""),"CAÍDA DE CARGA")</f>
        <v>CAÍDA DE CARGA</v>
      </c>
      <c r="J539" s="64" t="str">
        <f>IFERROR(__xludf.DUMMYFUNCTION("""COMPUTED_VALUE"""),"CHOQUE")</f>
        <v>CHOQUE</v>
      </c>
      <c r="K539" s="64" t="str">
        <f>IFERROR(__xludf.DUMMYFUNCTION("""COMPUTED_VALUE"""),"COLISIÓN")</f>
        <v>COLISIÓN</v>
      </c>
      <c r="L539" s="64" t="str">
        <f>IFERROR(__xludf.DUMMYFUNCTION("""COMPUTED_VALUE"""),"COLISIÓN MÚLTIPLE")</f>
        <v>COLISIÓN MÚLTIPLE</v>
      </c>
      <c r="M539" s="64" t="str">
        <f>IFERROR(__xludf.DUMMYFUNCTION("""COMPUTED_VALUE"""),"DERRAPE")</f>
        <v>DERRAPE</v>
      </c>
      <c r="N539" s="64" t="str">
        <f>IFERROR(__xludf.DUMMYFUNCTION("""COMPUTED_VALUE"""),"VEHÍCULO INCENDIADO")</f>
        <v>VEHÍCULO INCENDIADO</v>
      </c>
      <c r="O539" s="64" t="str">
        <f>IFERROR(__xludf.DUMMYFUNCTION("""COMPUTED_VALUE"""),"VUELCO")</f>
        <v>VUELCO</v>
      </c>
      <c r="P539" s="64" t="str">
        <f>IFERROR(__xludf.DUMMYFUNCTION("""COMPUTED_VALUE"""),"DESPRENDIMIENTO")</f>
        <v>DESPRENDIMIENTO</v>
      </c>
      <c r="Q539" s="64" t="str">
        <f>IFERROR(__xludf.DUMMYFUNCTION("""COMPUTED_VALUE"""),"CAÍDA DE ÁRBOL")</f>
        <v>CAÍDA DE ÁRBOL</v>
      </c>
      <c r="R539" s="64" t="str">
        <f>IFERROR(__xludf.DUMMYFUNCTION("""COMPUTED_VALUE"""),"DESPRENDIMIENTO DE EJE")</f>
        <v>DESPRENDIMIENTO DE EJE</v>
      </c>
      <c r="S539" s="64" t="str">
        <f>IFERROR(__xludf.DUMMYFUNCTION("""COMPUTED_VALUE"""),"PERSONA ATROPELLADA")</f>
        <v>PERSONA ATROPELLADA</v>
      </c>
    </row>
    <row r="540">
      <c r="B540" s="64" t="s">
        <v>54</v>
      </c>
      <c r="C540" s="64" t="str">
        <f>IFERROR(__xludf.DUMMYFUNCTION(" TRANSPOSE( unique ( QUERY(DATOPRO,""select Col2 where Col1 = '""&amp;B540&amp;""'"")))"),"PINCHAZO")</f>
        <v>PINCHAZO</v>
      </c>
      <c r="D540" s="64" t="str">
        <f>IFERROR(__xludf.DUMMYFUNCTION("""COMPUTED_VALUE"""),"TRABAJOS DE CARRETERA")</f>
        <v>TRABAJOS DE CARRETERA</v>
      </c>
      <c r="E540" s="64" t="str">
        <f>IFERROR(__xludf.DUMMYFUNCTION("""COMPUTED_VALUE"""),"CONSIGNACIÓN")</f>
        <v>CONSIGNACIÓN</v>
      </c>
      <c r="F540" s="64" t="str">
        <f>IFERROR(__xludf.DUMMYFUNCTION("""COMPUTED_VALUE"""),"DERRAME")</f>
        <v>DERRAME</v>
      </c>
      <c r="G540" s="64" t="str">
        <f>IFERROR(__xludf.DUMMYFUNCTION("""COMPUTED_VALUE"""),"CALENTAMIENTO")</f>
        <v>CALENTAMIENTO</v>
      </c>
      <c r="H540" s="64" t="str">
        <f>IFERROR(__xludf.DUMMYFUNCTION("""COMPUTED_VALUE"""),"ESCOLTANDO")</f>
        <v>ESCOLTANDO</v>
      </c>
      <c r="I540" s="64" t="str">
        <f>IFERROR(__xludf.DUMMYFUNCTION("""COMPUTED_VALUE"""),"FALTA DE COMBUSTIBLE")</f>
        <v>FALTA DE COMBUSTIBLE</v>
      </c>
      <c r="J540" s="64" t="str">
        <f>IFERROR(__xludf.DUMMYFUNCTION("""COMPUTED_VALUE"""),"DESPERFECTOS MECÁNICOS")</f>
        <v>DESPERFECTOS MECÁNICOS</v>
      </c>
      <c r="K540" s="64" t="str">
        <f>IFERROR(__xludf.DUMMYFUNCTION("""COMPUTED_VALUE"""),"LLAMADA DE ATENCIÓN")</f>
        <v>LLAMADA DE ATENCIÓN</v>
      </c>
      <c r="L540" s="64" t="str">
        <f>IFERROR(__xludf.DUMMYFUNCTION("""COMPUTED_VALUE"""),"OPERATIVOS")</f>
        <v>OPERATIVOS</v>
      </c>
      <c r="M540" s="64" t="str">
        <f>IFERROR(__xludf.DUMMYFUNCTION("""COMPUTED_VALUE"""),"SANCIÓN")</f>
        <v>SANCIÓN</v>
      </c>
      <c r="N540" s="64" t="str">
        <f>IFERROR(__xludf.DUMMYFUNCTION("""COMPUTED_VALUE"""),"SISTEMA ELECTRICO")</f>
        <v>SISTEMA ELECTRICO</v>
      </c>
      <c r="O540" s="64" t="str">
        <f>IFERROR(__xludf.DUMMYFUNCTION("""COMPUTED_VALUE"""),"ASISTENCIA AL USUARIO")</f>
        <v>ASISTENCIA AL USUARIO</v>
      </c>
      <c r="P540" s="64" t="str">
        <f>IFERROR(__xludf.DUMMYFUNCTION("""COMPUTED_VALUE"""),"DOBLE REMOLQUE")</f>
        <v>DOBLE REMOLQUE</v>
      </c>
      <c r="Q540" s="64" t="str">
        <f>IFERROR(__xludf.DUMMYFUNCTION("""COMPUTED_VALUE"""),"SINAPRESE")</f>
        <v>SINAPRESE</v>
      </c>
      <c r="R540" s="64" t="str">
        <f>IFERROR(__xludf.DUMMYFUNCTION("""COMPUTED_VALUE"""),"APOYO ATLETISMO")</f>
        <v>APOYO ATLETISMO</v>
      </c>
      <c r="S540" s="64" t="str">
        <f>IFERROR(__xludf.DUMMYFUNCTION("""COMPUTED_VALUE"""),"APOYO A CICLISMO")</f>
        <v>APOYO A CICLISMO</v>
      </c>
      <c r="T540" s="64" t="str">
        <f>IFERROR(__xludf.DUMMYFUNCTION("""COMPUTED_VALUE"""),"DESCARGA DE BATERÍA")</f>
        <v>DESCARGA DE BATERÍA</v>
      </c>
      <c r="U540" s="64" t="str">
        <f>IFERROR(__xludf.DUMMYFUNCTION("""COMPUTED_VALUE"""),"PROBLEMAS DE SALUD")</f>
        <v>PROBLEMAS DE SALUD</v>
      </c>
      <c r="V540" s="64" t="str">
        <f>IFERROR(__xludf.DUMMYFUNCTION("""COMPUTED_VALUE"""),"OLVIDO LA LLAVE")</f>
        <v>OLVIDO LA LLAVE</v>
      </c>
      <c r="W540" s="64" t="str">
        <f>IFERROR(__xludf.DUMMYFUNCTION("""COMPUTED_VALUE"""),"CARGA SOBREDIMENSIONADA")</f>
        <v>CARGA SOBREDIMENSIONADA</v>
      </c>
      <c r="X540" s="64" t="str">
        <f>IFERROR(__xludf.DUMMYFUNCTION("""COMPUTED_VALUE"""),"VEHÍCULO ABANDONADO")</f>
        <v>VEHÍCULO ABANDONADO</v>
      </c>
      <c r="Y540" s="64" t="str">
        <f>IFERROR(__xludf.DUMMYFUNCTION("""COMPUTED_VALUE"""),"DESPRENDIMIENTO")</f>
        <v>DESPRENDIMIENTO</v>
      </c>
      <c r="Z540" s="64" t="str">
        <f>IFERROR(__xludf.DUMMYFUNCTION("""COMPUTED_VALUE"""),"CAÍDA DE POSTE")</f>
        <v>CAÍDA DE POSTE</v>
      </c>
      <c r="AA540" s="64" t="str">
        <f>IFERROR(__xludf.DUMMYFUNCTION("""COMPUTED_VALUE"""),"CAÍDA DE RAMA")</f>
        <v>CAÍDA DE RAMA</v>
      </c>
      <c r="AB540" s="64" t="str">
        <f>IFERROR(__xludf.DUMMYFUNCTION("""COMPUTED_VALUE"""),"OPERATIVO DGT")</f>
        <v>OPERATIVO DGT</v>
      </c>
      <c r="AC540" s="64" t="str">
        <f>IFERROR(__xludf.DUMMYFUNCTION("""COMPUTED_VALUE"""),"OPERATIVO PMT")</f>
        <v>OPERATIVO PMT</v>
      </c>
      <c r="AD540" s="64" t="str">
        <f>IFERROR(__xludf.DUMMYFUNCTION("""COMPUTED_VALUE"""),"APOYO A DIGEF")</f>
        <v>APOYO A DIGEF</v>
      </c>
      <c r="AE540" s="64" t="str">
        <f>IFERROR(__xludf.DUMMYFUNCTION("""COMPUTED_VALUE"""),"OPERATIVO PNC TRANSITO")</f>
        <v>OPERATIVO PNC TRANSITO</v>
      </c>
      <c r="AF540" s="64" t="str">
        <f>IFERROR(__xludf.DUMMYFUNCTION("""COMPUTED_VALUE"""),"SOBRECARGA ")</f>
        <v>SOBRECARGA </v>
      </c>
      <c r="AG540" s="64" t="str">
        <f>IFERROR(__xludf.DUMMYFUNCTION("""COMPUTED_VALUE"""),"OPERATIVO EN CONJUNTO")</f>
        <v>OPERATIVO EN CONJUNTO</v>
      </c>
      <c r="AH540" s="64" t="str">
        <f>IFERROR(__xludf.DUMMYFUNCTION("""COMPUTED_VALUE"""),"PUESTO DE ATENCION AL USUARIO")</f>
        <v>PUESTO DE ATENCION AL USUARIO</v>
      </c>
      <c r="AI540" s="64" t="str">
        <f>IFERROR(__xludf.DUMMYFUNCTION("""COMPUTED_VALUE"""),"INCENDIO EN RUTA")</f>
        <v>INCENDIO EN RUTA</v>
      </c>
      <c r="AJ540" s="64" t="str">
        <f>IFERROR(__xludf.DUMMYFUNCTION("""COMPUTED_VALUE"""),"APOYO ANTORCHA ")</f>
        <v>APOYO ANTORCHA </v>
      </c>
    </row>
    <row r="541">
      <c r="B541" s="64" t="s">
        <v>54</v>
      </c>
      <c r="C541" s="64" t="str">
        <f>IFERROR(__xludf.DUMMYFUNCTION(" TRANSPOSE( unique ( QUERY(DATOPRO,""select Col2 where Col1 = '""&amp;B541&amp;""'"")))"),"PINCHAZO")</f>
        <v>PINCHAZO</v>
      </c>
      <c r="D541" s="64" t="str">
        <f>IFERROR(__xludf.DUMMYFUNCTION("""COMPUTED_VALUE"""),"TRABAJOS DE CARRETERA")</f>
        <v>TRABAJOS DE CARRETERA</v>
      </c>
      <c r="E541" s="64" t="str">
        <f>IFERROR(__xludf.DUMMYFUNCTION("""COMPUTED_VALUE"""),"CONSIGNACIÓN")</f>
        <v>CONSIGNACIÓN</v>
      </c>
      <c r="F541" s="64" t="str">
        <f>IFERROR(__xludf.DUMMYFUNCTION("""COMPUTED_VALUE"""),"DERRAME")</f>
        <v>DERRAME</v>
      </c>
      <c r="G541" s="64" t="str">
        <f>IFERROR(__xludf.DUMMYFUNCTION("""COMPUTED_VALUE"""),"CALENTAMIENTO")</f>
        <v>CALENTAMIENTO</v>
      </c>
      <c r="H541" s="64" t="str">
        <f>IFERROR(__xludf.DUMMYFUNCTION("""COMPUTED_VALUE"""),"ESCOLTANDO")</f>
        <v>ESCOLTANDO</v>
      </c>
      <c r="I541" s="64" t="str">
        <f>IFERROR(__xludf.DUMMYFUNCTION("""COMPUTED_VALUE"""),"FALTA DE COMBUSTIBLE")</f>
        <v>FALTA DE COMBUSTIBLE</v>
      </c>
      <c r="J541" s="64" t="str">
        <f>IFERROR(__xludf.DUMMYFUNCTION("""COMPUTED_VALUE"""),"DESPERFECTOS MECÁNICOS")</f>
        <v>DESPERFECTOS MECÁNICOS</v>
      </c>
      <c r="K541" s="64" t="str">
        <f>IFERROR(__xludf.DUMMYFUNCTION("""COMPUTED_VALUE"""),"LLAMADA DE ATENCIÓN")</f>
        <v>LLAMADA DE ATENCIÓN</v>
      </c>
      <c r="L541" s="64" t="str">
        <f>IFERROR(__xludf.DUMMYFUNCTION("""COMPUTED_VALUE"""),"OPERATIVOS")</f>
        <v>OPERATIVOS</v>
      </c>
      <c r="M541" s="64" t="str">
        <f>IFERROR(__xludf.DUMMYFUNCTION("""COMPUTED_VALUE"""),"SANCIÓN")</f>
        <v>SANCIÓN</v>
      </c>
      <c r="N541" s="64" t="str">
        <f>IFERROR(__xludf.DUMMYFUNCTION("""COMPUTED_VALUE"""),"SISTEMA ELECTRICO")</f>
        <v>SISTEMA ELECTRICO</v>
      </c>
      <c r="O541" s="64" t="str">
        <f>IFERROR(__xludf.DUMMYFUNCTION("""COMPUTED_VALUE"""),"ASISTENCIA AL USUARIO")</f>
        <v>ASISTENCIA AL USUARIO</v>
      </c>
      <c r="P541" s="64" t="str">
        <f>IFERROR(__xludf.DUMMYFUNCTION("""COMPUTED_VALUE"""),"DOBLE REMOLQUE")</f>
        <v>DOBLE REMOLQUE</v>
      </c>
      <c r="Q541" s="64" t="str">
        <f>IFERROR(__xludf.DUMMYFUNCTION("""COMPUTED_VALUE"""),"SINAPRESE")</f>
        <v>SINAPRESE</v>
      </c>
      <c r="R541" s="64" t="str">
        <f>IFERROR(__xludf.DUMMYFUNCTION("""COMPUTED_VALUE"""),"APOYO ATLETISMO")</f>
        <v>APOYO ATLETISMO</v>
      </c>
      <c r="S541" s="64" t="str">
        <f>IFERROR(__xludf.DUMMYFUNCTION("""COMPUTED_VALUE"""),"APOYO A CICLISMO")</f>
        <v>APOYO A CICLISMO</v>
      </c>
      <c r="T541" s="64" t="str">
        <f>IFERROR(__xludf.DUMMYFUNCTION("""COMPUTED_VALUE"""),"DESCARGA DE BATERÍA")</f>
        <v>DESCARGA DE BATERÍA</v>
      </c>
      <c r="U541" s="64" t="str">
        <f>IFERROR(__xludf.DUMMYFUNCTION("""COMPUTED_VALUE"""),"PROBLEMAS DE SALUD")</f>
        <v>PROBLEMAS DE SALUD</v>
      </c>
      <c r="V541" s="64" t="str">
        <f>IFERROR(__xludf.DUMMYFUNCTION("""COMPUTED_VALUE"""),"OLVIDO LA LLAVE")</f>
        <v>OLVIDO LA LLAVE</v>
      </c>
      <c r="W541" s="64" t="str">
        <f>IFERROR(__xludf.DUMMYFUNCTION("""COMPUTED_VALUE"""),"CARGA SOBREDIMENSIONADA")</f>
        <v>CARGA SOBREDIMENSIONADA</v>
      </c>
      <c r="X541" s="64" t="str">
        <f>IFERROR(__xludf.DUMMYFUNCTION("""COMPUTED_VALUE"""),"VEHÍCULO ABANDONADO")</f>
        <v>VEHÍCULO ABANDONADO</v>
      </c>
      <c r="Y541" s="64" t="str">
        <f>IFERROR(__xludf.DUMMYFUNCTION("""COMPUTED_VALUE"""),"DESPRENDIMIENTO")</f>
        <v>DESPRENDIMIENTO</v>
      </c>
      <c r="Z541" s="64" t="str">
        <f>IFERROR(__xludf.DUMMYFUNCTION("""COMPUTED_VALUE"""),"CAÍDA DE POSTE")</f>
        <v>CAÍDA DE POSTE</v>
      </c>
      <c r="AA541" s="64" t="str">
        <f>IFERROR(__xludf.DUMMYFUNCTION("""COMPUTED_VALUE"""),"CAÍDA DE RAMA")</f>
        <v>CAÍDA DE RAMA</v>
      </c>
      <c r="AB541" s="64" t="str">
        <f>IFERROR(__xludf.DUMMYFUNCTION("""COMPUTED_VALUE"""),"OPERATIVO DGT")</f>
        <v>OPERATIVO DGT</v>
      </c>
      <c r="AC541" s="64" t="str">
        <f>IFERROR(__xludf.DUMMYFUNCTION("""COMPUTED_VALUE"""),"OPERATIVO PMT")</f>
        <v>OPERATIVO PMT</v>
      </c>
      <c r="AD541" s="64" t="str">
        <f>IFERROR(__xludf.DUMMYFUNCTION("""COMPUTED_VALUE"""),"APOYO A DIGEF")</f>
        <v>APOYO A DIGEF</v>
      </c>
      <c r="AE541" s="64" t="str">
        <f>IFERROR(__xludf.DUMMYFUNCTION("""COMPUTED_VALUE"""),"OPERATIVO PNC TRANSITO")</f>
        <v>OPERATIVO PNC TRANSITO</v>
      </c>
      <c r="AF541" s="64" t="str">
        <f>IFERROR(__xludf.DUMMYFUNCTION("""COMPUTED_VALUE"""),"SOBRECARGA ")</f>
        <v>SOBRECARGA </v>
      </c>
      <c r="AG541" s="64" t="str">
        <f>IFERROR(__xludf.DUMMYFUNCTION("""COMPUTED_VALUE"""),"OPERATIVO EN CONJUNTO")</f>
        <v>OPERATIVO EN CONJUNTO</v>
      </c>
      <c r="AH541" s="64" t="str">
        <f>IFERROR(__xludf.DUMMYFUNCTION("""COMPUTED_VALUE"""),"PUESTO DE ATENCION AL USUARIO")</f>
        <v>PUESTO DE ATENCION AL USUARIO</v>
      </c>
      <c r="AI541" s="64" t="str">
        <f>IFERROR(__xludf.DUMMYFUNCTION("""COMPUTED_VALUE"""),"INCENDIO EN RUTA")</f>
        <v>INCENDIO EN RUTA</v>
      </c>
      <c r="AJ541" s="64" t="str">
        <f>IFERROR(__xludf.DUMMYFUNCTION("""COMPUTED_VALUE"""),"APOYO ANTORCHA ")</f>
        <v>APOYO ANTORCHA </v>
      </c>
    </row>
    <row r="542">
      <c r="B542" s="64" t="s">
        <v>54</v>
      </c>
      <c r="C542" s="64" t="str">
        <f>IFERROR(__xludf.DUMMYFUNCTION(" TRANSPOSE( unique ( QUERY(DATOPRO,""select Col2 where Col1 = '""&amp;B542&amp;""'"")))"),"PINCHAZO")</f>
        <v>PINCHAZO</v>
      </c>
      <c r="D542" s="64" t="str">
        <f>IFERROR(__xludf.DUMMYFUNCTION("""COMPUTED_VALUE"""),"TRABAJOS DE CARRETERA")</f>
        <v>TRABAJOS DE CARRETERA</v>
      </c>
      <c r="E542" s="64" t="str">
        <f>IFERROR(__xludf.DUMMYFUNCTION("""COMPUTED_VALUE"""),"CONSIGNACIÓN")</f>
        <v>CONSIGNACIÓN</v>
      </c>
      <c r="F542" s="64" t="str">
        <f>IFERROR(__xludf.DUMMYFUNCTION("""COMPUTED_VALUE"""),"DERRAME")</f>
        <v>DERRAME</v>
      </c>
      <c r="G542" s="64" t="str">
        <f>IFERROR(__xludf.DUMMYFUNCTION("""COMPUTED_VALUE"""),"CALENTAMIENTO")</f>
        <v>CALENTAMIENTO</v>
      </c>
      <c r="H542" s="64" t="str">
        <f>IFERROR(__xludf.DUMMYFUNCTION("""COMPUTED_VALUE"""),"ESCOLTANDO")</f>
        <v>ESCOLTANDO</v>
      </c>
      <c r="I542" s="64" t="str">
        <f>IFERROR(__xludf.DUMMYFUNCTION("""COMPUTED_VALUE"""),"FALTA DE COMBUSTIBLE")</f>
        <v>FALTA DE COMBUSTIBLE</v>
      </c>
      <c r="J542" s="64" t="str">
        <f>IFERROR(__xludf.DUMMYFUNCTION("""COMPUTED_VALUE"""),"DESPERFECTOS MECÁNICOS")</f>
        <v>DESPERFECTOS MECÁNICOS</v>
      </c>
      <c r="K542" s="64" t="str">
        <f>IFERROR(__xludf.DUMMYFUNCTION("""COMPUTED_VALUE"""),"LLAMADA DE ATENCIÓN")</f>
        <v>LLAMADA DE ATENCIÓN</v>
      </c>
      <c r="L542" s="64" t="str">
        <f>IFERROR(__xludf.DUMMYFUNCTION("""COMPUTED_VALUE"""),"OPERATIVOS")</f>
        <v>OPERATIVOS</v>
      </c>
      <c r="M542" s="64" t="str">
        <f>IFERROR(__xludf.DUMMYFUNCTION("""COMPUTED_VALUE"""),"SANCIÓN")</f>
        <v>SANCIÓN</v>
      </c>
      <c r="N542" s="64" t="str">
        <f>IFERROR(__xludf.DUMMYFUNCTION("""COMPUTED_VALUE"""),"SISTEMA ELECTRICO")</f>
        <v>SISTEMA ELECTRICO</v>
      </c>
      <c r="O542" s="64" t="str">
        <f>IFERROR(__xludf.DUMMYFUNCTION("""COMPUTED_VALUE"""),"ASISTENCIA AL USUARIO")</f>
        <v>ASISTENCIA AL USUARIO</v>
      </c>
      <c r="P542" s="64" t="str">
        <f>IFERROR(__xludf.DUMMYFUNCTION("""COMPUTED_VALUE"""),"DOBLE REMOLQUE")</f>
        <v>DOBLE REMOLQUE</v>
      </c>
      <c r="Q542" s="64" t="str">
        <f>IFERROR(__xludf.DUMMYFUNCTION("""COMPUTED_VALUE"""),"SINAPRESE")</f>
        <v>SINAPRESE</v>
      </c>
      <c r="R542" s="64" t="str">
        <f>IFERROR(__xludf.DUMMYFUNCTION("""COMPUTED_VALUE"""),"APOYO ATLETISMO")</f>
        <v>APOYO ATLETISMO</v>
      </c>
      <c r="S542" s="64" t="str">
        <f>IFERROR(__xludf.DUMMYFUNCTION("""COMPUTED_VALUE"""),"APOYO A CICLISMO")</f>
        <v>APOYO A CICLISMO</v>
      </c>
      <c r="T542" s="64" t="str">
        <f>IFERROR(__xludf.DUMMYFUNCTION("""COMPUTED_VALUE"""),"DESCARGA DE BATERÍA")</f>
        <v>DESCARGA DE BATERÍA</v>
      </c>
      <c r="U542" s="64" t="str">
        <f>IFERROR(__xludf.DUMMYFUNCTION("""COMPUTED_VALUE"""),"PROBLEMAS DE SALUD")</f>
        <v>PROBLEMAS DE SALUD</v>
      </c>
      <c r="V542" s="64" t="str">
        <f>IFERROR(__xludf.DUMMYFUNCTION("""COMPUTED_VALUE"""),"OLVIDO LA LLAVE")</f>
        <v>OLVIDO LA LLAVE</v>
      </c>
      <c r="W542" s="64" t="str">
        <f>IFERROR(__xludf.DUMMYFUNCTION("""COMPUTED_VALUE"""),"CARGA SOBREDIMENSIONADA")</f>
        <v>CARGA SOBREDIMENSIONADA</v>
      </c>
      <c r="X542" s="64" t="str">
        <f>IFERROR(__xludf.DUMMYFUNCTION("""COMPUTED_VALUE"""),"VEHÍCULO ABANDONADO")</f>
        <v>VEHÍCULO ABANDONADO</v>
      </c>
      <c r="Y542" s="64" t="str">
        <f>IFERROR(__xludf.DUMMYFUNCTION("""COMPUTED_VALUE"""),"DESPRENDIMIENTO")</f>
        <v>DESPRENDIMIENTO</v>
      </c>
      <c r="Z542" s="64" t="str">
        <f>IFERROR(__xludf.DUMMYFUNCTION("""COMPUTED_VALUE"""),"CAÍDA DE POSTE")</f>
        <v>CAÍDA DE POSTE</v>
      </c>
      <c r="AA542" s="64" t="str">
        <f>IFERROR(__xludf.DUMMYFUNCTION("""COMPUTED_VALUE"""),"CAÍDA DE RAMA")</f>
        <v>CAÍDA DE RAMA</v>
      </c>
      <c r="AB542" s="64" t="str">
        <f>IFERROR(__xludf.DUMMYFUNCTION("""COMPUTED_VALUE"""),"OPERATIVO DGT")</f>
        <v>OPERATIVO DGT</v>
      </c>
      <c r="AC542" s="64" t="str">
        <f>IFERROR(__xludf.DUMMYFUNCTION("""COMPUTED_VALUE"""),"OPERATIVO PMT")</f>
        <v>OPERATIVO PMT</v>
      </c>
      <c r="AD542" s="64" t="str">
        <f>IFERROR(__xludf.DUMMYFUNCTION("""COMPUTED_VALUE"""),"APOYO A DIGEF")</f>
        <v>APOYO A DIGEF</v>
      </c>
      <c r="AE542" s="64" t="str">
        <f>IFERROR(__xludf.DUMMYFUNCTION("""COMPUTED_VALUE"""),"OPERATIVO PNC TRANSITO")</f>
        <v>OPERATIVO PNC TRANSITO</v>
      </c>
      <c r="AF542" s="64" t="str">
        <f>IFERROR(__xludf.DUMMYFUNCTION("""COMPUTED_VALUE"""),"SOBRECARGA ")</f>
        <v>SOBRECARGA </v>
      </c>
      <c r="AG542" s="64" t="str">
        <f>IFERROR(__xludf.DUMMYFUNCTION("""COMPUTED_VALUE"""),"OPERATIVO EN CONJUNTO")</f>
        <v>OPERATIVO EN CONJUNTO</v>
      </c>
      <c r="AH542" s="64" t="str">
        <f>IFERROR(__xludf.DUMMYFUNCTION("""COMPUTED_VALUE"""),"PUESTO DE ATENCION AL USUARIO")</f>
        <v>PUESTO DE ATENCION AL USUARIO</v>
      </c>
      <c r="AI542" s="64" t="str">
        <f>IFERROR(__xludf.DUMMYFUNCTION("""COMPUTED_VALUE"""),"INCENDIO EN RUTA")</f>
        <v>INCENDIO EN RUTA</v>
      </c>
      <c r="AJ542" s="64" t="str">
        <f>IFERROR(__xludf.DUMMYFUNCTION("""COMPUTED_VALUE"""),"APOYO ANTORCHA ")</f>
        <v>APOYO ANTORCHA </v>
      </c>
    </row>
    <row r="543">
      <c r="B543" s="64" t="s">
        <v>54</v>
      </c>
      <c r="C543" s="64" t="str">
        <f>IFERROR(__xludf.DUMMYFUNCTION(" TRANSPOSE( unique ( QUERY(DATOPRO,""select Col2 where Col1 = '""&amp;B543&amp;""'"")))"),"PINCHAZO")</f>
        <v>PINCHAZO</v>
      </c>
      <c r="D543" s="64" t="str">
        <f>IFERROR(__xludf.DUMMYFUNCTION("""COMPUTED_VALUE"""),"TRABAJOS DE CARRETERA")</f>
        <v>TRABAJOS DE CARRETERA</v>
      </c>
      <c r="E543" s="64" t="str">
        <f>IFERROR(__xludf.DUMMYFUNCTION("""COMPUTED_VALUE"""),"CONSIGNACIÓN")</f>
        <v>CONSIGNACIÓN</v>
      </c>
      <c r="F543" s="64" t="str">
        <f>IFERROR(__xludf.DUMMYFUNCTION("""COMPUTED_VALUE"""),"DERRAME")</f>
        <v>DERRAME</v>
      </c>
      <c r="G543" s="64" t="str">
        <f>IFERROR(__xludf.DUMMYFUNCTION("""COMPUTED_VALUE"""),"CALENTAMIENTO")</f>
        <v>CALENTAMIENTO</v>
      </c>
      <c r="H543" s="64" t="str">
        <f>IFERROR(__xludf.DUMMYFUNCTION("""COMPUTED_VALUE"""),"ESCOLTANDO")</f>
        <v>ESCOLTANDO</v>
      </c>
      <c r="I543" s="64" t="str">
        <f>IFERROR(__xludf.DUMMYFUNCTION("""COMPUTED_VALUE"""),"FALTA DE COMBUSTIBLE")</f>
        <v>FALTA DE COMBUSTIBLE</v>
      </c>
      <c r="J543" s="64" t="str">
        <f>IFERROR(__xludf.DUMMYFUNCTION("""COMPUTED_VALUE"""),"DESPERFECTOS MECÁNICOS")</f>
        <v>DESPERFECTOS MECÁNICOS</v>
      </c>
      <c r="K543" s="64" t="str">
        <f>IFERROR(__xludf.DUMMYFUNCTION("""COMPUTED_VALUE"""),"LLAMADA DE ATENCIÓN")</f>
        <v>LLAMADA DE ATENCIÓN</v>
      </c>
      <c r="L543" s="64" t="str">
        <f>IFERROR(__xludf.DUMMYFUNCTION("""COMPUTED_VALUE"""),"OPERATIVOS")</f>
        <v>OPERATIVOS</v>
      </c>
      <c r="M543" s="64" t="str">
        <f>IFERROR(__xludf.DUMMYFUNCTION("""COMPUTED_VALUE"""),"SANCIÓN")</f>
        <v>SANCIÓN</v>
      </c>
      <c r="N543" s="64" t="str">
        <f>IFERROR(__xludf.DUMMYFUNCTION("""COMPUTED_VALUE"""),"SISTEMA ELECTRICO")</f>
        <v>SISTEMA ELECTRICO</v>
      </c>
      <c r="O543" s="64" t="str">
        <f>IFERROR(__xludf.DUMMYFUNCTION("""COMPUTED_VALUE"""),"ASISTENCIA AL USUARIO")</f>
        <v>ASISTENCIA AL USUARIO</v>
      </c>
      <c r="P543" s="64" t="str">
        <f>IFERROR(__xludf.DUMMYFUNCTION("""COMPUTED_VALUE"""),"DOBLE REMOLQUE")</f>
        <v>DOBLE REMOLQUE</v>
      </c>
      <c r="Q543" s="64" t="str">
        <f>IFERROR(__xludf.DUMMYFUNCTION("""COMPUTED_VALUE"""),"SINAPRESE")</f>
        <v>SINAPRESE</v>
      </c>
      <c r="R543" s="64" t="str">
        <f>IFERROR(__xludf.DUMMYFUNCTION("""COMPUTED_VALUE"""),"APOYO ATLETISMO")</f>
        <v>APOYO ATLETISMO</v>
      </c>
      <c r="S543" s="64" t="str">
        <f>IFERROR(__xludf.DUMMYFUNCTION("""COMPUTED_VALUE"""),"APOYO A CICLISMO")</f>
        <v>APOYO A CICLISMO</v>
      </c>
      <c r="T543" s="64" t="str">
        <f>IFERROR(__xludf.DUMMYFUNCTION("""COMPUTED_VALUE"""),"DESCARGA DE BATERÍA")</f>
        <v>DESCARGA DE BATERÍA</v>
      </c>
      <c r="U543" s="64" t="str">
        <f>IFERROR(__xludf.DUMMYFUNCTION("""COMPUTED_VALUE"""),"PROBLEMAS DE SALUD")</f>
        <v>PROBLEMAS DE SALUD</v>
      </c>
      <c r="V543" s="64" t="str">
        <f>IFERROR(__xludf.DUMMYFUNCTION("""COMPUTED_VALUE"""),"OLVIDO LA LLAVE")</f>
        <v>OLVIDO LA LLAVE</v>
      </c>
      <c r="W543" s="64" t="str">
        <f>IFERROR(__xludf.DUMMYFUNCTION("""COMPUTED_VALUE"""),"CARGA SOBREDIMENSIONADA")</f>
        <v>CARGA SOBREDIMENSIONADA</v>
      </c>
      <c r="X543" s="64" t="str">
        <f>IFERROR(__xludf.DUMMYFUNCTION("""COMPUTED_VALUE"""),"VEHÍCULO ABANDONADO")</f>
        <v>VEHÍCULO ABANDONADO</v>
      </c>
      <c r="Y543" s="64" t="str">
        <f>IFERROR(__xludf.DUMMYFUNCTION("""COMPUTED_VALUE"""),"DESPRENDIMIENTO")</f>
        <v>DESPRENDIMIENTO</v>
      </c>
      <c r="Z543" s="64" t="str">
        <f>IFERROR(__xludf.DUMMYFUNCTION("""COMPUTED_VALUE"""),"CAÍDA DE POSTE")</f>
        <v>CAÍDA DE POSTE</v>
      </c>
      <c r="AA543" s="64" t="str">
        <f>IFERROR(__xludf.DUMMYFUNCTION("""COMPUTED_VALUE"""),"CAÍDA DE RAMA")</f>
        <v>CAÍDA DE RAMA</v>
      </c>
      <c r="AB543" s="64" t="str">
        <f>IFERROR(__xludf.DUMMYFUNCTION("""COMPUTED_VALUE"""),"OPERATIVO DGT")</f>
        <v>OPERATIVO DGT</v>
      </c>
      <c r="AC543" s="64" t="str">
        <f>IFERROR(__xludf.DUMMYFUNCTION("""COMPUTED_VALUE"""),"OPERATIVO PMT")</f>
        <v>OPERATIVO PMT</v>
      </c>
      <c r="AD543" s="64" t="str">
        <f>IFERROR(__xludf.DUMMYFUNCTION("""COMPUTED_VALUE"""),"APOYO A DIGEF")</f>
        <v>APOYO A DIGEF</v>
      </c>
      <c r="AE543" s="64" t="str">
        <f>IFERROR(__xludf.DUMMYFUNCTION("""COMPUTED_VALUE"""),"OPERATIVO PNC TRANSITO")</f>
        <v>OPERATIVO PNC TRANSITO</v>
      </c>
      <c r="AF543" s="64" t="str">
        <f>IFERROR(__xludf.DUMMYFUNCTION("""COMPUTED_VALUE"""),"SOBRECARGA ")</f>
        <v>SOBRECARGA </v>
      </c>
      <c r="AG543" s="64" t="str">
        <f>IFERROR(__xludf.DUMMYFUNCTION("""COMPUTED_VALUE"""),"OPERATIVO EN CONJUNTO")</f>
        <v>OPERATIVO EN CONJUNTO</v>
      </c>
      <c r="AH543" s="64" t="str">
        <f>IFERROR(__xludf.DUMMYFUNCTION("""COMPUTED_VALUE"""),"PUESTO DE ATENCION AL USUARIO")</f>
        <v>PUESTO DE ATENCION AL USUARIO</v>
      </c>
      <c r="AI543" s="64" t="str">
        <f>IFERROR(__xludf.DUMMYFUNCTION("""COMPUTED_VALUE"""),"INCENDIO EN RUTA")</f>
        <v>INCENDIO EN RUTA</v>
      </c>
      <c r="AJ543" s="64" t="str">
        <f>IFERROR(__xludf.DUMMYFUNCTION("""COMPUTED_VALUE"""),"APOYO ANTORCHA ")</f>
        <v>APOYO ANTORCHA </v>
      </c>
    </row>
    <row r="544">
      <c r="B544" s="64" t="s">
        <v>54</v>
      </c>
      <c r="C544" s="64" t="str">
        <f>IFERROR(__xludf.DUMMYFUNCTION(" TRANSPOSE( unique ( QUERY(DATOPRO,""select Col2 where Col1 = '""&amp;B544&amp;""'"")))"),"PINCHAZO")</f>
        <v>PINCHAZO</v>
      </c>
      <c r="D544" s="64" t="str">
        <f>IFERROR(__xludf.DUMMYFUNCTION("""COMPUTED_VALUE"""),"TRABAJOS DE CARRETERA")</f>
        <v>TRABAJOS DE CARRETERA</v>
      </c>
      <c r="E544" s="64" t="str">
        <f>IFERROR(__xludf.DUMMYFUNCTION("""COMPUTED_VALUE"""),"CONSIGNACIÓN")</f>
        <v>CONSIGNACIÓN</v>
      </c>
      <c r="F544" s="64" t="str">
        <f>IFERROR(__xludf.DUMMYFUNCTION("""COMPUTED_VALUE"""),"DERRAME")</f>
        <v>DERRAME</v>
      </c>
      <c r="G544" s="64" t="str">
        <f>IFERROR(__xludf.DUMMYFUNCTION("""COMPUTED_VALUE"""),"CALENTAMIENTO")</f>
        <v>CALENTAMIENTO</v>
      </c>
      <c r="H544" s="64" t="str">
        <f>IFERROR(__xludf.DUMMYFUNCTION("""COMPUTED_VALUE"""),"ESCOLTANDO")</f>
        <v>ESCOLTANDO</v>
      </c>
      <c r="I544" s="64" t="str">
        <f>IFERROR(__xludf.DUMMYFUNCTION("""COMPUTED_VALUE"""),"FALTA DE COMBUSTIBLE")</f>
        <v>FALTA DE COMBUSTIBLE</v>
      </c>
      <c r="J544" s="64" t="str">
        <f>IFERROR(__xludf.DUMMYFUNCTION("""COMPUTED_VALUE"""),"DESPERFECTOS MECÁNICOS")</f>
        <v>DESPERFECTOS MECÁNICOS</v>
      </c>
      <c r="K544" s="64" t="str">
        <f>IFERROR(__xludf.DUMMYFUNCTION("""COMPUTED_VALUE"""),"LLAMADA DE ATENCIÓN")</f>
        <v>LLAMADA DE ATENCIÓN</v>
      </c>
      <c r="L544" s="64" t="str">
        <f>IFERROR(__xludf.DUMMYFUNCTION("""COMPUTED_VALUE"""),"OPERATIVOS")</f>
        <v>OPERATIVOS</v>
      </c>
      <c r="M544" s="64" t="str">
        <f>IFERROR(__xludf.DUMMYFUNCTION("""COMPUTED_VALUE"""),"SANCIÓN")</f>
        <v>SANCIÓN</v>
      </c>
      <c r="N544" s="64" t="str">
        <f>IFERROR(__xludf.DUMMYFUNCTION("""COMPUTED_VALUE"""),"SISTEMA ELECTRICO")</f>
        <v>SISTEMA ELECTRICO</v>
      </c>
      <c r="O544" s="64" t="str">
        <f>IFERROR(__xludf.DUMMYFUNCTION("""COMPUTED_VALUE"""),"ASISTENCIA AL USUARIO")</f>
        <v>ASISTENCIA AL USUARIO</v>
      </c>
      <c r="P544" s="64" t="str">
        <f>IFERROR(__xludf.DUMMYFUNCTION("""COMPUTED_VALUE"""),"DOBLE REMOLQUE")</f>
        <v>DOBLE REMOLQUE</v>
      </c>
      <c r="Q544" s="64" t="str">
        <f>IFERROR(__xludf.DUMMYFUNCTION("""COMPUTED_VALUE"""),"SINAPRESE")</f>
        <v>SINAPRESE</v>
      </c>
      <c r="R544" s="64" t="str">
        <f>IFERROR(__xludf.DUMMYFUNCTION("""COMPUTED_VALUE"""),"APOYO ATLETISMO")</f>
        <v>APOYO ATLETISMO</v>
      </c>
      <c r="S544" s="64" t="str">
        <f>IFERROR(__xludf.DUMMYFUNCTION("""COMPUTED_VALUE"""),"APOYO A CICLISMO")</f>
        <v>APOYO A CICLISMO</v>
      </c>
      <c r="T544" s="64" t="str">
        <f>IFERROR(__xludf.DUMMYFUNCTION("""COMPUTED_VALUE"""),"DESCARGA DE BATERÍA")</f>
        <v>DESCARGA DE BATERÍA</v>
      </c>
      <c r="U544" s="64" t="str">
        <f>IFERROR(__xludf.DUMMYFUNCTION("""COMPUTED_VALUE"""),"PROBLEMAS DE SALUD")</f>
        <v>PROBLEMAS DE SALUD</v>
      </c>
      <c r="V544" s="64" t="str">
        <f>IFERROR(__xludf.DUMMYFUNCTION("""COMPUTED_VALUE"""),"OLVIDO LA LLAVE")</f>
        <v>OLVIDO LA LLAVE</v>
      </c>
      <c r="W544" s="64" t="str">
        <f>IFERROR(__xludf.DUMMYFUNCTION("""COMPUTED_VALUE"""),"CARGA SOBREDIMENSIONADA")</f>
        <v>CARGA SOBREDIMENSIONADA</v>
      </c>
      <c r="X544" s="64" t="str">
        <f>IFERROR(__xludf.DUMMYFUNCTION("""COMPUTED_VALUE"""),"VEHÍCULO ABANDONADO")</f>
        <v>VEHÍCULO ABANDONADO</v>
      </c>
      <c r="Y544" s="64" t="str">
        <f>IFERROR(__xludf.DUMMYFUNCTION("""COMPUTED_VALUE"""),"DESPRENDIMIENTO")</f>
        <v>DESPRENDIMIENTO</v>
      </c>
      <c r="Z544" s="64" t="str">
        <f>IFERROR(__xludf.DUMMYFUNCTION("""COMPUTED_VALUE"""),"CAÍDA DE POSTE")</f>
        <v>CAÍDA DE POSTE</v>
      </c>
      <c r="AA544" s="64" t="str">
        <f>IFERROR(__xludf.DUMMYFUNCTION("""COMPUTED_VALUE"""),"CAÍDA DE RAMA")</f>
        <v>CAÍDA DE RAMA</v>
      </c>
      <c r="AB544" s="64" t="str">
        <f>IFERROR(__xludf.DUMMYFUNCTION("""COMPUTED_VALUE"""),"OPERATIVO DGT")</f>
        <v>OPERATIVO DGT</v>
      </c>
      <c r="AC544" s="64" t="str">
        <f>IFERROR(__xludf.DUMMYFUNCTION("""COMPUTED_VALUE"""),"OPERATIVO PMT")</f>
        <v>OPERATIVO PMT</v>
      </c>
      <c r="AD544" s="64" t="str">
        <f>IFERROR(__xludf.DUMMYFUNCTION("""COMPUTED_VALUE"""),"APOYO A DIGEF")</f>
        <v>APOYO A DIGEF</v>
      </c>
      <c r="AE544" s="64" t="str">
        <f>IFERROR(__xludf.DUMMYFUNCTION("""COMPUTED_VALUE"""),"OPERATIVO PNC TRANSITO")</f>
        <v>OPERATIVO PNC TRANSITO</v>
      </c>
      <c r="AF544" s="64" t="str">
        <f>IFERROR(__xludf.DUMMYFUNCTION("""COMPUTED_VALUE"""),"SOBRECARGA ")</f>
        <v>SOBRECARGA </v>
      </c>
      <c r="AG544" s="64" t="str">
        <f>IFERROR(__xludf.DUMMYFUNCTION("""COMPUTED_VALUE"""),"OPERATIVO EN CONJUNTO")</f>
        <v>OPERATIVO EN CONJUNTO</v>
      </c>
      <c r="AH544" s="64" t="str">
        <f>IFERROR(__xludf.DUMMYFUNCTION("""COMPUTED_VALUE"""),"PUESTO DE ATENCION AL USUARIO")</f>
        <v>PUESTO DE ATENCION AL USUARIO</v>
      </c>
      <c r="AI544" s="64" t="str">
        <f>IFERROR(__xludf.DUMMYFUNCTION("""COMPUTED_VALUE"""),"INCENDIO EN RUTA")</f>
        <v>INCENDIO EN RUTA</v>
      </c>
      <c r="AJ544" s="64" t="str">
        <f>IFERROR(__xludf.DUMMYFUNCTION("""COMPUTED_VALUE"""),"APOYO ANTORCHA ")</f>
        <v>APOYO ANTORCHA </v>
      </c>
    </row>
    <row r="545">
      <c r="B545" s="64" t="s">
        <v>54</v>
      </c>
      <c r="C545" s="64" t="str">
        <f>IFERROR(__xludf.DUMMYFUNCTION(" TRANSPOSE( unique ( QUERY(DATOPRO,""select Col2 where Col1 = '""&amp;B545&amp;""'"")))"),"PINCHAZO")</f>
        <v>PINCHAZO</v>
      </c>
      <c r="D545" s="64" t="str">
        <f>IFERROR(__xludf.DUMMYFUNCTION("""COMPUTED_VALUE"""),"TRABAJOS DE CARRETERA")</f>
        <v>TRABAJOS DE CARRETERA</v>
      </c>
      <c r="E545" s="64" t="str">
        <f>IFERROR(__xludf.DUMMYFUNCTION("""COMPUTED_VALUE"""),"CONSIGNACIÓN")</f>
        <v>CONSIGNACIÓN</v>
      </c>
      <c r="F545" s="64" t="str">
        <f>IFERROR(__xludf.DUMMYFUNCTION("""COMPUTED_VALUE"""),"DERRAME")</f>
        <v>DERRAME</v>
      </c>
      <c r="G545" s="64" t="str">
        <f>IFERROR(__xludf.DUMMYFUNCTION("""COMPUTED_VALUE"""),"CALENTAMIENTO")</f>
        <v>CALENTAMIENTO</v>
      </c>
      <c r="H545" s="64" t="str">
        <f>IFERROR(__xludf.DUMMYFUNCTION("""COMPUTED_VALUE"""),"ESCOLTANDO")</f>
        <v>ESCOLTANDO</v>
      </c>
      <c r="I545" s="64" t="str">
        <f>IFERROR(__xludf.DUMMYFUNCTION("""COMPUTED_VALUE"""),"FALTA DE COMBUSTIBLE")</f>
        <v>FALTA DE COMBUSTIBLE</v>
      </c>
      <c r="J545" s="64" t="str">
        <f>IFERROR(__xludf.DUMMYFUNCTION("""COMPUTED_VALUE"""),"DESPERFECTOS MECÁNICOS")</f>
        <v>DESPERFECTOS MECÁNICOS</v>
      </c>
      <c r="K545" s="64" t="str">
        <f>IFERROR(__xludf.DUMMYFUNCTION("""COMPUTED_VALUE"""),"LLAMADA DE ATENCIÓN")</f>
        <v>LLAMADA DE ATENCIÓN</v>
      </c>
      <c r="L545" s="64" t="str">
        <f>IFERROR(__xludf.DUMMYFUNCTION("""COMPUTED_VALUE"""),"OPERATIVOS")</f>
        <v>OPERATIVOS</v>
      </c>
      <c r="M545" s="64" t="str">
        <f>IFERROR(__xludf.DUMMYFUNCTION("""COMPUTED_VALUE"""),"SANCIÓN")</f>
        <v>SANCIÓN</v>
      </c>
      <c r="N545" s="64" t="str">
        <f>IFERROR(__xludf.DUMMYFUNCTION("""COMPUTED_VALUE"""),"SISTEMA ELECTRICO")</f>
        <v>SISTEMA ELECTRICO</v>
      </c>
      <c r="O545" s="64" t="str">
        <f>IFERROR(__xludf.DUMMYFUNCTION("""COMPUTED_VALUE"""),"ASISTENCIA AL USUARIO")</f>
        <v>ASISTENCIA AL USUARIO</v>
      </c>
      <c r="P545" s="64" t="str">
        <f>IFERROR(__xludf.DUMMYFUNCTION("""COMPUTED_VALUE"""),"DOBLE REMOLQUE")</f>
        <v>DOBLE REMOLQUE</v>
      </c>
      <c r="Q545" s="64" t="str">
        <f>IFERROR(__xludf.DUMMYFUNCTION("""COMPUTED_VALUE"""),"SINAPRESE")</f>
        <v>SINAPRESE</v>
      </c>
      <c r="R545" s="64" t="str">
        <f>IFERROR(__xludf.DUMMYFUNCTION("""COMPUTED_VALUE"""),"APOYO ATLETISMO")</f>
        <v>APOYO ATLETISMO</v>
      </c>
      <c r="S545" s="64" t="str">
        <f>IFERROR(__xludf.DUMMYFUNCTION("""COMPUTED_VALUE"""),"APOYO A CICLISMO")</f>
        <v>APOYO A CICLISMO</v>
      </c>
      <c r="T545" s="64" t="str">
        <f>IFERROR(__xludf.DUMMYFUNCTION("""COMPUTED_VALUE"""),"DESCARGA DE BATERÍA")</f>
        <v>DESCARGA DE BATERÍA</v>
      </c>
      <c r="U545" s="64" t="str">
        <f>IFERROR(__xludf.DUMMYFUNCTION("""COMPUTED_VALUE"""),"PROBLEMAS DE SALUD")</f>
        <v>PROBLEMAS DE SALUD</v>
      </c>
      <c r="V545" s="64" t="str">
        <f>IFERROR(__xludf.DUMMYFUNCTION("""COMPUTED_VALUE"""),"OLVIDO LA LLAVE")</f>
        <v>OLVIDO LA LLAVE</v>
      </c>
      <c r="W545" s="64" t="str">
        <f>IFERROR(__xludf.DUMMYFUNCTION("""COMPUTED_VALUE"""),"CARGA SOBREDIMENSIONADA")</f>
        <v>CARGA SOBREDIMENSIONADA</v>
      </c>
      <c r="X545" s="64" t="str">
        <f>IFERROR(__xludf.DUMMYFUNCTION("""COMPUTED_VALUE"""),"VEHÍCULO ABANDONADO")</f>
        <v>VEHÍCULO ABANDONADO</v>
      </c>
      <c r="Y545" s="64" t="str">
        <f>IFERROR(__xludf.DUMMYFUNCTION("""COMPUTED_VALUE"""),"DESPRENDIMIENTO")</f>
        <v>DESPRENDIMIENTO</v>
      </c>
      <c r="Z545" s="64" t="str">
        <f>IFERROR(__xludf.DUMMYFUNCTION("""COMPUTED_VALUE"""),"CAÍDA DE POSTE")</f>
        <v>CAÍDA DE POSTE</v>
      </c>
      <c r="AA545" s="64" t="str">
        <f>IFERROR(__xludf.DUMMYFUNCTION("""COMPUTED_VALUE"""),"CAÍDA DE RAMA")</f>
        <v>CAÍDA DE RAMA</v>
      </c>
      <c r="AB545" s="64" t="str">
        <f>IFERROR(__xludf.DUMMYFUNCTION("""COMPUTED_VALUE"""),"OPERATIVO DGT")</f>
        <v>OPERATIVO DGT</v>
      </c>
      <c r="AC545" s="64" t="str">
        <f>IFERROR(__xludf.DUMMYFUNCTION("""COMPUTED_VALUE"""),"OPERATIVO PMT")</f>
        <v>OPERATIVO PMT</v>
      </c>
      <c r="AD545" s="64" t="str">
        <f>IFERROR(__xludf.DUMMYFUNCTION("""COMPUTED_VALUE"""),"APOYO A DIGEF")</f>
        <v>APOYO A DIGEF</v>
      </c>
      <c r="AE545" s="64" t="str">
        <f>IFERROR(__xludf.DUMMYFUNCTION("""COMPUTED_VALUE"""),"OPERATIVO PNC TRANSITO")</f>
        <v>OPERATIVO PNC TRANSITO</v>
      </c>
      <c r="AF545" s="64" t="str">
        <f>IFERROR(__xludf.DUMMYFUNCTION("""COMPUTED_VALUE"""),"SOBRECARGA ")</f>
        <v>SOBRECARGA </v>
      </c>
      <c r="AG545" s="64" t="str">
        <f>IFERROR(__xludf.DUMMYFUNCTION("""COMPUTED_VALUE"""),"OPERATIVO EN CONJUNTO")</f>
        <v>OPERATIVO EN CONJUNTO</v>
      </c>
      <c r="AH545" s="64" t="str">
        <f>IFERROR(__xludf.DUMMYFUNCTION("""COMPUTED_VALUE"""),"PUESTO DE ATENCION AL USUARIO")</f>
        <v>PUESTO DE ATENCION AL USUARIO</v>
      </c>
      <c r="AI545" s="64" t="str">
        <f>IFERROR(__xludf.DUMMYFUNCTION("""COMPUTED_VALUE"""),"INCENDIO EN RUTA")</f>
        <v>INCENDIO EN RUTA</v>
      </c>
      <c r="AJ545" s="64" t="str">
        <f>IFERROR(__xludf.DUMMYFUNCTION("""COMPUTED_VALUE"""),"APOYO ANTORCHA ")</f>
        <v>APOYO ANTORCHA </v>
      </c>
    </row>
    <row r="546">
      <c r="B546" s="64" t="s">
        <v>54</v>
      </c>
      <c r="C546" s="64" t="str">
        <f>IFERROR(__xludf.DUMMYFUNCTION(" TRANSPOSE( unique ( QUERY(DATOPRO,""select Col2 where Col1 = '""&amp;B546&amp;""'"")))"),"PINCHAZO")</f>
        <v>PINCHAZO</v>
      </c>
      <c r="D546" s="64" t="str">
        <f>IFERROR(__xludf.DUMMYFUNCTION("""COMPUTED_VALUE"""),"TRABAJOS DE CARRETERA")</f>
        <v>TRABAJOS DE CARRETERA</v>
      </c>
      <c r="E546" s="64" t="str">
        <f>IFERROR(__xludf.DUMMYFUNCTION("""COMPUTED_VALUE"""),"CONSIGNACIÓN")</f>
        <v>CONSIGNACIÓN</v>
      </c>
      <c r="F546" s="64" t="str">
        <f>IFERROR(__xludf.DUMMYFUNCTION("""COMPUTED_VALUE"""),"DERRAME")</f>
        <v>DERRAME</v>
      </c>
      <c r="G546" s="64" t="str">
        <f>IFERROR(__xludf.DUMMYFUNCTION("""COMPUTED_VALUE"""),"CALENTAMIENTO")</f>
        <v>CALENTAMIENTO</v>
      </c>
      <c r="H546" s="64" t="str">
        <f>IFERROR(__xludf.DUMMYFUNCTION("""COMPUTED_VALUE"""),"ESCOLTANDO")</f>
        <v>ESCOLTANDO</v>
      </c>
      <c r="I546" s="64" t="str">
        <f>IFERROR(__xludf.DUMMYFUNCTION("""COMPUTED_VALUE"""),"FALTA DE COMBUSTIBLE")</f>
        <v>FALTA DE COMBUSTIBLE</v>
      </c>
      <c r="J546" s="64" t="str">
        <f>IFERROR(__xludf.DUMMYFUNCTION("""COMPUTED_VALUE"""),"DESPERFECTOS MECÁNICOS")</f>
        <v>DESPERFECTOS MECÁNICOS</v>
      </c>
      <c r="K546" s="64" t="str">
        <f>IFERROR(__xludf.DUMMYFUNCTION("""COMPUTED_VALUE"""),"LLAMADA DE ATENCIÓN")</f>
        <v>LLAMADA DE ATENCIÓN</v>
      </c>
      <c r="L546" s="64" t="str">
        <f>IFERROR(__xludf.DUMMYFUNCTION("""COMPUTED_VALUE"""),"OPERATIVOS")</f>
        <v>OPERATIVOS</v>
      </c>
      <c r="M546" s="64" t="str">
        <f>IFERROR(__xludf.DUMMYFUNCTION("""COMPUTED_VALUE"""),"SANCIÓN")</f>
        <v>SANCIÓN</v>
      </c>
      <c r="N546" s="64" t="str">
        <f>IFERROR(__xludf.DUMMYFUNCTION("""COMPUTED_VALUE"""),"SISTEMA ELECTRICO")</f>
        <v>SISTEMA ELECTRICO</v>
      </c>
      <c r="O546" s="64" t="str">
        <f>IFERROR(__xludf.DUMMYFUNCTION("""COMPUTED_VALUE"""),"ASISTENCIA AL USUARIO")</f>
        <v>ASISTENCIA AL USUARIO</v>
      </c>
      <c r="P546" s="64" t="str">
        <f>IFERROR(__xludf.DUMMYFUNCTION("""COMPUTED_VALUE"""),"DOBLE REMOLQUE")</f>
        <v>DOBLE REMOLQUE</v>
      </c>
      <c r="Q546" s="64" t="str">
        <f>IFERROR(__xludf.DUMMYFUNCTION("""COMPUTED_VALUE"""),"SINAPRESE")</f>
        <v>SINAPRESE</v>
      </c>
      <c r="R546" s="64" t="str">
        <f>IFERROR(__xludf.DUMMYFUNCTION("""COMPUTED_VALUE"""),"APOYO ATLETISMO")</f>
        <v>APOYO ATLETISMO</v>
      </c>
      <c r="S546" s="64" t="str">
        <f>IFERROR(__xludf.DUMMYFUNCTION("""COMPUTED_VALUE"""),"APOYO A CICLISMO")</f>
        <v>APOYO A CICLISMO</v>
      </c>
      <c r="T546" s="64" t="str">
        <f>IFERROR(__xludf.DUMMYFUNCTION("""COMPUTED_VALUE"""),"DESCARGA DE BATERÍA")</f>
        <v>DESCARGA DE BATERÍA</v>
      </c>
      <c r="U546" s="64" t="str">
        <f>IFERROR(__xludf.DUMMYFUNCTION("""COMPUTED_VALUE"""),"PROBLEMAS DE SALUD")</f>
        <v>PROBLEMAS DE SALUD</v>
      </c>
      <c r="V546" s="64" t="str">
        <f>IFERROR(__xludf.DUMMYFUNCTION("""COMPUTED_VALUE"""),"OLVIDO LA LLAVE")</f>
        <v>OLVIDO LA LLAVE</v>
      </c>
      <c r="W546" s="64" t="str">
        <f>IFERROR(__xludf.DUMMYFUNCTION("""COMPUTED_VALUE"""),"CARGA SOBREDIMENSIONADA")</f>
        <v>CARGA SOBREDIMENSIONADA</v>
      </c>
      <c r="X546" s="64" t="str">
        <f>IFERROR(__xludf.DUMMYFUNCTION("""COMPUTED_VALUE"""),"VEHÍCULO ABANDONADO")</f>
        <v>VEHÍCULO ABANDONADO</v>
      </c>
      <c r="Y546" s="64" t="str">
        <f>IFERROR(__xludf.DUMMYFUNCTION("""COMPUTED_VALUE"""),"DESPRENDIMIENTO")</f>
        <v>DESPRENDIMIENTO</v>
      </c>
      <c r="Z546" s="64" t="str">
        <f>IFERROR(__xludf.DUMMYFUNCTION("""COMPUTED_VALUE"""),"CAÍDA DE POSTE")</f>
        <v>CAÍDA DE POSTE</v>
      </c>
      <c r="AA546" s="64" t="str">
        <f>IFERROR(__xludf.DUMMYFUNCTION("""COMPUTED_VALUE"""),"CAÍDA DE RAMA")</f>
        <v>CAÍDA DE RAMA</v>
      </c>
      <c r="AB546" s="64" t="str">
        <f>IFERROR(__xludf.DUMMYFUNCTION("""COMPUTED_VALUE"""),"OPERATIVO DGT")</f>
        <v>OPERATIVO DGT</v>
      </c>
      <c r="AC546" s="64" t="str">
        <f>IFERROR(__xludf.DUMMYFUNCTION("""COMPUTED_VALUE"""),"OPERATIVO PMT")</f>
        <v>OPERATIVO PMT</v>
      </c>
      <c r="AD546" s="64" t="str">
        <f>IFERROR(__xludf.DUMMYFUNCTION("""COMPUTED_VALUE"""),"APOYO A DIGEF")</f>
        <v>APOYO A DIGEF</v>
      </c>
      <c r="AE546" s="64" t="str">
        <f>IFERROR(__xludf.DUMMYFUNCTION("""COMPUTED_VALUE"""),"OPERATIVO PNC TRANSITO")</f>
        <v>OPERATIVO PNC TRANSITO</v>
      </c>
      <c r="AF546" s="64" t="str">
        <f>IFERROR(__xludf.DUMMYFUNCTION("""COMPUTED_VALUE"""),"SOBRECARGA ")</f>
        <v>SOBRECARGA </v>
      </c>
      <c r="AG546" s="64" t="str">
        <f>IFERROR(__xludf.DUMMYFUNCTION("""COMPUTED_VALUE"""),"OPERATIVO EN CONJUNTO")</f>
        <v>OPERATIVO EN CONJUNTO</v>
      </c>
      <c r="AH546" s="64" t="str">
        <f>IFERROR(__xludf.DUMMYFUNCTION("""COMPUTED_VALUE"""),"PUESTO DE ATENCION AL USUARIO")</f>
        <v>PUESTO DE ATENCION AL USUARIO</v>
      </c>
      <c r="AI546" s="64" t="str">
        <f>IFERROR(__xludf.DUMMYFUNCTION("""COMPUTED_VALUE"""),"INCENDIO EN RUTA")</f>
        <v>INCENDIO EN RUTA</v>
      </c>
      <c r="AJ546" s="64" t="str">
        <f>IFERROR(__xludf.DUMMYFUNCTION("""COMPUTED_VALUE"""),"APOYO ANTORCHA ")</f>
        <v>APOYO ANTORCHA </v>
      </c>
    </row>
    <row r="547">
      <c r="B547" s="64"/>
      <c r="C547" s="64" t="str">
        <f>IFERROR(__xludf.DUMMYFUNCTION(" TRANSPOSE( unique ( QUERY(DATOPRO,""select Col2 where Col1 = '""&amp;B547&amp;""'"")))"),"")</f>
        <v/>
      </c>
    </row>
    <row r="548">
      <c r="B548" s="64" t="s">
        <v>38</v>
      </c>
      <c r="C548" s="64" t="str">
        <f>IFERROR(__xludf.DUMMYFUNCTION(" TRANSPOSE( unique ( QUERY(DATOPRO,""select Col2 where Col1 = '""&amp;B548&amp;""'"")))"),"ATAQUE ARMADO")</f>
        <v>ATAQUE ARMADO</v>
      </c>
      <c r="D548" s="64" t="str">
        <f>IFERROR(__xludf.DUMMYFUNCTION("""COMPUTED_VALUE"""),"DESBALANCE DE CARGA")</f>
        <v>DESBALANCE DE CARGA</v>
      </c>
      <c r="E548" s="64" t="str">
        <f>IFERROR(__xludf.DUMMYFUNCTION("""COMPUTED_VALUE"""),"PERSONA FALLECIDA")</f>
        <v>PERSONA FALLECIDA</v>
      </c>
      <c r="F548" s="64" t="str">
        <f>IFERROR(__xludf.DUMMYFUNCTION("""COMPUTED_VALUE"""),"DESPRENDIMIENTO DE NEUMATICO")</f>
        <v>DESPRENDIMIENTO DE NEUMATICO</v>
      </c>
      <c r="G548" s="64" t="str">
        <f>IFERROR(__xludf.DUMMYFUNCTION("""COMPUTED_VALUE"""),"SALIDA DE PISTA")</f>
        <v>SALIDA DE PISTA</v>
      </c>
      <c r="H548" s="64" t="str">
        <f>IFERROR(__xludf.DUMMYFUNCTION("""COMPUTED_VALUE"""),"DESPRENDIMIENTO DE CONTENEDOR")</f>
        <v>DESPRENDIMIENTO DE CONTENEDOR</v>
      </c>
      <c r="I548" s="64" t="str">
        <f>IFERROR(__xludf.DUMMYFUNCTION("""COMPUTED_VALUE"""),"CAÍDA DE CARGA")</f>
        <v>CAÍDA DE CARGA</v>
      </c>
      <c r="J548" s="64" t="str">
        <f>IFERROR(__xludf.DUMMYFUNCTION("""COMPUTED_VALUE"""),"CHOQUE")</f>
        <v>CHOQUE</v>
      </c>
      <c r="K548" s="64" t="str">
        <f>IFERROR(__xludf.DUMMYFUNCTION("""COMPUTED_VALUE"""),"COLISIÓN")</f>
        <v>COLISIÓN</v>
      </c>
      <c r="L548" s="64" t="str">
        <f>IFERROR(__xludf.DUMMYFUNCTION("""COMPUTED_VALUE"""),"COLISIÓN MÚLTIPLE")</f>
        <v>COLISIÓN MÚLTIPLE</v>
      </c>
      <c r="M548" s="64" t="str">
        <f>IFERROR(__xludf.DUMMYFUNCTION("""COMPUTED_VALUE"""),"DERRAPE")</f>
        <v>DERRAPE</v>
      </c>
      <c r="N548" s="64" t="str">
        <f>IFERROR(__xludf.DUMMYFUNCTION("""COMPUTED_VALUE"""),"VEHÍCULO INCENDIADO")</f>
        <v>VEHÍCULO INCENDIADO</v>
      </c>
      <c r="O548" s="64" t="str">
        <f>IFERROR(__xludf.DUMMYFUNCTION("""COMPUTED_VALUE"""),"VUELCO")</f>
        <v>VUELCO</v>
      </c>
      <c r="P548" s="64" t="str">
        <f>IFERROR(__xludf.DUMMYFUNCTION("""COMPUTED_VALUE"""),"DESPRENDIMIENTO")</f>
        <v>DESPRENDIMIENTO</v>
      </c>
      <c r="Q548" s="64" t="str">
        <f>IFERROR(__xludf.DUMMYFUNCTION("""COMPUTED_VALUE"""),"CAÍDA DE ÁRBOL")</f>
        <v>CAÍDA DE ÁRBOL</v>
      </c>
      <c r="R548" s="64" t="str">
        <f>IFERROR(__xludf.DUMMYFUNCTION("""COMPUTED_VALUE"""),"DESPRENDIMIENTO DE EJE")</f>
        <v>DESPRENDIMIENTO DE EJE</v>
      </c>
      <c r="S548" s="64" t="str">
        <f>IFERROR(__xludf.DUMMYFUNCTION("""COMPUTED_VALUE"""),"PERSONA ATROPELLADA")</f>
        <v>PERSONA ATROPELLADA</v>
      </c>
    </row>
    <row r="549">
      <c r="B549" s="64" t="s">
        <v>54</v>
      </c>
      <c r="C549" s="64" t="str">
        <f>IFERROR(__xludf.DUMMYFUNCTION(" TRANSPOSE( unique ( QUERY(DATOPRO,""select Col2 where Col1 = '""&amp;B549&amp;""'"")))"),"PINCHAZO")</f>
        <v>PINCHAZO</v>
      </c>
      <c r="D549" s="64" t="str">
        <f>IFERROR(__xludf.DUMMYFUNCTION("""COMPUTED_VALUE"""),"TRABAJOS DE CARRETERA")</f>
        <v>TRABAJOS DE CARRETERA</v>
      </c>
      <c r="E549" s="64" t="str">
        <f>IFERROR(__xludf.DUMMYFUNCTION("""COMPUTED_VALUE"""),"CONSIGNACIÓN")</f>
        <v>CONSIGNACIÓN</v>
      </c>
      <c r="F549" s="64" t="str">
        <f>IFERROR(__xludf.DUMMYFUNCTION("""COMPUTED_VALUE"""),"DERRAME")</f>
        <v>DERRAME</v>
      </c>
      <c r="G549" s="64" t="str">
        <f>IFERROR(__xludf.DUMMYFUNCTION("""COMPUTED_VALUE"""),"CALENTAMIENTO")</f>
        <v>CALENTAMIENTO</v>
      </c>
      <c r="H549" s="64" t="str">
        <f>IFERROR(__xludf.DUMMYFUNCTION("""COMPUTED_VALUE"""),"ESCOLTANDO")</f>
        <v>ESCOLTANDO</v>
      </c>
      <c r="I549" s="64" t="str">
        <f>IFERROR(__xludf.DUMMYFUNCTION("""COMPUTED_VALUE"""),"FALTA DE COMBUSTIBLE")</f>
        <v>FALTA DE COMBUSTIBLE</v>
      </c>
      <c r="J549" s="64" t="str">
        <f>IFERROR(__xludf.DUMMYFUNCTION("""COMPUTED_VALUE"""),"DESPERFECTOS MECÁNICOS")</f>
        <v>DESPERFECTOS MECÁNICOS</v>
      </c>
      <c r="K549" s="64" t="str">
        <f>IFERROR(__xludf.DUMMYFUNCTION("""COMPUTED_VALUE"""),"LLAMADA DE ATENCIÓN")</f>
        <v>LLAMADA DE ATENCIÓN</v>
      </c>
      <c r="L549" s="64" t="str">
        <f>IFERROR(__xludf.DUMMYFUNCTION("""COMPUTED_VALUE"""),"OPERATIVOS")</f>
        <v>OPERATIVOS</v>
      </c>
      <c r="M549" s="64" t="str">
        <f>IFERROR(__xludf.DUMMYFUNCTION("""COMPUTED_VALUE"""),"SANCIÓN")</f>
        <v>SANCIÓN</v>
      </c>
      <c r="N549" s="64" t="str">
        <f>IFERROR(__xludf.DUMMYFUNCTION("""COMPUTED_VALUE"""),"SISTEMA ELECTRICO")</f>
        <v>SISTEMA ELECTRICO</v>
      </c>
      <c r="O549" s="64" t="str">
        <f>IFERROR(__xludf.DUMMYFUNCTION("""COMPUTED_VALUE"""),"ASISTENCIA AL USUARIO")</f>
        <v>ASISTENCIA AL USUARIO</v>
      </c>
      <c r="P549" s="64" t="str">
        <f>IFERROR(__xludf.DUMMYFUNCTION("""COMPUTED_VALUE"""),"DOBLE REMOLQUE")</f>
        <v>DOBLE REMOLQUE</v>
      </c>
      <c r="Q549" s="64" t="str">
        <f>IFERROR(__xludf.DUMMYFUNCTION("""COMPUTED_VALUE"""),"SINAPRESE")</f>
        <v>SINAPRESE</v>
      </c>
      <c r="R549" s="64" t="str">
        <f>IFERROR(__xludf.DUMMYFUNCTION("""COMPUTED_VALUE"""),"APOYO ATLETISMO")</f>
        <v>APOYO ATLETISMO</v>
      </c>
      <c r="S549" s="64" t="str">
        <f>IFERROR(__xludf.DUMMYFUNCTION("""COMPUTED_VALUE"""),"APOYO A CICLISMO")</f>
        <v>APOYO A CICLISMO</v>
      </c>
      <c r="T549" s="64" t="str">
        <f>IFERROR(__xludf.DUMMYFUNCTION("""COMPUTED_VALUE"""),"DESCARGA DE BATERÍA")</f>
        <v>DESCARGA DE BATERÍA</v>
      </c>
      <c r="U549" s="64" t="str">
        <f>IFERROR(__xludf.DUMMYFUNCTION("""COMPUTED_VALUE"""),"PROBLEMAS DE SALUD")</f>
        <v>PROBLEMAS DE SALUD</v>
      </c>
      <c r="V549" s="64" t="str">
        <f>IFERROR(__xludf.DUMMYFUNCTION("""COMPUTED_VALUE"""),"OLVIDO LA LLAVE")</f>
        <v>OLVIDO LA LLAVE</v>
      </c>
      <c r="W549" s="64" t="str">
        <f>IFERROR(__xludf.DUMMYFUNCTION("""COMPUTED_VALUE"""),"CARGA SOBREDIMENSIONADA")</f>
        <v>CARGA SOBREDIMENSIONADA</v>
      </c>
      <c r="X549" s="64" t="str">
        <f>IFERROR(__xludf.DUMMYFUNCTION("""COMPUTED_VALUE"""),"VEHÍCULO ABANDONADO")</f>
        <v>VEHÍCULO ABANDONADO</v>
      </c>
      <c r="Y549" s="64" t="str">
        <f>IFERROR(__xludf.DUMMYFUNCTION("""COMPUTED_VALUE"""),"DESPRENDIMIENTO")</f>
        <v>DESPRENDIMIENTO</v>
      </c>
      <c r="Z549" s="64" t="str">
        <f>IFERROR(__xludf.DUMMYFUNCTION("""COMPUTED_VALUE"""),"CAÍDA DE POSTE")</f>
        <v>CAÍDA DE POSTE</v>
      </c>
      <c r="AA549" s="64" t="str">
        <f>IFERROR(__xludf.DUMMYFUNCTION("""COMPUTED_VALUE"""),"CAÍDA DE RAMA")</f>
        <v>CAÍDA DE RAMA</v>
      </c>
      <c r="AB549" s="64" t="str">
        <f>IFERROR(__xludf.DUMMYFUNCTION("""COMPUTED_VALUE"""),"OPERATIVO DGT")</f>
        <v>OPERATIVO DGT</v>
      </c>
      <c r="AC549" s="64" t="str">
        <f>IFERROR(__xludf.DUMMYFUNCTION("""COMPUTED_VALUE"""),"OPERATIVO PMT")</f>
        <v>OPERATIVO PMT</v>
      </c>
      <c r="AD549" s="64" t="str">
        <f>IFERROR(__xludf.DUMMYFUNCTION("""COMPUTED_VALUE"""),"APOYO A DIGEF")</f>
        <v>APOYO A DIGEF</v>
      </c>
      <c r="AE549" s="64" t="str">
        <f>IFERROR(__xludf.DUMMYFUNCTION("""COMPUTED_VALUE"""),"OPERATIVO PNC TRANSITO")</f>
        <v>OPERATIVO PNC TRANSITO</v>
      </c>
      <c r="AF549" s="64" t="str">
        <f>IFERROR(__xludf.DUMMYFUNCTION("""COMPUTED_VALUE"""),"SOBRECARGA ")</f>
        <v>SOBRECARGA </v>
      </c>
      <c r="AG549" s="64" t="str">
        <f>IFERROR(__xludf.DUMMYFUNCTION("""COMPUTED_VALUE"""),"OPERATIVO EN CONJUNTO")</f>
        <v>OPERATIVO EN CONJUNTO</v>
      </c>
      <c r="AH549" s="64" t="str">
        <f>IFERROR(__xludf.DUMMYFUNCTION("""COMPUTED_VALUE"""),"PUESTO DE ATENCION AL USUARIO")</f>
        <v>PUESTO DE ATENCION AL USUARIO</v>
      </c>
      <c r="AI549" s="64" t="str">
        <f>IFERROR(__xludf.DUMMYFUNCTION("""COMPUTED_VALUE"""),"INCENDIO EN RUTA")</f>
        <v>INCENDIO EN RUTA</v>
      </c>
      <c r="AJ549" s="64" t="str">
        <f>IFERROR(__xludf.DUMMYFUNCTION("""COMPUTED_VALUE"""),"APOYO ANTORCHA ")</f>
        <v>APOYO ANTORCHA </v>
      </c>
    </row>
    <row r="550">
      <c r="B550" s="64"/>
      <c r="C550" s="64" t="str">
        <f>IFERROR(__xludf.DUMMYFUNCTION(" TRANSPOSE( unique ( QUERY(DATOPRO,""select Col2 where Col1 = '""&amp;B550&amp;""'"")))"),"")</f>
        <v/>
      </c>
    </row>
    <row r="551">
      <c r="B551" s="64" t="s">
        <v>38</v>
      </c>
      <c r="C551" s="64" t="str">
        <f>IFERROR(__xludf.DUMMYFUNCTION(" TRANSPOSE( unique ( QUERY(DATOPRO,""select Col2 where Col1 = '""&amp;B551&amp;""'"")))"),"ATAQUE ARMADO")</f>
        <v>ATAQUE ARMADO</v>
      </c>
      <c r="D551" s="64" t="str">
        <f>IFERROR(__xludf.DUMMYFUNCTION("""COMPUTED_VALUE"""),"DESBALANCE DE CARGA")</f>
        <v>DESBALANCE DE CARGA</v>
      </c>
      <c r="E551" s="64" t="str">
        <f>IFERROR(__xludf.DUMMYFUNCTION("""COMPUTED_VALUE"""),"PERSONA FALLECIDA")</f>
        <v>PERSONA FALLECIDA</v>
      </c>
      <c r="F551" s="64" t="str">
        <f>IFERROR(__xludf.DUMMYFUNCTION("""COMPUTED_VALUE"""),"DESPRENDIMIENTO DE NEUMATICO")</f>
        <v>DESPRENDIMIENTO DE NEUMATICO</v>
      </c>
      <c r="G551" s="64" t="str">
        <f>IFERROR(__xludf.DUMMYFUNCTION("""COMPUTED_VALUE"""),"SALIDA DE PISTA")</f>
        <v>SALIDA DE PISTA</v>
      </c>
      <c r="H551" s="64" t="str">
        <f>IFERROR(__xludf.DUMMYFUNCTION("""COMPUTED_VALUE"""),"DESPRENDIMIENTO DE CONTENEDOR")</f>
        <v>DESPRENDIMIENTO DE CONTENEDOR</v>
      </c>
      <c r="I551" s="64" t="str">
        <f>IFERROR(__xludf.DUMMYFUNCTION("""COMPUTED_VALUE"""),"CAÍDA DE CARGA")</f>
        <v>CAÍDA DE CARGA</v>
      </c>
      <c r="J551" s="64" t="str">
        <f>IFERROR(__xludf.DUMMYFUNCTION("""COMPUTED_VALUE"""),"CHOQUE")</f>
        <v>CHOQUE</v>
      </c>
      <c r="K551" s="64" t="str">
        <f>IFERROR(__xludf.DUMMYFUNCTION("""COMPUTED_VALUE"""),"COLISIÓN")</f>
        <v>COLISIÓN</v>
      </c>
      <c r="L551" s="64" t="str">
        <f>IFERROR(__xludf.DUMMYFUNCTION("""COMPUTED_VALUE"""),"COLISIÓN MÚLTIPLE")</f>
        <v>COLISIÓN MÚLTIPLE</v>
      </c>
      <c r="M551" s="64" t="str">
        <f>IFERROR(__xludf.DUMMYFUNCTION("""COMPUTED_VALUE"""),"DERRAPE")</f>
        <v>DERRAPE</v>
      </c>
      <c r="N551" s="64" t="str">
        <f>IFERROR(__xludf.DUMMYFUNCTION("""COMPUTED_VALUE"""),"VEHÍCULO INCENDIADO")</f>
        <v>VEHÍCULO INCENDIADO</v>
      </c>
      <c r="O551" s="64" t="str">
        <f>IFERROR(__xludf.DUMMYFUNCTION("""COMPUTED_VALUE"""),"VUELCO")</f>
        <v>VUELCO</v>
      </c>
      <c r="P551" s="64" t="str">
        <f>IFERROR(__xludf.DUMMYFUNCTION("""COMPUTED_VALUE"""),"DESPRENDIMIENTO")</f>
        <v>DESPRENDIMIENTO</v>
      </c>
      <c r="Q551" s="64" t="str">
        <f>IFERROR(__xludf.DUMMYFUNCTION("""COMPUTED_VALUE"""),"CAÍDA DE ÁRBOL")</f>
        <v>CAÍDA DE ÁRBOL</v>
      </c>
      <c r="R551" s="64" t="str">
        <f>IFERROR(__xludf.DUMMYFUNCTION("""COMPUTED_VALUE"""),"DESPRENDIMIENTO DE EJE")</f>
        <v>DESPRENDIMIENTO DE EJE</v>
      </c>
      <c r="S551" s="64" t="str">
        <f>IFERROR(__xludf.DUMMYFUNCTION("""COMPUTED_VALUE"""),"PERSONA ATROPELLADA")</f>
        <v>PERSONA ATROPELLADA</v>
      </c>
    </row>
    <row r="552">
      <c r="B552" s="64" t="s">
        <v>54</v>
      </c>
      <c r="C552" s="64" t="str">
        <f>IFERROR(__xludf.DUMMYFUNCTION(" TRANSPOSE( unique ( QUERY(DATOPRO,""select Col2 where Col1 = '""&amp;B552&amp;""'"")))"),"PINCHAZO")</f>
        <v>PINCHAZO</v>
      </c>
      <c r="D552" s="64" t="str">
        <f>IFERROR(__xludf.DUMMYFUNCTION("""COMPUTED_VALUE"""),"TRABAJOS DE CARRETERA")</f>
        <v>TRABAJOS DE CARRETERA</v>
      </c>
      <c r="E552" s="64" t="str">
        <f>IFERROR(__xludf.DUMMYFUNCTION("""COMPUTED_VALUE"""),"CONSIGNACIÓN")</f>
        <v>CONSIGNACIÓN</v>
      </c>
      <c r="F552" s="64" t="str">
        <f>IFERROR(__xludf.DUMMYFUNCTION("""COMPUTED_VALUE"""),"DERRAME")</f>
        <v>DERRAME</v>
      </c>
      <c r="G552" s="64" t="str">
        <f>IFERROR(__xludf.DUMMYFUNCTION("""COMPUTED_VALUE"""),"CALENTAMIENTO")</f>
        <v>CALENTAMIENTO</v>
      </c>
      <c r="H552" s="64" t="str">
        <f>IFERROR(__xludf.DUMMYFUNCTION("""COMPUTED_VALUE"""),"ESCOLTANDO")</f>
        <v>ESCOLTANDO</v>
      </c>
      <c r="I552" s="64" t="str">
        <f>IFERROR(__xludf.DUMMYFUNCTION("""COMPUTED_VALUE"""),"FALTA DE COMBUSTIBLE")</f>
        <v>FALTA DE COMBUSTIBLE</v>
      </c>
      <c r="J552" s="64" t="str">
        <f>IFERROR(__xludf.DUMMYFUNCTION("""COMPUTED_VALUE"""),"DESPERFECTOS MECÁNICOS")</f>
        <v>DESPERFECTOS MECÁNICOS</v>
      </c>
      <c r="K552" s="64" t="str">
        <f>IFERROR(__xludf.DUMMYFUNCTION("""COMPUTED_VALUE"""),"LLAMADA DE ATENCIÓN")</f>
        <v>LLAMADA DE ATENCIÓN</v>
      </c>
      <c r="L552" s="64" t="str">
        <f>IFERROR(__xludf.DUMMYFUNCTION("""COMPUTED_VALUE"""),"OPERATIVOS")</f>
        <v>OPERATIVOS</v>
      </c>
      <c r="M552" s="64" t="str">
        <f>IFERROR(__xludf.DUMMYFUNCTION("""COMPUTED_VALUE"""),"SANCIÓN")</f>
        <v>SANCIÓN</v>
      </c>
      <c r="N552" s="64" t="str">
        <f>IFERROR(__xludf.DUMMYFUNCTION("""COMPUTED_VALUE"""),"SISTEMA ELECTRICO")</f>
        <v>SISTEMA ELECTRICO</v>
      </c>
      <c r="O552" s="64" t="str">
        <f>IFERROR(__xludf.DUMMYFUNCTION("""COMPUTED_VALUE"""),"ASISTENCIA AL USUARIO")</f>
        <v>ASISTENCIA AL USUARIO</v>
      </c>
      <c r="P552" s="64" t="str">
        <f>IFERROR(__xludf.DUMMYFUNCTION("""COMPUTED_VALUE"""),"DOBLE REMOLQUE")</f>
        <v>DOBLE REMOLQUE</v>
      </c>
      <c r="Q552" s="64" t="str">
        <f>IFERROR(__xludf.DUMMYFUNCTION("""COMPUTED_VALUE"""),"SINAPRESE")</f>
        <v>SINAPRESE</v>
      </c>
      <c r="R552" s="64" t="str">
        <f>IFERROR(__xludf.DUMMYFUNCTION("""COMPUTED_VALUE"""),"APOYO ATLETISMO")</f>
        <v>APOYO ATLETISMO</v>
      </c>
      <c r="S552" s="64" t="str">
        <f>IFERROR(__xludf.DUMMYFUNCTION("""COMPUTED_VALUE"""),"APOYO A CICLISMO")</f>
        <v>APOYO A CICLISMO</v>
      </c>
      <c r="T552" s="64" t="str">
        <f>IFERROR(__xludf.DUMMYFUNCTION("""COMPUTED_VALUE"""),"DESCARGA DE BATERÍA")</f>
        <v>DESCARGA DE BATERÍA</v>
      </c>
      <c r="U552" s="64" t="str">
        <f>IFERROR(__xludf.DUMMYFUNCTION("""COMPUTED_VALUE"""),"PROBLEMAS DE SALUD")</f>
        <v>PROBLEMAS DE SALUD</v>
      </c>
      <c r="V552" s="64" t="str">
        <f>IFERROR(__xludf.DUMMYFUNCTION("""COMPUTED_VALUE"""),"OLVIDO LA LLAVE")</f>
        <v>OLVIDO LA LLAVE</v>
      </c>
      <c r="W552" s="64" t="str">
        <f>IFERROR(__xludf.DUMMYFUNCTION("""COMPUTED_VALUE"""),"CARGA SOBREDIMENSIONADA")</f>
        <v>CARGA SOBREDIMENSIONADA</v>
      </c>
      <c r="X552" s="64" t="str">
        <f>IFERROR(__xludf.DUMMYFUNCTION("""COMPUTED_VALUE"""),"VEHÍCULO ABANDONADO")</f>
        <v>VEHÍCULO ABANDONADO</v>
      </c>
      <c r="Y552" s="64" t="str">
        <f>IFERROR(__xludf.DUMMYFUNCTION("""COMPUTED_VALUE"""),"DESPRENDIMIENTO")</f>
        <v>DESPRENDIMIENTO</v>
      </c>
      <c r="Z552" s="64" t="str">
        <f>IFERROR(__xludf.DUMMYFUNCTION("""COMPUTED_VALUE"""),"CAÍDA DE POSTE")</f>
        <v>CAÍDA DE POSTE</v>
      </c>
      <c r="AA552" s="64" t="str">
        <f>IFERROR(__xludf.DUMMYFUNCTION("""COMPUTED_VALUE"""),"CAÍDA DE RAMA")</f>
        <v>CAÍDA DE RAMA</v>
      </c>
      <c r="AB552" s="64" t="str">
        <f>IFERROR(__xludf.DUMMYFUNCTION("""COMPUTED_VALUE"""),"OPERATIVO DGT")</f>
        <v>OPERATIVO DGT</v>
      </c>
      <c r="AC552" s="64" t="str">
        <f>IFERROR(__xludf.DUMMYFUNCTION("""COMPUTED_VALUE"""),"OPERATIVO PMT")</f>
        <v>OPERATIVO PMT</v>
      </c>
      <c r="AD552" s="64" t="str">
        <f>IFERROR(__xludf.DUMMYFUNCTION("""COMPUTED_VALUE"""),"APOYO A DIGEF")</f>
        <v>APOYO A DIGEF</v>
      </c>
      <c r="AE552" s="64" t="str">
        <f>IFERROR(__xludf.DUMMYFUNCTION("""COMPUTED_VALUE"""),"OPERATIVO PNC TRANSITO")</f>
        <v>OPERATIVO PNC TRANSITO</v>
      </c>
      <c r="AF552" s="64" t="str">
        <f>IFERROR(__xludf.DUMMYFUNCTION("""COMPUTED_VALUE"""),"SOBRECARGA ")</f>
        <v>SOBRECARGA </v>
      </c>
      <c r="AG552" s="64" t="str">
        <f>IFERROR(__xludf.DUMMYFUNCTION("""COMPUTED_VALUE"""),"OPERATIVO EN CONJUNTO")</f>
        <v>OPERATIVO EN CONJUNTO</v>
      </c>
      <c r="AH552" s="64" t="str">
        <f>IFERROR(__xludf.DUMMYFUNCTION("""COMPUTED_VALUE"""),"PUESTO DE ATENCION AL USUARIO")</f>
        <v>PUESTO DE ATENCION AL USUARIO</v>
      </c>
      <c r="AI552" s="64" t="str">
        <f>IFERROR(__xludf.DUMMYFUNCTION("""COMPUTED_VALUE"""),"INCENDIO EN RUTA")</f>
        <v>INCENDIO EN RUTA</v>
      </c>
      <c r="AJ552" s="64" t="str">
        <f>IFERROR(__xludf.DUMMYFUNCTION("""COMPUTED_VALUE"""),"APOYO ANTORCHA ")</f>
        <v>APOYO ANTORCHA </v>
      </c>
    </row>
    <row r="553">
      <c r="B553" s="64" t="s">
        <v>38</v>
      </c>
      <c r="C553" s="64" t="str">
        <f>IFERROR(__xludf.DUMMYFUNCTION(" TRANSPOSE( unique ( QUERY(DATOPRO,""select Col2 where Col1 = '""&amp;B553&amp;""'"")))"),"ATAQUE ARMADO")</f>
        <v>ATAQUE ARMADO</v>
      </c>
      <c r="D553" s="64" t="str">
        <f>IFERROR(__xludf.DUMMYFUNCTION("""COMPUTED_VALUE"""),"DESBALANCE DE CARGA")</f>
        <v>DESBALANCE DE CARGA</v>
      </c>
      <c r="E553" s="64" t="str">
        <f>IFERROR(__xludf.DUMMYFUNCTION("""COMPUTED_VALUE"""),"PERSONA FALLECIDA")</f>
        <v>PERSONA FALLECIDA</v>
      </c>
      <c r="F553" s="64" t="str">
        <f>IFERROR(__xludf.DUMMYFUNCTION("""COMPUTED_VALUE"""),"DESPRENDIMIENTO DE NEUMATICO")</f>
        <v>DESPRENDIMIENTO DE NEUMATICO</v>
      </c>
      <c r="G553" s="64" t="str">
        <f>IFERROR(__xludf.DUMMYFUNCTION("""COMPUTED_VALUE"""),"SALIDA DE PISTA")</f>
        <v>SALIDA DE PISTA</v>
      </c>
      <c r="H553" s="64" t="str">
        <f>IFERROR(__xludf.DUMMYFUNCTION("""COMPUTED_VALUE"""),"DESPRENDIMIENTO DE CONTENEDOR")</f>
        <v>DESPRENDIMIENTO DE CONTENEDOR</v>
      </c>
      <c r="I553" s="64" t="str">
        <f>IFERROR(__xludf.DUMMYFUNCTION("""COMPUTED_VALUE"""),"CAÍDA DE CARGA")</f>
        <v>CAÍDA DE CARGA</v>
      </c>
      <c r="J553" s="64" t="str">
        <f>IFERROR(__xludf.DUMMYFUNCTION("""COMPUTED_VALUE"""),"CHOQUE")</f>
        <v>CHOQUE</v>
      </c>
      <c r="K553" s="64" t="str">
        <f>IFERROR(__xludf.DUMMYFUNCTION("""COMPUTED_VALUE"""),"COLISIÓN")</f>
        <v>COLISIÓN</v>
      </c>
      <c r="L553" s="64" t="str">
        <f>IFERROR(__xludf.DUMMYFUNCTION("""COMPUTED_VALUE"""),"COLISIÓN MÚLTIPLE")</f>
        <v>COLISIÓN MÚLTIPLE</v>
      </c>
      <c r="M553" s="64" t="str">
        <f>IFERROR(__xludf.DUMMYFUNCTION("""COMPUTED_VALUE"""),"DERRAPE")</f>
        <v>DERRAPE</v>
      </c>
      <c r="N553" s="64" t="str">
        <f>IFERROR(__xludf.DUMMYFUNCTION("""COMPUTED_VALUE"""),"VEHÍCULO INCENDIADO")</f>
        <v>VEHÍCULO INCENDIADO</v>
      </c>
      <c r="O553" s="64" t="str">
        <f>IFERROR(__xludf.DUMMYFUNCTION("""COMPUTED_VALUE"""),"VUELCO")</f>
        <v>VUELCO</v>
      </c>
      <c r="P553" s="64" t="str">
        <f>IFERROR(__xludf.DUMMYFUNCTION("""COMPUTED_VALUE"""),"DESPRENDIMIENTO")</f>
        <v>DESPRENDIMIENTO</v>
      </c>
      <c r="Q553" s="64" t="str">
        <f>IFERROR(__xludf.DUMMYFUNCTION("""COMPUTED_VALUE"""),"CAÍDA DE ÁRBOL")</f>
        <v>CAÍDA DE ÁRBOL</v>
      </c>
      <c r="R553" s="64" t="str">
        <f>IFERROR(__xludf.DUMMYFUNCTION("""COMPUTED_VALUE"""),"DESPRENDIMIENTO DE EJE")</f>
        <v>DESPRENDIMIENTO DE EJE</v>
      </c>
      <c r="S553" s="64" t="str">
        <f>IFERROR(__xludf.DUMMYFUNCTION("""COMPUTED_VALUE"""),"PERSONA ATROPELLADA")</f>
        <v>PERSONA ATROPELLADA</v>
      </c>
    </row>
    <row r="554">
      <c r="B554" s="64" t="s">
        <v>38</v>
      </c>
      <c r="C554" s="64" t="str">
        <f>IFERROR(__xludf.DUMMYFUNCTION(" TRANSPOSE( unique ( QUERY(DATOPRO,""select Col2 where Col1 = '""&amp;B554&amp;""'"")))"),"ATAQUE ARMADO")</f>
        <v>ATAQUE ARMADO</v>
      </c>
      <c r="D554" s="64" t="str">
        <f>IFERROR(__xludf.DUMMYFUNCTION("""COMPUTED_VALUE"""),"DESBALANCE DE CARGA")</f>
        <v>DESBALANCE DE CARGA</v>
      </c>
      <c r="E554" s="64" t="str">
        <f>IFERROR(__xludf.DUMMYFUNCTION("""COMPUTED_VALUE"""),"PERSONA FALLECIDA")</f>
        <v>PERSONA FALLECIDA</v>
      </c>
      <c r="F554" s="64" t="str">
        <f>IFERROR(__xludf.DUMMYFUNCTION("""COMPUTED_VALUE"""),"DESPRENDIMIENTO DE NEUMATICO")</f>
        <v>DESPRENDIMIENTO DE NEUMATICO</v>
      </c>
      <c r="G554" s="64" t="str">
        <f>IFERROR(__xludf.DUMMYFUNCTION("""COMPUTED_VALUE"""),"SALIDA DE PISTA")</f>
        <v>SALIDA DE PISTA</v>
      </c>
      <c r="H554" s="64" t="str">
        <f>IFERROR(__xludf.DUMMYFUNCTION("""COMPUTED_VALUE"""),"DESPRENDIMIENTO DE CONTENEDOR")</f>
        <v>DESPRENDIMIENTO DE CONTENEDOR</v>
      </c>
      <c r="I554" s="64" t="str">
        <f>IFERROR(__xludf.DUMMYFUNCTION("""COMPUTED_VALUE"""),"CAÍDA DE CARGA")</f>
        <v>CAÍDA DE CARGA</v>
      </c>
      <c r="J554" s="64" t="str">
        <f>IFERROR(__xludf.DUMMYFUNCTION("""COMPUTED_VALUE"""),"CHOQUE")</f>
        <v>CHOQUE</v>
      </c>
      <c r="K554" s="64" t="str">
        <f>IFERROR(__xludf.DUMMYFUNCTION("""COMPUTED_VALUE"""),"COLISIÓN")</f>
        <v>COLISIÓN</v>
      </c>
      <c r="L554" s="64" t="str">
        <f>IFERROR(__xludf.DUMMYFUNCTION("""COMPUTED_VALUE"""),"COLISIÓN MÚLTIPLE")</f>
        <v>COLISIÓN MÚLTIPLE</v>
      </c>
      <c r="M554" s="64" t="str">
        <f>IFERROR(__xludf.DUMMYFUNCTION("""COMPUTED_VALUE"""),"DERRAPE")</f>
        <v>DERRAPE</v>
      </c>
      <c r="N554" s="64" t="str">
        <f>IFERROR(__xludf.DUMMYFUNCTION("""COMPUTED_VALUE"""),"VEHÍCULO INCENDIADO")</f>
        <v>VEHÍCULO INCENDIADO</v>
      </c>
      <c r="O554" s="64" t="str">
        <f>IFERROR(__xludf.DUMMYFUNCTION("""COMPUTED_VALUE"""),"VUELCO")</f>
        <v>VUELCO</v>
      </c>
      <c r="P554" s="64" t="str">
        <f>IFERROR(__xludf.DUMMYFUNCTION("""COMPUTED_VALUE"""),"DESPRENDIMIENTO")</f>
        <v>DESPRENDIMIENTO</v>
      </c>
      <c r="Q554" s="64" t="str">
        <f>IFERROR(__xludf.DUMMYFUNCTION("""COMPUTED_VALUE"""),"CAÍDA DE ÁRBOL")</f>
        <v>CAÍDA DE ÁRBOL</v>
      </c>
      <c r="R554" s="64" t="str">
        <f>IFERROR(__xludf.DUMMYFUNCTION("""COMPUTED_VALUE"""),"DESPRENDIMIENTO DE EJE")</f>
        <v>DESPRENDIMIENTO DE EJE</v>
      </c>
      <c r="S554" s="64" t="str">
        <f>IFERROR(__xludf.DUMMYFUNCTION("""COMPUTED_VALUE"""),"PERSONA ATROPELLADA")</f>
        <v>PERSONA ATROPELLADA</v>
      </c>
    </row>
    <row r="555">
      <c r="B555" s="64" t="s">
        <v>54</v>
      </c>
      <c r="C555" s="64" t="str">
        <f>IFERROR(__xludf.DUMMYFUNCTION(" TRANSPOSE( unique ( QUERY(DATOPRO,""select Col2 where Col1 = '""&amp;B555&amp;""'"")))"),"PINCHAZO")</f>
        <v>PINCHAZO</v>
      </c>
      <c r="D555" s="64" t="str">
        <f>IFERROR(__xludf.DUMMYFUNCTION("""COMPUTED_VALUE"""),"TRABAJOS DE CARRETERA")</f>
        <v>TRABAJOS DE CARRETERA</v>
      </c>
      <c r="E555" s="64" t="str">
        <f>IFERROR(__xludf.DUMMYFUNCTION("""COMPUTED_VALUE"""),"CONSIGNACIÓN")</f>
        <v>CONSIGNACIÓN</v>
      </c>
      <c r="F555" s="64" t="str">
        <f>IFERROR(__xludf.DUMMYFUNCTION("""COMPUTED_VALUE"""),"DERRAME")</f>
        <v>DERRAME</v>
      </c>
      <c r="G555" s="64" t="str">
        <f>IFERROR(__xludf.DUMMYFUNCTION("""COMPUTED_VALUE"""),"CALENTAMIENTO")</f>
        <v>CALENTAMIENTO</v>
      </c>
      <c r="H555" s="64" t="str">
        <f>IFERROR(__xludf.DUMMYFUNCTION("""COMPUTED_VALUE"""),"ESCOLTANDO")</f>
        <v>ESCOLTANDO</v>
      </c>
      <c r="I555" s="64" t="str">
        <f>IFERROR(__xludf.DUMMYFUNCTION("""COMPUTED_VALUE"""),"FALTA DE COMBUSTIBLE")</f>
        <v>FALTA DE COMBUSTIBLE</v>
      </c>
      <c r="J555" s="64" t="str">
        <f>IFERROR(__xludf.DUMMYFUNCTION("""COMPUTED_VALUE"""),"DESPERFECTOS MECÁNICOS")</f>
        <v>DESPERFECTOS MECÁNICOS</v>
      </c>
      <c r="K555" s="64" t="str">
        <f>IFERROR(__xludf.DUMMYFUNCTION("""COMPUTED_VALUE"""),"LLAMADA DE ATENCIÓN")</f>
        <v>LLAMADA DE ATENCIÓN</v>
      </c>
      <c r="L555" s="64" t="str">
        <f>IFERROR(__xludf.DUMMYFUNCTION("""COMPUTED_VALUE"""),"OPERATIVOS")</f>
        <v>OPERATIVOS</v>
      </c>
      <c r="M555" s="64" t="str">
        <f>IFERROR(__xludf.DUMMYFUNCTION("""COMPUTED_VALUE"""),"SANCIÓN")</f>
        <v>SANCIÓN</v>
      </c>
      <c r="N555" s="64" t="str">
        <f>IFERROR(__xludf.DUMMYFUNCTION("""COMPUTED_VALUE"""),"SISTEMA ELECTRICO")</f>
        <v>SISTEMA ELECTRICO</v>
      </c>
      <c r="O555" s="64" t="str">
        <f>IFERROR(__xludf.DUMMYFUNCTION("""COMPUTED_VALUE"""),"ASISTENCIA AL USUARIO")</f>
        <v>ASISTENCIA AL USUARIO</v>
      </c>
      <c r="P555" s="64" t="str">
        <f>IFERROR(__xludf.DUMMYFUNCTION("""COMPUTED_VALUE"""),"DOBLE REMOLQUE")</f>
        <v>DOBLE REMOLQUE</v>
      </c>
      <c r="Q555" s="64" t="str">
        <f>IFERROR(__xludf.DUMMYFUNCTION("""COMPUTED_VALUE"""),"SINAPRESE")</f>
        <v>SINAPRESE</v>
      </c>
      <c r="R555" s="64" t="str">
        <f>IFERROR(__xludf.DUMMYFUNCTION("""COMPUTED_VALUE"""),"APOYO ATLETISMO")</f>
        <v>APOYO ATLETISMO</v>
      </c>
      <c r="S555" s="64" t="str">
        <f>IFERROR(__xludf.DUMMYFUNCTION("""COMPUTED_VALUE"""),"APOYO A CICLISMO")</f>
        <v>APOYO A CICLISMO</v>
      </c>
      <c r="T555" s="64" t="str">
        <f>IFERROR(__xludf.DUMMYFUNCTION("""COMPUTED_VALUE"""),"DESCARGA DE BATERÍA")</f>
        <v>DESCARGA DE BATERÍA</v>
      </c>
      <c r="U555" s="64" t="str">
        <f>IFERROR(__xludf.DUMMYFUNCTION("""COMPUTED_VALUE"""),"PROBLEMAS DE SALUD")</f>
        <v>PROBLEMAS DE SALUD</v>
      </c>
      <c r="V555" s="64" t="str">
        <f>IFERROR(__xludf.DUMMYFUNCTION("""COMPUTED_VALUE"""),"OLVIDO LA LLAVE")</f>
        <v>OLVIDO LA LLAVE</v>
      </c>
      <c r="W555" s="64" t="str">
        <f>IFERROR(__xludf.DUMMYFUNCTION("""COMPUTED_VALUE"""),"CARGA SOBREDIMENSIONADA")</f>
        <v>CARGA SOBREDIMENSIONADA</v>
      </c>
      <c r="X555" s="64" t="str">
        <f>IFERROR(__xludf.DUMMYFUNCTION("""COMPUTED_VALUE"""),"VEHÍCULO ABANDONADO")</f>
        <v>VEHÍCULO ABANDONADO</v>
      </c>
      <c r="Y555" s="64" t="str">
        <f>IFERROR(__xludf.DUMMYFUNCTION("""COMPUTED_VALUE"""),"DESPRENDIMIENTO")</f>
        <v>DESPRENDIMIENTO</v>
      </c>
      <c r="Z555" s="64" t="str">
        <f>IFERROR(__xludf.DUMMYFUNCTION("""COMPUTED_VALUE"""),"CAÍDA DE POSTE")</f>
        <v>CAÍDA DE POSTE</v>
      </c>
      <c r="AA555" s="64" t="str">
        <f>IFERROR(__xludf.DUMMYFUNCTION("""COMPUTED_VALUE"""),"CAÍDA DE RAMA")</f>
        <v>CAÍDA DE RAMA</v>
      </c>
      <c r="AB555" s="64" t="str">
        <f>IFERROR(__xludf.DUMMYFUNCTION("""COMPUTED_VALUE"""),"OPERATIVO DGT")</f>
        <v>OPERATIVO DGT</v>
      </c>
      <c r="AC555" s="64" t="str">
        <f>IFERROR(__xludf.DUMMYFUNCTION("""COMPUTED_VALUE"""),"OPERATIVO PMT")</f>
        <v>OPERATIVO PMT</v>
      </c>
      <c r="AD555" s="64" t="str">
        <f>IFERROR(__xludf.DUMMYFUNCTION("""COMPUTED_VALUE"""),"APOYO A DIGEF")</f>
        <v>APOYO A DIGEF</v>
      </c>
      <c r="AE555" s="64" t="str">
        <f>IFERROR(__xludf.DUMMYFUNCTION("""COMPUTED_VALUE"""),"OPERATIVO PNC TRANSITO")</f>
        <v>OPERATIVO PNC TRANSITO</v>
      </c>
      <c r="AF555" s="64" t="str">
        <f>IFERROR(__xludf.DUMMYFUNCTION("""COMPUTED_VALUE"""),"SOBRECARGA ")</f>
        <v>SOBRECARGA </v>
      </c>
      <c r="AG555" s="64" t="str">
        <f>IFERROR(__xludf.DUMMYFUNCTION("""COMPUTED_VALUE"""),"OPERATIVO EN CONJUNTO")</f>
        <v>OPERATIVO EN CONJUNTO</v>
      </c>
      <c r="AH555" s="64" t="str">
        <f>IFERROR(__xludf.DUMMYFUNCTION("""COMPUTED_VALUE"""),"PUESTO DE ATENCION AL USUARIO")</f>
        <v>PUESTO DE ATENCION AL USUARIO</v>
      </c>
      <c r="AI555" s="64" t="str">
        <f>IFERROR(__xludf.DUMMYFUNCTION("""COMPUTED_VALUE"""),"INCENDIO EN RUTA")</f>
        <v>INCENDIO EN RUTA</v>
      </c>
      <c r="AJ555" s="64" t="str">
        <f>IFERROR(__xludf.DUMMYFUNCTION("""COMPUTED_VALUE"""),"APOYO ANTORCHA ")</f>
        <v>APOYO ANTORCHA </v>
      </c>
    </row>
    <row r="556">
      <c r="B556" s="64" t="s">
        <v>54</v>
      </c>
      <c r="C556" s="64" t="str">
        <f>IFERROR(__xludf.DUMMYFUNCTION(" TRANSPOSE( unique ( QUERY(DATOPRO,""select Col2 where Col1 = '""&amp;B556&amp;""'"")))"),"PINCHAZO")</f>
        <v>PINCHAZO</v>
      </c>
      <c r="D556" s="64" t="str">
        <f>IFERROR(__xludf.DUMMYFUNCTION("""COMPUTED_VALUE"""),"TRABAJOS DE CARRETERA")</f>
        <v>TRABAJOS DE CARRETERA</v>
      </c>
      <c r="E556" s="64" t="str">
        <f>IFERROR(__xludf.DUMMYFUNCTION("""COMPUTED_VALUE"""),"CONSIGNACIÓN")</f>
        <v>CONSIGNACIÓN</v>
      </c>
      <c r="F556" s="64" t="str">
        <f>IFERROR(__xludf.DUMMYFUNCTION("""COMPUTED_VALUE"""),"DERRAME")</f>
        <v>DERRAME</v>
      </c>
      <c r="G556" s="64" t="str">
        <f>IFERROR(__xludf.DUMMYFUNCTION("""COMPUTED_VALUE"""),"CALENTAMIENTO")</f>
        <v>CALENTAMIENTO</v>
      </c>
      <c r="H556" s="64" t="str">
        <f>IFERROR(__xludf.DUMMYFUNCTION("""COMPUTED_VALUE"""),"ESCOLTANDO")</f>
        <v>ESCOLTANDO</v>
      </c>
      <c r="I556" s="64" t="str">
        <f>IFERROR(__xludf.DUMMYFUNCTION("""COMPUTED_VALUE"""),"FALTA DE COMBUSTIBLE")</f>
        <v>FALTA DE COMBUSTIBLE</v>
      </c>
      <c r="J556" s="64" t="str">
        <f>IFERROR(__xludf.DUMMYFUNCTION("""COMPUTED_VALUE"""),"DESPERFECTOS MECÁNICOS")</f>
        <v>DESPERFECTOS MECÁNICOS</v>
      </c>
      <c r="K556" s="64" t="str">
        <f>IFERROR(__xludf.DUMMYFUNCTION("""COMPUTED_VALUE"""),"LLAMADA DE ATENCIÓN")</f>
        <v>LLAMADA DE ATENCIÓN</v>
      </c>
      <c r="L556" s="64" t="str">
        <f>IFERROR(__xludf.DUMMYFUNCTION("""COMPUTED_VALUE"""),"OPERATIVOS")</f>
        <v>OPERATIVOS</v>
      </c>
      <c r="M556" s="64" t="str">
        <f>IFERROR(__xludf.DUMMYFUNCTION("""COMPUTED_VALUE"""),"SANCIÓN")</f>
        <v>SANCIÓN</v>
      </c>
      <c r="N556" s="64" t="str">
        <f>IFERROR(__xludf.DUMMYFUNCTION("""COMPUTED_VALUE"""),"SISTEMA ELECTRICO")</f>
        <v>SISTEMA ELECTRICO</v>
      </c>
      <c r="O556" s="64" t="str">
        <f>IFERROR(__xludf.DUMMYFUNCTION("""COMPUTED_VALUE"""),"ASISTENCIA AL USUARIO")</f>
        <v>ASISTENCIA AL USUARIO</v>
      </c>
      <c r="P556" s="64" t="str">
        <f>IFERROR(__xludf.DUMMYFUNCTION("""COMPUTED_VALUE"""),"DOBLE REMOLQUE")</f>
        <v>DOBLE REMOLQUE</v>
      </c>
      <c r="Q556" s="64" t="str">
        <f>IFERROR(__xludf.DUMMYFUNCTION("""COMPUTED_VALUE"""),"SINAPRESE")</f>
        <v>SINAPRESE</v>
      </c>
      <c r="R556" s="64" t="str">
        <f>IFERROR(__xludf.DUMMYFUNCTION("""COMPUTED_VALUE"""),"APOYO ATLETISMO")</f>
        <v>APOYO ATLETISMO</v>
      </c>
      <c r="S556" s="64" t="str">
        <f>IFERROR(__xludf.DUMMYFUNCTION("""COMPUTED_VALUE"""),"APOYO A CICLISMO")</f>
        <v>APOYO A CICLISMO</v>
      </c>
      <c r="T556" s="64" t="str">
        <f>IFERROR(__xludf.DUMMYFUNCTION("""COMPUTED_VALUE"""),"DESCARGA DE BATERÍA")</f>
        <v>DESCARGA DE BATERÍA</v>
      </c>
      <c r="U556" s="64" t="str">
        <f>IFERROR(__xludf.DUMMYFUNCTION("""COMPUTED_VALUE"""),"PROBLEMAS DE SALUD")</f>
        <v>PROBLEMAS DE SALUD</v>
      </c>
      <c r="V556" s="64" t="str">
        <f>IFERROR(__xludf.DUMMYFUNCTION("""COMPUTED_VALUE"""),"OLVIDO LA LLAVE")</f>
        <v>OLVIDO LA LLAVE</v>
      </c>
      <c r="W556" s="64" t="str">
        <f>IFERROR(__xludf.DUMMYFUNCTION("""COMPUTED_VALUE"""),"CARGA SOBREDIMENSIONADA")</f>
        <v>CARGA SOBREDIMENSIONADA</v>
      </c>
      <c r="X556" s="64" t="str">
        <f>IFERROR(__xludf.DUMMYFUNCTION("""COMPUTED_VALUE"""),"VEHÍCULO ABANDONADO")</f>
        <v>VEHÍCULO ABANDONADO</v>
      </c>
      <c r="Y556" s="64" t="str">
        <f>IFERROR(__xludf.DUMMYFUNCTION("""COMPUTED_VALUE"""),"DESPRENDIMIENTO")</f>
        <v>DESPRENDIMIENTO</v>
      </c>
      <c r="Z556" s="64" t="str">
        <f>IFERROR(__xludf.DUMMYFUNCTION("""COMPUTED_VALUE"""),"CAÍDA DE POSTE")</f>
        <v>CAÍDA DE POSTE</v>
      </c>
      <c r="AA556" s="64" t="str">
        <f>IFERROR(__xludf.DUMMYFUNCTION("""COMPUTED_VALUE"""),"CAÍDA DE RAMA")</f>
        <v>CAÍDA DE RAMA</v>
      </c>
      <c r="AB556" s="64" t="str">
        <f>IFERROR(__xludf.DUMMYFUNCTION("""COMPUTED_VALUE"""),"OPERATIVO DGT")</f>
        <v>OPERATIVO DGT</v>
      </c>
      <c r="AC556" s="64" t="str">
        <f>IFERROR(__xludf.DUMMYFUNCTION("""COMPUTED_VALUE"""),"OPERATIVO PMT")</f>
        <v>OPERATIVO PMT</v>
      </c>
      <c r="AD556" s="64" t="str">
        <f>IFERROR(__xludf.DUMMYFUNCTION("""COMPUTED_VALUE"""),"APOYO A DIGEF")</f>
        <v>APOYO A DIGEF</v>
      </c>
      <c r="AE556" s="64" t="str">
        <f>IFERROR(__xludf.DUMMYFUNCTION("""COMPUTED_VALUE"""),"OPERATIVO PNC TRANSITO")</f>
        <v>OPERATIVO PNC TRANSITO</v>
      </c>
      <c r="AF556" s="64" t="str">
        <f>IFERROR(__xludf.DUMMYFUNCTION("""COMPUTED_VALUE"""),"SOBRECARGA ")</f>
        <v>SOBRECARGA </v>
      </c>
      <c r="AG556" s="64" t="str">
        <f>IFERROR(__xludf.DUMMYFUNCTION("""COMPUTED_VALUE"""),"OPERATIVO EN CONJUNTO")</f>
        <v>OPERATIVO EN CONJUNTO</v>
      </c>
      <c r="AH556" s="64" t="str">
        <f>IFERROR(__xludf.DUMMYFUNCTION("""COMPUTED_VALUE"""),"PUESTO DE ATENCION AL USUARIO")</f>
        <v>PUESTO DE ATENCION AL USUARIO</v>
      </c>
      <c r="AI556" s="64" t="str">
        <f>IFERROR(__xludf.DUMMYFUNCTION("""COMPUTED_VALUE"""),"INCENDIO EN RUTA")</f>
        <v>INCENDIO EN RUTA</v>
      </c>
      <c r="AJ556" s="64" t="str">
        <f>IFERROR(__xludf.DUMMYFUNCTION("""COMPUTED_VALUE"""),"APOYO ANTORCHA ")</f>
        <v>APOYO ANTORCHA </v>
      </c>
    </row>
    <row r="557">
      <c r="B557" s="64" t="s">
        <v>38</v>
      </c>
      <c r="C557" s="64" t="str">
        <f>IFERROR(__xludf.DUMMYFUNCTION(" TRANSPOSE( unique ( QUERY(DATOPRO,""select Col2 where Col1 = '""&amp;B557&amp;""'"")))"),"ATAQUE ARMADO")</f>
        <v>ATAQUE ARMADO</v>
      </c>
      <c r="D557" s="64" t="str">
        <f>IFERROR(__xludf.DUMMYFUNCTION("""COMPUTED_VALUE"""),"DESBALANCE DE CARGA")</f>
        <v>DESBALANCE DE CARGA</v>
      </c>
      <c r="E557" s="64" t="str">
        <f>IFERROR(__xludf.DUMMYFUNCTION("""COMPUTED_VALUE"""),"PERSONA FALLECIDA")</f>
        <v>PERSONA FALLECIDA</v>
      </c>
      <c r="F557" s="64" t="str">
        <f>IFERROR(__xludf.DUMMYFUNCTION("""COMPUTED_VALUE"""),"DESPRENDIMIENTO DE NEUMATICO")</f>
        <v>DESPRENDIMIENTO DE NEUMATICO</v>
      </c>
      <c r="G557" s="64" t="str">
        <f>IFERROR(__xludf.DUMMYFUNCTION("""COMPUTED_VALUE"""),"SALIDA DE PISTA")</f>
        <v>SALIDA DE PISTA</v>
      </c>
      <c r="H557" s="64" t="str">
        <f>IFERROR(__xludf.DUMMYFUNCTION("""COMPUTED_VALUE"""),"DESPRENDIMIENTO DE CONTENEDOR")</f>
        <v>DESPRENDIMIENTO DE CONTENEDOR</v>
      </c>
      <c r="I557" s="64" t="str">
        <f>IFERROR(__xludf.DUMMYFUNCTION("""COMPUTED_VALUE"""),"CAÍDA DE CARGA")</f>
        <v>CAÍDA DE CARGA</v>
      </c>
      <c r="J557" s="64" t="str">
        <f>IFERROR(__xludf.DUMMYFUNCTION("""COMPUTED_VALUE"""),"CHOQUE")</f>
        <v>CHOQUE</v>
      </c>
      <c r="K557" s="64" t="str">
        <f>IFERROR(__xludf.DUMMYFUNCTION("""COMPUTED_VALUE"""),"COLISIÓN")</f>
        <v>COLISIÓN</v>
      </c>
      <c r="L557" s="64" t="str">
        <f>IFERROR(__xludf.DUMMYFUNCTION("""COMPUTED_VALUE"""),"COLISIÓN MÚLTIPLE")</f>
        <v>COLISIÓN MÚLTIPLE</v>
      </c>
      <c r="M557" s="64" t="str">
        <f>IFERROR(__xludf.DUMMYFUNCTION("""COMPUTED_VALUE"""),"DERRAPE")</f>
        <v>DERRAPE</v>
      </c>
      <c r="N557" s="64" t="str">
        <f>IFERROR(__xludf.DUMMYFUNCTION("""COMPUTED_VALUE"""),"VEHÍCULO INCENDIADO")</f>
        <v>VEHÍCULO INCENDIADO</v>
      </c>
      <c r="O557" s="64" t="str">
        <f>IFERROR(__xludf.DUMMYFUNCTION("""COMPUTED_VALUE"""),"VUELCO")</f>
        <v>VUELCO</v>
      </c>
      <c r="P557" s="64" t="str">
        <f>IFERROR(__xludf.DUMMYFUNCTION("""COMPUTED_VALUE"""),"DESPRENDIMIENTO")</f>
        <v>DESPRENDIMIENTO</v>
      </c>
      <c r="Q557" s="64" t="str">
        <f>IFERROR(__xludf.DUMMYFUNCTION("""COMPUTED_VALUE"""),"CAÍDA DE ÁRBOL")</f>
        <v>CAÍDA DE ÁRBOL</v>
      </c>
      <c r="R557" s="64" t="str">
        <f>IFERROR(__xludf.DUMMYFUNCTION("""COMPUTED_VALUE"""),"DESPRENDIMIENTO DE EJE")</f>
        <v>DESPRENDIMIENTO DE EJE</v>
      </c>
      <c r="S557" s="64" t="str">
        <f>IFERROR(__xludf.DUMMYFUNCTION("""COMPUTED_VALUE"""),"PERSONA ATROPELLADA")</f>
        <v>PERSONA ATROPELLADA</v>
      </c>
    </row>
    <row r="558">
      <c r="B558" s="64" t="s">
        <v>54</v>
      </c>
      <c r="C558" s="64" t="str">
        <f>IFERROR(__xludf.DUMMYFUNCTION(" TRANSPOSE( unique ( QUERY(DATOPRO,""select Col2 where Col1 = '""&amp;B558&amp;""'"")))"),"PINCHAZO")</f>
        <v>PINCHAZO</v>
      </c>
      <c r="D558" s="64" t="str">
        <f>IFERROR(__xludf.DUMMYFUNCTION("""COMPUTED_VALUE"""),"TRABAJOS DE CARRETERA")</f>
        <v>TRABAJOS DE CARRETERA</v>
      </c>
      <c r="E558" s="64" t="str">
        <f>IFERROR(__xludf.DUMMYFUNCTION("""COMPUTED_VALUE"""),"CONSIGNACIÓN")</f>
        <v>CONSIGNACIÓN</v>
      </c>
      <c r="F558" s="64" t="str">
        <f>IFERROR(__xludf.DUMMYFUNCTION("""COMPUTED_VALUE"""),"DERRAME")</f>
        <v>DERRAME</v>
      </c>
      <c r="G558" s="64" t="str">
        <f>IFERROR(__xludf.DUMMYFUNCTION("""COMPUTED_VALUE"""),"CALENTAMIENTO")</f>
        <v>CALENTAMIENTO</v>
      </c>
      <c r="H558" s="64" t="str">
        <f>IFERROR(__xludf.DUMMYFUNCTION("""COMPUTED_VALUE"""),"ESCOLTANDO")</f>
        <v>ESCOLTANDO</v>
      </c>
      <c r="I558" s="64" t="str">
        <f>IFERROR(__xludf.DUMMYFUNCTION("""COMPUTED_VALUE"""),"FALTA DE COMBUSTIBLE")</f>
        <v>FALTA DE COMBUSTIBLE</v>
      </c>
      <c r="J558" s="64" t="str">
        <f>IFERROR(__xludf.DUMMYFUNCTION("""COMPUTED_VALUE"""),"DESPERFECTOS MECÁNICOS")</f>
        <v>DESPERFECTOS MECÁNICOS</v>
      </c>
      <c r="K558" s="64" t="str">
        <f>IFERROR(__xludf.DUMMYFUNCTION("""COMPUTED_VALUE"""),"LLAMADA DE ATENCIÓN")</f>
        <v>LLAMADA DE ATENCIÓN</v>
      </c>
      <c r="L558" s="64" t="str">
        <f>IFERROR(__xludf.DUMMYFUNCTION("""COMPUTED_VALUE"""),"OPERATIVOS")</f>
        <v>OPERATIVOS</v>
      </c>
      <c r="M558" s="64" t="str">
        <f>IFERROR(__xludf.DUMMYFUNCTION("""COMPUTED_VALUE"""),"SANCIÓN")</f>
        <v>SANCIÓN</v>
      </c>
      <c r="N558" s="64" t="str">
        <f>IFERROR(__xludf.DUMMYFUNCTION("""COMPUTED_VALUE"""),"SISTEMA ELECTRICO")</f>
        <v>SISTEMA ELECTRICO</v>
      </c>
      <c r="O558" s="64" t="str">
        <f>IFERROR(__xludf.DUMMYFUNCTION("""COMPUTED_VALUE"""),"ASISTENCIA AL USUARIO")</f>
        <v>ASISTENCIA AL USUARIO</v>
      </c>
      <c r="P558" s="64" t="str">
        <f>IFERROR(__xludf.DUMMYFUNCTION("""COMPUTED_VALUE"""),"DOBLE REMOLQUE")</f>
        <v>DOBLE REMOLQUE</v>
      </c>
      <c r="Q558" s="64" t="str">
        <f>IFERROR(__xludf.DUMMYFUNCTION("""COMPUTED_VALUE"""),"SINAPRESE")</f>
        <v>SINAPRESE</v>
      </c>
      <c r="R558" s="64" t="str">
        <f>IFERROR(__xludf.DUMMYFUNCTION("""COMPUTED_VALUE"""),"APOYO ATLETISMO")</f>
        <v>APOYO ATLETISMO</v>
      </c>
      <c r="S558" s="64" t="str">
        <f>IFERROR(__xludf.DUMMYFUNCTION("""COMPUTED_VALUE"""),"APOYO A CICLISMO")</f>
        <v>APOYO A CICLISMO</v>
      </c>
      <c r="T558" s="64" t="str">
        <f>IFERROR(__xludf.DUMMYFUNCTION("""COMPUTED_VALUE"""),"DESCARGA DE BATERÍA")</f>
        <v>DESCARGA DE BATERÍA</v>
      </c>
      <c r="U558" s="64" t="str">
        <f>IFERROR(__xludf.DUMMYFUNCTION("""COMPUTED_VALUE"""),"PROBLEMAS DE SALUD")</f>
        <v>PROBLEMAS DE SALUD</v>
      </c>
      <c r="V558" s="64" t="str">
        <f>IFERROR(__xludf.DUMMYFUNCTION("""COMPUTED_VALUE"""),"OLVIDO LA LLAVE")</f>
        <v>OLVIDO LA LLAVE</v>
      </c>
      <c r="W558" s="64" t="str">
        <f>IFERROR(__xludf.DUMMYFUNCTION("""COMPUTED_VALUE"""),"CARGA SOBREDIMENSIONADA")</f>
        <v>CARGA SOBREDIMENSIONADA</v>
      </c>
      <c r="X558" s="64" t="str">
        <f>IFERROR(__xludf.DUMMYFUNCTION("""COMPUTED_VALUE"""),"VEHÍCULO ABANDONADO")</f>
        <v>VEHÍCULO ABANDONADO</v>
      </c>
      <c r="Y558" s="64" t="str">
        <f>IFERROR(__xludf.DUMMYFUNCTION("""COMPUTED_VALUE"""),"DESPRENDIMIENTO")</f>
        <v>DESPRENDIMIENTO</v>
      </c>
      <c r="Z558" s="64" t="str">
        <f>IFERROR(__xludf.DUMMYFUNCTION("""COMPUTED_VALUE"""),"CAÍDA DE POSTE")</f>
        <v>CAÍDA DE POSTE</v>
      </c>
      <c r="AA558" s="64" t="str">
        <f>IFERROR(__xludf.DUMMYFUNCTION("""COMPUTED_VALUE"""),"CAÍDA DE RAMA")</f>
        <v>CAÍDA DE RAMA</v>
      </c>
      <c r="AB558" s="64" t="str">
        <f>IFERROR(__xludf.DUMMYFUNCTION("""COMPUTED_VALUE"""),"OPERATIVO DGT")</f>
        <v>OPERATIVO DGT</v>
      </c>
      <c r="AC558" s="64" t="str">
        <f>IFERROR(__xludf.DUMMYFUNCTION("""COMPUTED_VALUE"""),"OPERATIVO PMT")</f>
        <v>OPERATIVO PMT</v>
      </c>
      <c r="AD558" s="64" t="str">
        <f>IFERROR(__xludf.DUMMYFUNCTION("""COMPUTED_VALUE"""),"APOYO A DIGEF")</f>
        <v>APOYO A DIGEF</v>
      </c>
      <c r="AE558" s="64" t="str">
        <f>IFERROR(__xludf.DUMMYFUNCTION("""COMPUTED_VALUE"""),"OPERATIVO PNC TRANSITO")</f>
        <v>OPERATIVO PNC TRANSITO</v>
      </c>
      <c r="AF558" s="64" t="str">
        <f>IFERROR(__xludf.DUMMYFUNCTION("""COMPUTED_VALUE"""),"SOBRECARGA ")</f>
        <v>SOBRECARGA </v>
      </c>
      <c r="AG558" s="64" t="str">
        <f>IFERROR(__xludf.DUMMYFUNCTION("""COMPUTED_VALUE"""),"OPERATIVO EN CONJUNTO")</f>
        <v>OPERATIVO EN CONJUNTO</v>
      </c>
      <c r="AH558" s="64" t="str">
        <f>IFERROR(__xludf.DUMMYFUNCTION("""COMPUTED_VALUE"""),"PUESTO DE ATENCION AL USUARIO")</f>
        <v>PUESTO DE ATENCION AL USUARIO</v>
      </c>
      <c r="AI558" s="64" t="str">
        <f>IFERROR(__xludf.DUMMYFUNCTION("""COMPUTED_VALUE"""),"INCENDIO EN RUTA")</f>
        <v>INCENDIO EN RUTA</v>
      </c>
      <c r="AJ558" s="64" t="str">
        <f>IFERROR(__xludf.DUMMYFUNCTION("""COMPUTED_VALUE"""),"APOYO ANTORCHA ")</f>
        <v>APOYO ANTORCHA </v>
      </c>
    </row>
    <row r="559">
      <c r="B559" s="64" t="s">
        <v>54</v>
      </c>
      <c r="C559" s="64" t="str">
        <f>IFERROR(__xludf.DUMMYFUNCTION(" TRANSPOSE( unique ( QUERY(DATOPRO,""select Col2 where Col1 = '""&amp;B559&amp;""'"")))"),"PINCHAZO")</f>
        <v>PINCHAZO</v>
      </c>
      <c r="D559" s="64" t="str">
        <f>IFERROR(__xludf.DUMMYFUNCTION("""COMPUTED_VALUE"""),"TRABAJOS DE CARRETERA")</f>
        <v>TRABAJOS DE CARRETERA</v>
      </c>
      <c r="E559" s="64" t="str">
        <f>IFERROR(__xludf.DUMMYFUNCTION("""COMPUTED_VALUE"""),"CONSIGNACIÓN")</f>
        <v>CONSIGNACIÓN</v>
      </c>
      <c r="F559" s="64" t="str">
        <f>IFERROR(__xludf.DUMMYFUNCTION("""COMPUTED_VALUE"""),"DERRAME")</f>
        <v>DERRAME</v>
      </c>
      <c r="G559" s="64" t="str">
        <f>IFERROR(__xludf.DUMMYFUNCTION("""COMPUTED_VALUE"""),"CALENTAMIENTO")</f>
        <v>CALENTAMIENTO</v>
      </c>
      <c r="H559" s="64" t="str">
        <f>IFERROR(__xludf.DUMMYFUNCTION("""COMPUTED_VALUE"""),"ESCOLTANDO")</f>
        <v>ESCOLTANDO</v>
      </c>
      <c r="I559" s="64" t="str">
        <f>IFERROR(__xludf.DUMMYFUNCTION("""COMPUTED_VALUE"""),"FALTA DE COMBUSTIBLE")</f>
        <v>FALTA DE COMBUSTIBLE</v>
      </c>
      <c r="J559" s="64" t="str">
        <f>IFERROR(__xludf.DUMMYFUNCTION("""COMPUTED_VALUE"""),"DESPERFECTOS MECÁNICOS")</f>
        <v>DESPERFECTOS MECÁNICOS</v>
      </c>
      <c r="K559" s="64" t="str">
        <f>IFERROR(__xludf.DUMMYFUNCTION("""COMPUTED_VALUE"""),"LLAMADA DE ATENCIÓN")</f>
        <v>LLAMADA DE ATENCIÓN</v>
      </c>
      <c r="L559" s="64" t="str">
        <f>IFERROR(__xludf.DUMMYFUNCTION("""COMPUTED_VALUE"""),"OPERATIVOS")</f>
        <v>OPERATIVOS</v>
      </c>
      <c r="M559" s="64" t="str">
        <f>IFERROR(__xludf.DUMMYFUNCTION("""COMPUTED_VALUE"""),"SANCIÓN")</f>
        <v>SANCIÓN</v>
      </c>
      <c r="N559" s="64" t="str">
        <f>IFERROR(__xludf.DUMMYFUNCTION("""COMPUTED_VALUE"""),"SISTEMA ELECTRICO")</f>
        <v>SISTEMA ELECTRICO</v>
      </c>
      <c r="O559" s="64" t="str">
        <f>IFERROR(__xludf.DUMMYFUNCTION("""COMPUTED_VALUE"""),"ASISTENCIA AL USUARIO")</f>
        <v>ASISTENCIA AL USUARIO</v>
      </c>
      <c r="P559" s="64" t="str">
        <f>IFERROR(__xludf.DUMMYFUNCTION("""COMPUTED_VALUE"""),"DOBLE REMOLQUE")</f>
        <v>DOBLE REMOLQUE</v>
      </c>
      <c r="Q559" s="64" t="str">
        <f>IFERROR(__xludf.DUMMYFUNCTION("""COMPUTED_VALUE"""),"SINAPRESE")</f>
        <v>SINAPRESE</v>
      </c>
      <c r="R559" s="64" t="str">
        <f>IFERROR(__xludf.DUMMYFUNCTION("""COMPUTED_VALUE"""),"APOYO ATLETISMO")</f>
        <v>APOYO ATLETISMO</v>
      </c>
      <c r="S559" s="64" t="str">
        <f>IFERROR(__xludf.DUMMYFUNCTION("""COMPUTED_VALUE"""),"APOYO A CICLISMO")</f>
        <v>APOYO A CICLISMO</v>
      </c>
      <c r="T559" s="64" t="str">
        <f>IFERROR(__xludf.DUMMYFUNCTION("""COMPUTED_VALUE"""),"DESCARGA DE BATERÍA")</f>
        <v>DESCARGA DE BATERÍA</v>
      </c>
      <c r="U559" s="64" t="str">
        <f>IFERROR(__xludf.DUMMYFUNCTION("""COMPUTED_VALUE"""),"PROBLEMAS DE SALUD")</f>
        <v>PROBLEMAS DE SALUD</v>
      </c>
      <c r="V559" s="64" t="str">
        <f>IFERROR(__xludf.DUMMYFUNCTION("""COMPUTED_VALUE"""),"OLVIDO LA LLAVE")</f>
        <v>OLVIDO LA LLAVE</v>
      </c>
      <c r="W559" s="64" t="str">
        <f>IFERROR(__xludf.DUMMYFUNCTION("""COMPUTED_VALUE"""),"CARGA SOBREDIMENSIONADA")</f>
        <v>CARGA SOBREDIMENSIONADA</v>
      </c>
      <c r="X559" s="64" t="str">
        <f>IFERROR(__xludf.DUMMYFUNCTION("""COMPUTED_VALUE"""),"VEHÍCULO ABANDONADO")</f>
        <v>VEHÍCULO ABANDONADO</v>
      </c>
      <c r="Y559" s="64" t="str">
        <f>IFERROR(__xludf.DUMMYFUNCTION("""COMPUTED_VALUE"""),"DESPRENDIMIENTO")</f>
        <v>DESPRENDIMIENTO</v>
      </c>
      <c r="Z559" s="64" t="str">
        <f>IFERROR(__xludf.DUMMYFUNCTION("""COMPUTED_VALUE"""),"CAÍDA DE POSTE")</f>
        <v>CAÍDA DE POSTE</v>
      </c>
      <c r="AA559" s="64" t="str">
        <f>IFERROR(__xludf.DUMMYFUNCTION("""COMPUTED_VALUE"""),"CAÍDA DE RAMA")</f>
        <v>CAÍDA DE RAMA</v>
      </c>
      <c r="AB559" s="64" t="str">
        <f>IFERROR(__xludf.DUMMYFUNCTION("""COMPUTED_VALUE"""),"OPERATIVO DGT")</f>
        <v>OPERATIVO DGT</v>
      </c>
      <c r="AC559" s="64" t="str">
        <f>IFERROR(__xludf.DUMMYFUNCTION("""COMPUTED_VALUE"""),"OPERATIVO PMT")</f>
        <v>OPERATIVO PMT</v>
      </c>
      <c r="AD559" s="64" t="str">
        <f>IFERROR(__xludf.DUMMYFUNCTION("""COMPUTED_VALUE"""),"APOYO A DIGEF")</f>
        <v>APOYO A DIGEF</v>
      </c>
      <c r="AE559" s="64" t="str">
        <f>IFERROR(__xludf.DUMMYFUNCTION("""COMPUTED_VALUE"""),"OPERATIVO PNC TRANSITO")</f>
        <v>OPERATIVO PNC TRANSITO</v>
      </c>
      <c r="AF559" s="64" t="str">
        <f>IFERROR(__xludf.DUMMYFUNCTION("""COMPUTED_VALUE"""),"SOBRECARGA ")</f>
        <v>SOBRECARGA </v>
      </c>
      <c r="AG559" s="64" t="str">
        <f>IFERROR(__xludf.DUMMYFUNCTION("""COMPUTED_VALUE"""),"OPERATIVO EN CONJUNTO")</f>
        <v>OPERATIVO EN CONJUNTO</v>
      </c>
      <c r="AH559" s="64" t="str">
        <f>IFERROR(__xludf.DUMMYFUNCTION("""COMPUTED_VALUE"""),"PUESTO DE ATENCION AL USUARIO")</f>
        <v>PUESTO DE ATENCION AL USUARIO</v>
      </c>
      <c r="AI559" s="64" t="str">
        <f>IFERROR(__xludf.DUMMYFUNCTION("""COMPUTED_VALUE"""),"INCENDIO EN RUTA")</f>
        <v>INCENDIO EN RUTA</v>
      </c>
      <c r="AJ559" s="64" t="str">
        <f>IFERROR(__xludf.DUMMYFUNCTION("""COMPUTED_VALUE"""),"APOYO ANTORCHA ")</f>
        <v>APOYO ANTORCHA </v>
      </c>
    </row>
    <row r="560">
      <c r="B560" s="64" t="s">
        <v>54</v>
      </c>
      <c r="C560" s="64" t="str">
        <f>IFERROR(__xludf.DUMMYFUNCTION(" TRANSPOSE( unique ( QUERY(DATOPRO,""select Col2 where Col1 = '""&amp;B560&amp;""'"")))"),"PINCHAZO")</f>
        <v>PINCHAZO</v>
      </c>
      <c r="D560" s="64" t="str">
        <f>IFERROR(__xludf.DUMMYFUNCTION("""COMPUTED_VALUE"""),"TRABAJOS DE CARRETERA")</f>
        <v>TRABAJOS DE CARRETERA</v>
      </c>
      <c r="E560" s="64" t="str">
        <f>IFERROR(__xludf.DUMMYFUNCTION("""COMPUTED_VALUE"""),"CONSIGNACIÓN")</f>
        <v>CONSIGNACIÓN</v>
      </c>
      <c r="F560" s="64" t="str">
        <f>IFERROR(__xludf.DUMMYFUNCTION("""COMPUTED_VALUE"""),"DERRAME")</f>
        <v>DERRAME</v>
      </c>
      <c r="G560" s="64" t="str">
        <f>IFERROR(__xludf.DUMMYFUNCTION("""COMPUTED_VALUE"""),"CALENTAMIENTO")</f>
        <v>CALENTAMIENTO</v>
      </c>
      <c r="H560" s="64" t="str">
        <f>IFERROR(__xludf.DUMMYFUNCTION("""COMPUTED_VALUE"""),"ESCOLTANDO")</f>
        <v>ESCOLTANDO</v>
      </c>
      <c r="I560" s="64" t="str">
        <f>IFERROR(__xludf.DUMMYFUNCTION("""COMPUTED_VALUE"""),"FALTA DE COMBUSTIBLE")</f>
        <v>FALTA DE COMBUSTIBLE</v>
      </c>
      <c r="J560" s="64" t="str">
        <f>IFERROR(__xludf.DUMMYFUNCTION("""COMPUTED_VALUE"""),"DESPERFECTOS MECÁNICOS")</f>
        <v>DESPERFECTOS MECÁNICOS</v>
      </c>
      <c r="K560" s="64" t="str">
        <f>IFERROR(__xludf.DUMMYFUNCTION("""COMPUTED_VALUE"""),"LLAMADA DE ATENCIÓN")</f>
        <v>LLAMADA DE ATENCIÓN</v>
      </c>
      <c r="L560" s="64" t="str">
        <f>IFERROR(__xludf.DUMMYFUNCTION("""COMPUTED_VALUE"""),"OPERATIVOS")</f>
        <v>OPERATIVOS</v>
      </c>
      <c r="M560" s="64" t="str">
        <f>IFERROR(__xludf.DUMMYFUNCTION("""COMPUTED_VALUE"""),"SANCIÓN")</f>
        <v>SANCIÓN</v>
      </c>
      <c r="N560" s="64" t="str">
        <f>IFERROR(__xludf.DUMMYFUNCTION("""COMPUTED_VALUE"""),"SISTEMA ELECTRICO")</f>
        <v>SISTEMA ELECTRICO</v>
      </c>
      <c r="O560" s="64" t="str">
        <f>IFERROR(__xludf.DUMMYFUNCTION("""COMPUTED_VALUE"""),"ASISTENCIA AL USUARIO")</f>
        <v>ASISTENCIA AL USUARIO</v>
      </c>
      <c r="P560" s="64" t="str">
        <f>IFERROR(__xludf.DUMMYFUNCTION("""COMPUTED_VALUE"""),"DOBLE REMOLQUE")</f>
        <v>DOBLE REMOLQUE</v>
      </c>
      <c r="Q560" s="64" t="str">
        <f>IFERROR(__xludf.DUMMYFUNCTION("""COMPUTED_VALUE"""),"SINAPRESE")</f>
        <v>SINAPRESE</v>
      </c>
      <c r="R560" s="64" t="str">
        <f>IFERROR(__xludf.DUMMYFUNCTION("""COMPUTED_VALUE"""),"APOYO ATLETISMO")</f>
        <v>APOYO ATLETISMO</v>
      </c>
      <c r="S560" s="64" t="str">
        <f>IFERROR(__xludf.DUMMYFUNCTION("""COMPUTED_VALUE"""),"APOYO A CICLISMO")</f>
        <v>APOYO A CICLISMO</v>
      </c>
      <c r="T560" s="64" t="str">
        <f>IFERROR(__xludf.DUMMYFUNCTION("""COMPUTED_VALUE"""),"DESCARGA DE BATERÍA")</f>
        <v>DESCARGA DE BATERÍA</v>
      </c>
      <c r="U560" s="64" t="str">
        <f>IFERROR(__xludf.DUMMYFUNCTION("""COMPUTED_VALUE"""),"PROBLEMAS DE SALUD")</f>
        <v>PROBLEMAS DE SALUD</v>
      </c>
      <c r="V560" s="64" t="str">
        <f>IFERROR(__xludf.DUMMYFUNCTION("""COMPUTED_VALUE"""),"OLVIDO LA LLAVE")</f>
        <v>OLVIDO LA LLAVE</v>
      </c>
      <c r="W560" s="64" t="str">
        <f>IFERROR(__xludf.DUMMYFUNCTION("""COMPUTED_VALUE"""),"CARGA SOBREDIMENSIONADA")</f>
        <v>CARGA SOBREDIMENSIONADA</v>
      </c>
      <c r="X560" s="64" t="str">
        <f>IFERROR(__xludf.DUMMYFUNCTION("""COMPUTED_VALUE"""),"VEHÍCULO ABANDONADO")</f>
        <v>VEHÍCULO ABANDONADO</v>
      </c>
      <c r="Y560" s="64" t="str">
        <f>IFERROR(__xludf.DUMMYFUNCTION("""COMPUTED_VALUE"""),"DESPRENDIMIENTO")</f>
        <v>DESPRENDIMIENTO</v>
      </c>
      <c r="Z560" s="64" t="str">
        <f>IFERROR(__xludf.DUMMYFUNCTION("""COMPUTED_VALUE"""),"CAÍDA DE POSTE")</f>
        <v>CAÍDA DE POSTE</v>
      </c>
      <c r="AA560" s="64" t="str">
        <f>IFERROR(__xludf.DUMMYFUNCTION("""COMPUTED_VALUE"""),"CAÍDA DE RAMA")</f>
        <v>CAÍDA DE RAMA</v>
      </c>
      <c r="AB560" s="64" t="str">
        <f>IFERROR(__xludf.DUMMYFUNCTION("""COMPUTED_VALUE"""),"OPERATIVO DGT")</f>
        <v>OPERATIVO DGT</v>
      </c>
      <c r="AC560" s="64" t="str">
        <f>IFERROR(__xludf.DUMMYFUNCTION("""COMPUTED_VALUE"""),"OPERATIVO PMT")</f>
        <v>OPERATIVO PMT</v>
      </c>
      <c r="AD560" s="64" t="str">
        <f>IFERROR(__xludf.DUMMYFUNCTION("""COMPUTED_VALUE"""),"APOYO A DIGEF")</f>
        <v>APOYO A DIGEF</v>
      </c>
      <c r="AE560" s="64" t="str">
        <f>IFERROR(__xludf.DUMMYFUNCTION("""COMPUTED_VALUE"""),"OPERATIVO PNC TRANSITO")</f>
        <v>OPERATIVO PNC TRANSITO</v>
      </c>
      <c r="AF560" s="64" t="str">
        <f>IFERROR(__xludf.DUMMYFUNCTION("""COMPUTED_VALUE"""),"SOBRECARGA ")</f>
        <v>SOBRECARGA </v>
      </c>
      <c r="AG560" s="64" t="str">
        <f>IFERROR(__xludf.DUMMYFUNCTION("""COMPUTED_VALUE"""),"OPERATIVO EN CONJUNTO")</f>
        <v>OPERATIVO EN CONJUNTO</v>
      </c>
      <c r="AH560" s="64" t="str">
        <f>IFERROR(__xludf.DUMMYFUNCTION("""COMPUTED_VALUE"""),"PUESTO DE ATENCION AL USUARIO")</f>
        <v>PUESTO DE ATENCION AL USUARIO</v>
      </c>
      <c r="AI560" s="64" t="str">
        <f>IFERROR(__xludf.DUMMYFUNCTION("""COMPUTED_VALUE"""),"INCENDIO EN RUTA")</f>
        <v>INCENDIO EN RUTA</v>
      </c>
      <c r="AJ560" s="64" t="str">
        <f>IFERROR(__xludf.DUMMYFUNCTION("""COMPUTED_VALUE"""),"APOYO ANTORCHA ")</f>
        <v>APOYO ANTORCHA </v>
      </c>
    </row>
    <row r="561">
      <c r="B561" s="64" t="s">
        <v>54</v>
      </c>
      <c r="C561" s="64" t="str">
        <f>IFERROR(__xludf.DUMMYFUNCTION(" TRANSPOSE( unique ( QUERY(DATOPRO,""select Col2 where Col1 = '""&amp;B561&amp;""'"")))"),"PINCHAZO")</f>
        <v>PINCHAZO</v>
      </c>
      <c r="D561" s="64" t="str">
        <f>IFERROR(__xludf.DUMMYFUNCTION("""COMPUTED_VALUE"""),"TRABAJOS DE CARRETERA")</f>
        <v>TRABAJOS DE CARRETERA</v>
      </c>
      <c r="E561" s="64" t="str">
        <f>IFERROR(__xludf.DUMMYFUNCTION("""COMPUTED_VALUE"""),"CONSIGNACIÓN")</f>
        <v>CONSIGNACIÓN</v>
      </c>
      <c r="F561" s="64" t="str">
        <f>IFERROR(__xludf.DUMMYFUNCTION("""COMPUTED_VALUE"""),"DERRAME")</f>
        <v>DERRAME</v>
      </c>
      <c r="G561" s="64" t="str">
        <f>IFERROR(__xludf.DUMMYFUNCTION("""COMPUTED_VALUE"""),"CALENTAMIENTO")</f>
        <v>CALENTAMIENTO</v>
      </c>
      <c r="H561" s="64" t="str">
        <f>IFERROR(__xludf.DUMMYFUNCTION("""COMPUTED_VALUE"""),"ESCOLTANDO")</f>
        <v>ESCOLTANDO</v>
      </c>
      <c r="I561" s="64" t="str">
        <f>IFERROR(__xludf.DUMMYFUNCTION("""COMPUTED_VALUE"""),"FALTA DE COMBUSTIBLE")</f>
        <v>FALTA DE COMBUSTIBLE</v>
      </c>
      <c r="J561" s="64" t="str">
        <f>IFERROR(__xludf.DUMMYFUNCTION("""COMPUTED_VALUE"""),"DESPERFECTOS MECÁNICOS")</f>
        <v>DESPERFECTOS MECÁNICOS</v>
      </c>
      <c r="K561" s="64" t="str">
        <f>IFERROR(__xludf.DUMMYFUNCTION("""COMPUTED_VALUE"""),"LLAMADA DE ATENCIÓN")</f>
        <v>LLAMADA DE ATENCIÓN</v>
      </c>
      <c r="L561" s="64" t="str">
        <f>IFERROR(__xludf.DUMMYFUNCTION("""COMPUTED_VALUE"""),"OPERATIVOS")</f>
        <v>OPERATIVOS</v>
      </c>
      <c r="M561" s="64" t="str">
        <f>IFERROR(__xludf.DUMMYFUNCTION("""COMPUTED_VALUE"""),"SANCIÓN")</f>
        <v>SANCIÓN</v>
      </c>
      <c r="N561" s="64" t="str">
        <f>IFERROR(__xludf.DUMMYFUNCTION("""COMPUTED_VALUE"""),"SISTEMA ELECTRICO")</f>
        <v>SISTEMA ELECTRICO</v>
      </c>
      <c r="O561" s="64" t="str">
        <f>IFERROR(__xludf.DUMMYFUNCTION("""COMPUTED_VALUE"""),"ASISTENCIA AL USUARIO")</f>
        <v>ASISTENCIA AL USUARIO</v>
      </c>
      <c r="P561" s="64" t="str">
        <f>IFERROR(__xludf.DUMMYFUNCTION("""COMPUTED_VALUE"""),"DOBLE REMOLQUE")</f>
        <v>DOBLE REMOLQUE</v>
      </c>
      <c r="Q561" s="64" t="str">
        <f>IFERROR(__xludf.DUMMYFUNCTION("""COMPUTED_VALUE"""),"SINAPRESE")</f>
        <v>SINAPRESE</v>
      </c>
      <c r="R561" s="64" t="str">
        <f>IFERROR(__xludf.DUMMYFUNCTION("""COMPUTED_VALUE"""),"APOYO ATLETISMO")</f>
        <v>APOYO ATLETISMO</v>
      </c>
      <c r="S561" s="64" t="str">
        <f>IFERROR(__xludf.DUMMYFUNCTION("""COMPUTED_VALUE"""),"APOYO A CICLISMO")</f>
        <v>APOYO A CICLISMO</v>
      </c>
      <c r="T561" s="64" t="str">
        <f>IFERROR(__xludf.DUMMYFUNCTION("""COMPUTED_VALUE"""),"DESCARGA DE BATERÍA")</f>
        <v>DESCARGA DE BATERÍA</v>
      </c>
      <c r="U561" s="64" t="str">
        <f>IFERROR(__xludf.DUMMYFUNCTION("""COMPUTED_VALUE"""),"PROBLEMAS DE SALUD")</f>
        <v>PROBLEMAS DE SALUD</v>
      </c>
      <c r="V561" s="64" t="str">
        <f>IFERROR(__xludf.DUMMYFUNCTION("""COMPUTED_VALUE"""),"OLVIDO LA LLAVE")</f>
        <v>OLVIDO LA LLAVE</v>
      </c>
      <c r="W561" s="64" t="str">
        <f>IFERROR(__xludf.DUMMYFUNCTION("""COMPUTED_VALUE"""),"CARGA SOBREDIMENSIONADA")</f>
        <v>CARGA SOBREDIMENSIONADA</v>
      </c>
      <c r="X561" s="64" t="str">
        <f>IFERROR(__xludf.DUMMYFUNCTION("""COMPUTED_VALUE"""),"VEHÍCULO ABANDONADO")</f>
        <v>VEHÍCULO ABANDONADO</v>
      </c>
      <c r="Y561" s="64" t="str">
        <f>IFERROR(__xludf.DUMMYFUNCTION("""COMPUTED_VALUE"""),"DESPRENDIMIENTO")</f>
        <v>DESPRENDIMIENTO</v>
      </c>
      <c r="Z561" s="64" t="str">
        <f>IFERROR(__xludf.DUMMYFUNCTION("""COMPUTED_VALUE"""),"CAÍDA DE POSTE")</f>
        <v>CAÍDA DE POSTE</v>
      </c>
      <c r="AA561" s="64" t="str">
        <f>IFERROR(__xludf.DUMMYFUNCTION("""COMPUTED_VALUE"""),"CAÍDA DE RAMA")</f>
        <v>CAÍDA DE RAMA</v>
      </c>
      <c r="AB561" s="64" t="str">
        <f>IFERROR(__xludf.DUMMYFUNCTION("""COMPUTED_VALUE"""),"OPERATIVO DGT")</f>
        <v>OPERATIVO DGT</v>
      </c>
      <c r="AC561" s="64" t="str">
        <f>IFERROR(__xludf.DUMMYFUNCTION("""COMPUTED_VALUE"""),"OPERATIVO PMT")</f>
        <v>OPERATIVO PMT</v>
      </c>
      <c r="AD561" s="64" t="str">
        <f>IFERROR(__xludf.DUMMYFUNCTION("""COMPUTED_VALUE"""),"APOYO A DIGEF")</f>
        <v>APOYO A DIGEF</v>
      </c>
      <c r="AE561" s="64" t="str">
        <f>IFERROR(__xludf.DUMMYFUNCTION("""COMPUTED_VALUE"""),"OPERATIVO PNC TRANSITO")</f>
        <v>OPERATIVO PNC TRANSITO</v>
      </c>
      <c r="AF561" s="64" t="str">
        <f>IFERROR(__xludf.DUMMYFUNCTION("""COMPUTED_VALUE"""),"SOBRECARGA ")</f>
        <v>SOBRECARGA </v>
      </c>
      <c r="AG561" s="64" t="str">
        <f>IFERROR(__xludf.DUMMYFUNCTION("""COMPUTED_VALUE"""),"OPERATIVO EN CONJUNTO")</f>
        <v>OPERATIVO EN CONJUNTO</v>
      </c>
      <c r="AH561" s="64" t="str">
        <f>IFERROR(__xludf.DUMMYFUNCTION("""COMPUTED_VALUE"""),"PUESTO DE ATENCION AL USUARIO")</f>
        <v>PUESTO DE ATENCION AL USUARIO</v>
      </c>
      <c r="AI561" s="64" t="str">
        <f>IFERROR(__xludf.DUMMYFUNCTION("""COMPUTED_VALUE"""),"INCENDIO EN RUTA")</f>
        <v>INCENDIO EN RUTA</v>
      </c>
      <c r="AJ561" s="64" t="str">
        <f>IFERROR(__xludf.DUMMYFUNCTION("""COMPUTED_VALUE"""),"APOYO ANTORCHA ")</f>
        <v>APOYO ANTORCHA </v>
      </c>
    </row>
    <row r="562">
      <c r="B562" s="64" t="s">
        <v>54</v>
      </c>
      <c r="C562" s="64" t="str">
        <f>IFERROR(__xludf.DUMMYFUNCTION(" TRANSPOSE( unique ( QUERY(DATOPRO,""select Col2 where Col1 = '""&amp;B562&amp;""'"")))"),"PINCHAZO")</f>
        <v>PINCHAZO</v>
      </c>
      <c r="D562" s="64" t="str">
        <f>IFERROR(__xludf.DUMMYFUNCTION("""COMPUTED_VALUE"""),"TRABAJOS DE CARRETERA")</f>
        <v>TRABAJOS DE CARRETERA</v>
      </c>
      <c r="E562" s="64" t="str">
        <f>IFERROR(__xludf.DUMMYFUNCTION("""COMPUTED_VALUE"""),"CONSIGNACIÓN")</f>
        <v>CONSIGNACIÓN</v>
      </c>
      <c r="F562" s="64" t="str">
        <f>IFERROR(__xludf.DUMMYFUNCTION("""COMPUTED_VALUE"""),"DERRAME")</f>
        <v>DERRAME</v>
      </c>
      <c r="G562" s="64" t="str">
        <f>IFERROR(__xludf.DUMMYFUNCTION("""COMPUTED_VALUE"""),"CALENTAMIENTO")</f>
        <v>CALENTAMIENTO</v>
      </c>
      <c r="H562" s="64" t="str">
        <f>IFERROR(__xludf.DUMMYFUNCTION("""COMPUTED_VALUE"""),"ESCOLTANDO")</f>
        <v>ESCOLTANDO</v>
      </c>
      <c r="I562" s="64" t="str">
        <f>IFERROR(__xludf.DUMMYFUNCTION("""COMPUTED_VALUE"""),"FALTA DE COMBUSTIBLE")</f>
        <v>FALTA DE COMBUSTIBLE</v>
      </c>
      <c r="J562" s="64" t="str">
        <f>IFERROR(__xludf.DUMMYFUNCTION("""COMPUTED_VALUE"""),"DESPERFECTOS MECÁNICOS")</f>
        <v>DESPERFECTOS MECÁNICOS</v>
      </c>
      <c r="K562" s="64" t="str">
        <f>IFERROR(__xludf.DUMMYFUNCTION("""COMPUTED_VALUE"""),"LLAMADA DE ATENCIÓN")</f>
        <v>LLAMADA DE ATENCIÓN</v>
      </c>
      <c r="L562" s="64" t="str">
        <f>IFERROR(__xludf.DUMMYFUNCTION("""COMPUTED_VALUE"""),"OPERATIVOS")</f>
        <v>OPERATIVOS</v>
      </c>
      <c r="M562" s="64" t="str">
        <f>IFERROR(__xludf.DUMMYFUNCTION("""COMPUTED_VALUE"""),"SANCIÓN")</f>
        <v>SANCIÓN</v>
      </c>
      <c r="N562" s="64" t="str">
        <f>IFERROR(__xludf.DUMMYFUNCTION("""COMPUTED_VALUE"""),"SISTEMA ELECTRICO")</f>
        <v>SISTEMA ELECTRICO</v>
      </c>
      <c r="O562" s="64" t="str">
        <f>IFERROR(__xludf.DUMMYFUNCTION("""COMPUTED_VALUE"""),"ASISTENCIA AL USUARIO")</f>
        <v>ASISTENCIA AL USUARIO</v>
      </c>
      <c r="P562" s="64" t="str">
        <f>IFERROR(__xludf.DUMMYFUNCTION("""COMPUTED_VALUE"""),"DOBLE REMOLQUE")</f>
        <v>DOBLE REMOLQUE</v>
      </c>
      <c r="Q562" s="64" t="str">
        <f>IFERROR(__xludf.DUMMYFUNCTION("""COMPUTED_VALUE"""),"SINAPRESE")</f>
        <v>SINAPRESE</v>
      </c>
      <c r="R562" s="64" t="str">
        <f>IFERROR(__xludf.DUMMYFUNCTION("""COMPUTED_VALUE"""),"APOYO ATLETISMO")</f>
        <v>APOYO ATLETISMO</v>
      </c>
      <c r="S562" s="64" t="str">
        <f>IFERROR(__xludf.DUMMYFUNCTION("""COMPUTED_VALUE"""),"APOYO A CICLISMO")</f>
        <v>APOYO A CICLISMO</v>
      </c>
      <c r="T562" s="64" t="str">
        <f>IFERROR(__xludf.DUMMYFUNCTION("""COMPUTED_VALUE"""),"DESCARGA DE BATERÍA")</f>
        <v>DESCARGA DE BATERÍA</v>
      </c>
      <c r="U562" s="64" t="str">
        <f>IFERROR(__xludf.DUMMYFUNCTION("""COMPUTED_VALUE"""),"PROBLEMAS DE SALUD")</f>
        <v>PROBLEMAS DE SALUD</v>
      </c>
      <c r="V562" s="64" t="str">
        <f>IFERROR(__xludf.DUMMYFUNCTION("""COMPUTED_VALUE"""),"OLVIDO LA LLAVE")</f>
        <v>OLVIDO LA LLAVE</v>
      </c>
      <c r="W562" s="64" t="str">
        <f>IFERROR(__xludf.DUMMYFUNCTION("""COMPUTED_VALUE"""),"CARGA SOBREDIMENSIONADA")</f>
        <v>CARGA SOBREDIMENSIONADA</v>
      </c>
      <c r="X562" s="64" t="str">
        <f>IFERROR(__xludf.DUMMYFUNCTION("""COMPUTED_VALUE"""),"VEHÍCULO ABANDONADO")</f>
        <v>VEHÍCULO ABANDONADO</v>
      </c>
      <c r="Y562" s="64" t="str">
        <f>IFERROR(__xludf.DUMMYFUNCTION("""COMPUTED_VALUE"""),"DESPRENDIMIENTO")</f>
        <v>DESPRENDIMIENTO</v>
      </c>
      <c r="Z562" s="64" t="str">
        <f>IFERROR(__xludf.DUMMYFUNCTION("""COMPUTED_VALUE"""),"CAÍDA DE POSTE")</f>
        <v>CAÍDA DE POSTE</v>
      </c>
      <c r="AA562" s="64" t="str">
        <f>IFERROR(__xludf.DUMMYFUNCTION("""COMPUTED_VALUE"""),"CAÍDA DE RAMA")</f>
        <v>CAÍDA DE RAMA</v>
      </c>
      <c r="AB562" s="64" t="str">
        <f>IFERROR(__xludf.DUMMYFUNCTION("""COMPUTED_VALUE"""),"OPERATIVO DGT")</f>
        <v>OPERATIVO DGT</v>
      </c>
      <c r="AC562" s="64" t="str">
        <f>IFERROR(__xludf.DUMMYFUNCTION("""COMPUTED_VALUE"""),"OPERATIVO PMT")</f>
        <v>OPERATIVO PMT</v>
      </c>
      <c r="AD562" s="64" t="str">
        <f>IFERROR(__xludf.DUMMYFUNCTION("""COMPUTED_VALUE"""),"APOYO A DIGEF")</f>
        <v>APOYO A DIGEF</v>
      </c>
      <c r="AE562" s="64" t="str">
        <f>IFERROR(__xludf.DUMMYFUNCTION("""COMPUTED_VALUE"""),"OPERATIVO PNC TRANSITO")</f>
        <v>OPERATIVO PNC TRANSITO</v>
      </c>
      <c r="AF562" s="64" t="str">
        <f>IFERROR(__xludf.DUMMYFUNCTION("""COMPUTED_VALUE"""),"SOBRECARGA ")</f>
        <v>SOBRECARGA </v>
      </c>
      <c r="AG562" s="64" t="str">
        <f>IFERROR(__xludf.DUMMYFUNCTION("""COMPUTED_VALUE"""),"OPERATIVO EN CONJUNTO")</f>
        <v>OPERATIVO EN CONJUNTO</v>
      </c>
      <c r="AH562" s="64" t="str">
        <f>IFERROR(__xludf.DUMMYFUNCTION("""COMPUTED_VALUE"""),"PUESTO DE ATENCION AL USUARIO")</f>
        <v>PUESTO DE ATENCION AL USUARIO</v>
      </c>
      <c r="AI562" s="64" t="str">
        <f>IFERROR(__xludf.DUMMYFUNCTION("""COMPUTED_VALUE"""),"INCENDIO EN RUTA")</f>
        <v>INCENDIO EN RUTA</v>
      </c>
      <c r="AJ562" s="64" t="str">
        <f>IFERROR(__xludf.DUMMYFUNCTION("""COMPUTED_VALUE"""),"APOYO ANTORCHA ")</f>
        <v>APOYO ANTORCHA </v>
      </c>
    </row>
    <row r="563">
      <c r="B563" s="64" t="s">
        <v>54</v>
      </c>
      <c r="C563" s="64" t="str">
        <f>IFERROR(__xludf.DUMMYFUNCTION(" TRANSPOSE( unique ( QUERY(DATOPRO,""select Col2 where Col1 = '""&amp;B563&amp;""'"")))"),"PINCHAZO")</f>
        <v>PINCHAZO</v>
      </c>
      <c r="D563" s="64" t="str">
        <f>IFERROR(__xludf.DUMMYFUNCTION("""COMPUTED_VALUE"""),"TRABAJOS DE CARRETERA")</f>
        <v>TRABAJOS DE CARRETERA</v>
      </c>
      <c r="E563" s="64" t="str">
        <f>IFERROR(__xludf.DUMMYFUNCTION("""COMPUTED_VALUE"""),"CONSIGNACIÓN")</f>
        <v>CONSIGNACIÓN</v>
      </c>
      <c r="F563" s="64" t="str">
        <f>IFERROR(__xludf.DUMMYFUNCTION("""COMPUTED_VALUE"""),"DERRAME")</f>
        <v>DERRAME</v>
      </c>
      <c r="G563" s="64" t="str">
        <f>IFERROR(__xludf.DUMMYFUNCTION("""COMPUTED_VALUE"""),"CALENTAMIENTO")</f>
        <v>CALENTAMIENTO</v>
      </c>
      <c r="H563" s="64" t="str">
        <f>IFERROR(__xludf.DUMMYFUNCTION("""COMPUTED_VALUE"""),"ESCOLTANDO")</f>
        <v>ESCOLTANDO</v>
      </c>
      <c r="I563" s="64" t="str">
        <f>IFERROR(__xludf.DUMMYFUNCTION("""COMPUTED_VALUE"""),"FALTA DE COMBUSTIBLE")</f>
        <v>FALTA DE COMBUSTIBLE</v>
      </c>
      <c r="J563" s="64" t="str">
        <f>IFERROR(__xludf.DUMMYFUNCTION("""COMPUTED_VALUE"""),"DESPERFECTOS MECÁNICOS")</f>
        <v>DESPERFECTOS MECÁNICOS</v>
      </c>
      <c r="K563" s="64" t="str">
        <f>IFERROR(__xludf.DUMMYFUNCTION("""COMPUTED_VALUE"""),"LLAMADA DE ATENCIÓN")</f>
        <v>LLAMADA DE ATENCIÓN</v>
      </c>
      <c r="L563" s="64" t="str">
        <f>IFERROR(__xludf.DUMMYFUNCTION("""COMPUTED_VALUE"""),"OPERATIVOS")</f>
        <v>OPERATIVOS</v>
      </c>
      <c r="M563" s="64" t="str">
        <f>IFERROR(__xludf.DUMMYFUNCTION("""COMPUTED_VALUE"""),"SANCIÓN")</f>
        <v>SANCIÓN</v>
      </c>
      <c r="N563" s="64" t="str">
        <f>IFERROR(__xludf.DUMMYFUNCTION("""COMPUTED_VALUE"""),"SISTEMA ELECTRICO")</f>
        <v>SISTEMA ELECTRICO</v>
      </c>
      <c r="O563" s="64" t="str">
        <f>IFERROR(__xludf.DUMMYFUNCTION("""COMPUTED_VALUE"""),"ASISTENCIA AL USUARIO")</f>
        <v>ASISTENCIA AL USUARIO</v>
      </c>
      <c r="P563" s="64" t="str">
        <f>IFERROR(__xludf.DUMMYFUNCTION("""COMPUTED_VALUE"""),"DOBLE REMOLQUE")</f>
        <v>DOBLE REMOLQUE</v>
      </c>
      <c r="Q563" s="64" t="str">
        <f>IFERROR(__xludf.DUMMYFUNCTION("""COMPUTED_VALUE"""),"SINAPRESE")</f>
        <v>SINAPRESE</v>
      </c>
      <c r="R563" s="64" t="str">
        <f>IFERROR(__xludf.DUMMYFUNCTION("""COMPUTED_VALUE"""),"APOYO ATLETISMO")</f>
        <v>APOYO ATLETISMO</v>
      </c>
      <c r="S563" s="64" t="str">
        <f>IFERROR(__xludf.DUMMYFUNCTION("""COMPUTED_VALUE"""),"APOYO A CICLISMO")</f>
        <v>APOYO A CICLISMO</v>
      </c>
      <c r="T563" s="64" t="str">
        <f>IFERROR(__xludf.DUMMYFUNCTION("""COMPUTED_VALUE"""),"DESCARGA DE BATERÍA")</f>
        <v>DESCARGA DE BATERÍA</v>
      </c>
      <c r="U563" s="64" t="str">
        <f>IFERROR(__xludf.DUMMYFUNCTION("""COMPUTED_VALUE"""),"PROBLEMAS DE SALUD")</f>
        <v>PROBLEMAS DE SALUD</v>
      </c>
      <c r="V563" s="64" t="str">
        <f>IFERROR(__xludf.DUMMYFUNCTION("""COMPUTED_VALUE"""),"OLVIDO LA LLAVE")</f>
        <v>OLVIDO LA LLAVE</v>
      </c>
      <c r="W563" s="64" t="str">
        <f>IFERROR(__xludf.DUMMYFUNCTION("""COMPUTED_VALUE"""),"CARGA SOBREDIMENSIONADA")</f>
        <v>CARGA SOBREDIMENSIONADA</v>
      </c>
      <c r="X563" s="64" t="str">
        <f>IFERROR(__xludf.DUMMYFUNCTION("""COMPUTED_VALUE"""),"VEHÍCULO ABANDONADO")</f>
        <v>VEHÍCULO ABANDONADO</v>
      </c>
      <c r="Y563" s="64" t="str">
        <f>IFERROR(__xludf.DUMMYFUNCTION("""COMPUTED_VALUE"""),"DESPRENDIMIENTO")</f>
        <v>DESPRENDIMIENTO</v>
      </c>
      <c r="Z563" s="64" t="str">
        <f>IFERROR(__xludf.DUMMYFUNCTION("""COMPUTED_VALUE"""),"CAÍDA DE POSTE")</f>
        <v>CAÍDA DE POSTE</v>
      </c>
      <c r="AA563" s="64" t="str">
        <f>IFERROR(__xludf.DUMMYFUNCTION("""COMPUTED_VALUE"""),"CAÍDA DE RAMA")</f>
        <v>CAÍDA DE RAMA</v>
      </c>
      <c r="AB563" s="64" t="str">
        <f>IFERROR(__xludf.DUMMYFUNCTION("""COMPUTED_VALUE"""),"OPERATIVO DGT")</f>
        <v>OPERATIVO DGT</v>
      </c>
      <c r="AC563" s="64" t="str">
        <f>IFERROR(__xludf.DUMMYFUNCTION("""COMPUTED_VALUE"""),"OPERATIVO PMT")</f>
        <v>OPERATIVO PMT</v>
      </c>
      <c r="AD563" s="64" t="str">
        <f>IFERROR(__xludf.DUMMYFUNCTION("""COMPUTED_VALUE"""),"APOYO A DIGEF")</f>
        <v>APOYO A DIGEF</v>
      </c>
      <c r="AE563" s="64" t="str">
        <f>IFERROR(__xludf.DUMMYFUNCTION("""COMPUTED_VALUE"""),"OPERATIVO PNC TRANSITO")</f>
        <v>OPERATIVO PNC TRANSITO</v>
      </c>
      <c r="AF563" s="64" t="str">
        <f>IFERROR(__xludf.DUMMYFUNCTION("""COMPUTED_VALUE"""),"SOBRECARGA ")</f>
        <v>SOBRECARGA </v>
      </c>
      <c r="AG563" s="64" t="str">
        <f>IFERROR(__xludf.DUMMYFUNCTION("""COMPUTED_VALUE"""),"OPERATIVO EN CONJUNTO")</f>
        <v>OPERATIVO EN CONJUNTO</v>
      </c>
      <c r="AH563" s="64" t="str">
        <f>IFERROR(__xludf.DUMMYFUNCTION("""COMPUTED_VALUE"""),"PUESTO DE ATENCION AL USUARIO")</f>
        <v>PUESTO DE ATENCION AL USUARIO</v>
      </c>
      <c r="AI563" s="64" t="str">
        <f>IFERROR(__xludf.DUMMYFUNCTION("""COMPUTED_VALUE"""),"INCENDIO EN RUTA")</f>
        <v>INCENDIO EN RUTA</v>
      </c>
      <c r="AJ563" s="64" t="str">
        <f>IFERROR(__xludf.DUMMYFUNCTION("""COMPUTED_VALUE"""),"APOYO ANTORCHA ")</f>
        <v>APOYO ANTORCHA </v>
      </c>
    </row>
    <row r="564">
      <c r="B564" s="64" t="s">
        <v>54</v>
      </c>
      <c r="C564" s="64" t="str">
        <f>IFERROR(__xludf.DUMMYFUNCTION(" TRANSPOSE( unique ( QUERY(DATOPRO,""select Col2 where Col1 = '""&amp;B564&amp;""'"")))"),"PINCHAZO")</f>
        <v>PINCHAZO</v>
      </c>
      <c r="D564" s="64" t="str">
        <f>IFERROR(__xludf.DUMMYFUNCTION("""COMPUTED_VALUE"""),"TRABAJOS DE CARRETERA")</f>
        <v>TRABAJOS DE CARRETERA</v>
      </c>
      <c r="E564" s="64" t="str">
        <f>IFERROR(__xludf.DUMMYFUNCTION("""COMPUTED_VALUE"""),"CONSIGNACIÓN")</f>
        <v>CONSIGNACIÓN</v>
      </c>
      <c r="F564" s="64" t="str">
        <f>IFERROR(__xludf.DUMMYFUNCTION("""COMPUTED_VALUE"""),"DERRAME")</f>
        <v>DERRAME</v>
      </c>
      <c r="G564" s="64" t="str">
        <f>IFERROR(__xludf.DUMMYFUNCTION("""COMPUTED_VALUE"""),"CALENTAMIENTO")</f>
        <v>CALENTAMIENTO</v>
      </c>
      <c r="H564" s="64" t="str">
        <f>IFERROR(__xludf.DUMMYFUNCTION("""COMPUTED_VALUE"""),"ESCOLTANDO")</f>
        <v>ESCOLTANDO</v>
      </c>
      <c r="I564" s="64" t="str">
        <f>IFERROR(__xludf.DUMMYFUNCTION("""COMPUTED_VALUE"""),"FALTA DE COMBUSTIBLE")</f>
        <v>FALTA DE COMBUSTIBLE</v>
      </c>
      <c r="J564" s="64" t="str">
        <f>IFERROR(__xludf.DUMMYFUNCTION("""COMPUTED_VALUE"""),"DESPERFECTOS MECÁNICOS")</f>
        <v>DESPERFECTOS MECÁNICOS</v>
      </c>
      <c r="K564" s="64" t="str">
        <f>IFERROR(__xludf.DUMMYFUNCTION("""COMPUTED_VALUE"""),"LLAMADA DE ATENCIÓN")</f>
        <v>LLAMADA DE ATENCIÓN</v>
      </c>
      <c r="L564" s="64" t="str">
        <f>IFERROR(__xludf.DUMMYFUNCTION("""COMPUTED_VALUE"""),"OPERATIVOS")</f>
        <v>OPERATIVOS</v>
      </c>
      <c r="M564" s="64" t="str">
        <f>IFERROR(__xludf.DUMMYFUNCTION("""COMPUTED_VALUE"""),"SANCIÓN")</f>
        <v>SANCIÓN</v>
      </c>
      <c r="N564" s="64" t="str">
        <f>IFERROR(__xludf.DUMMYFUNCTION("""COMPUTED_VALUE"""),"SISTEMA ELECTRICO")</f>
        <v>SISTEMA ELECTRICO</v>
      </c>
      <c r="O564" s="64" t="str">
        <f>IFERROR(__xludf.DUMMYFUNCTION("""COMPUTED_VALUE"""),"ASISTENCIA AL USUARIO")</f>
        <v>ASISTENCIA AL USUARIO</v>
      </c>
      <c r="P564" s="64" t="str">
        <f>IFERROR(__xludf.DUMMYFUNCTION("""COMPUTED_VALUE"""),"DOBLE REMOLQUE")</f>
        <v>DOBLE REMOLQUE</v>
      </c>
      <c r="Q564" s="64" t="str">
        <f>IFERROR(__xludf.DUMMYFUNCTION("""COMPUTED_VALUE"""),"SINAPRESE")</f>
        <v>SINAPRESE</v>
      </c>
      <c r="R564" s="64" t="str">
        <f>IFERROR(__xludf.DUMMYFUNCTION("""COMPUTED_VALUE"""),"APOYO ATLETISMO")</f>
        <v>APOYO ATLETISMO</v>
      </c>
      <c r="S564" s="64" t="str">
        <f>IFERROR(__xludf.DUMMYFUNCTION("""COMPUTED_VALUE"""),"APOYO A CICLISMO")</f>
        <v>APOYO A CICLISMO</v>
      </c>
      <c r="T564" s="64" t="str">
        <f>IFERROR(__xludf.DUMMYFUNCTION("""COMPUTED_VALUE"""),"DESCARGA DE BATERÍA")</f>
        <v>DESCARGA DE BATERÍA</v>
      </c>
      <c r="U564" s="64" t="str">
        <f>IFERROR(__xludf.DUMMYFUNCTION("""COMPUTED_VALUE"""),"PROBLEMAS DE SALUD")</f>
        <v>PROBLEMAS DE SALUD</v>
      </c>
      <c r="V564" s="64" t="str">
        <f>IFERROR(__xludf.DUMMYFUNCTION("""COMPUTED_VALUE"""),"OLVIDO LA LLAVE")</f>
        <v>OLVIDO LA LLAVE</v>
      </c>
      <c r="W564" s="64" t="str">
        <f>IFERROR(__xludf.DUMMYFUNCTION("""COMPUTED_VALUE"""),"CARGA SOBREDIMENSIONADA")</f>
        <v>CARGA SOBREDIMENSIONADA</v>
      </c>
      <c r="X564" s="64" t="str">
        <f>IFERROR(__xludf.DUMMYFUNCTION("""COMPUTED_VALUE"""),"VEHÍCULO ABANDONADO")</f>
        <v>VEHÍCULO ABANDONADO</v>
      </c>
      <c r="Y564" s="64" t="str">
        <f>IFERROR(__xludf.DUMMYFUNCTION("""COMPUTED_VALUE"""),"DESPRENDIMIENTO")</f>
        <v>DESPRENDIMIENTO</v>
      </c>
      <c r="Z564" s="64" t="str">
        <f>IFERROR(__xludf.DUMMYFUNCTION("""COMPUTED_VALUE"""),"CAÍDA DE POSTE")</f>
        <v>CAÍDA DE POSTE</v>
      </c>
      <c r="AA564" s="64" t="str">
        <f>IFERROR(__xludf.DUMMYFUNCTION("""COMPUTED_VALUE"""),"CAÍDA DE RAMA")</f>
        <v>CAÍDA DE RAMA</v>
      </c>
      <c r="AB564" s="64" t="str">
        <f>IFERROR(__xludf.DUMMYFUNCTION("""COMPUTED_VALUE"""),"OPERATIVO DGT")</f>
        <v>OPERATIVO DGT</v>
      </c>
      <c r="AC564" s="64" t="str">
        <f>IFERROR(__xludf.DUMMYFUNCTION("""COMPUTED_VALUE"""),"OPERATIVO PMT")</f>
        <v>OPERATIVO PMT</v>
      </c>
      <c r="AD564" s="64" t="str">
        <f>IFERROR(__xludf.DUMMYFUNCTION("""COMPUTED_VALUE"""),"APOYO A DIGEF")</f>
        <v>APOYO A DIGEF</v>
      </c>
      <c r="AE564" s="64" t="str">
        <f>IFERROR(__xludf.DUMMYFUNCTION("""COMPUTED_VALUE"""),"OPERATIVO PNC TRANSITO")</f>
        <v>OPERATIVO PNC TRANSITO</v>
      </c>
      <c r="AF564" s="64" t="str">
        <f>IFERROR(__xludf.DUMMYFUNCTION("""COMPUTED_VALUE"""),"SOBRECARGA ")</f>
        <v>SOBRECARGA </v>
      </c>
      <c r="AG564" s="64" t="str">
        <f>IFERROR(__xludf.DUMMYFUNCTION("""COMPUTED_VALUE"""),"OPERATIVO EN CONJUNTO")</f>
        <v>OPERATIVO EN CONJUNTO</v>
      </c>
      <c r="AH564" s="64" t="str">
        <f>IFERROR(__xludf.DUMMYFUNCTION("""COMPUTED_VALUE"""),"PUESTO DE ATENCION AL USUARIO")</f>
        <v>PUESTO DE ATENCION AL USUARIO</v>
      </c>
      <c r="AI564" s="64" t="str">
        <f>IFERROR(__xludf.DUMMYFUNCTION("""COMPUTED_VALUE"""),"INCENDIO EN RUTA")</f>
        <v>INCENDIO EN RUTA</v>
      </c>
      <c r="AJ564" s="64" t="str">
        <f>IFERROR(__xludf.DUMMYFUNCTION("""COMPUTED_VALUE"""),"APOYO ANTORCHA ")</f>
        <v>APOYO ANTORCHA </v>
      </c>
    </row>
    <row r="565">
      <c r="B565" s="64" t="s">
        <v>54</v>
      </c>
      <c r="C565" s="64" t="str">
        <f>IFERROR(__xludf.DUMMYFUNCTION(" TRANSPOSE( unique ( QUERY(DATOPRO,""select Col2 where Col1 = '""&amp;B565&amp;""'"")))"),"PINCHAZO")</f>
        <v>PINCHAZO</v>
      </c>
      <c r="D565" s="64" t="str">
        <f>IFERROR(__xludf.DUMMYFUNCTION("""COMPUTED_VALUE"""),"TRABAJOS DE CARRETERA")</f>
        <v>TRABAJOS DE CARRETERA</v>
      </c>
      <c r="E565" s="64" t="str">
        <f>IFERROR(__xludf.DUMMYFUNCTION("""COMPUTED_VALUE"""),"CONSIGNACIÓN")</f>
        <v>CONSIGNACIÓN</v>
      </c>
      <c r="F565" s="64" t="str">
        <f>IFERROR(__xludf.DUMMYFUNCTION("""COMPUTED_VALUE"""),"DERRAME")</f>
        <v>DERRAME</v>
      </c>
      <c r="G565" s="64" t="str">
        <f>IFERROR(__xludf.DUMMYFUNCTION("""COMPUTED_VALUE"""),"CALENTAMIENTO")</f>
        <v>CALENTAMIENTO</v>
      </c>
      <c r="H565" s="64" t="str">
        <f>IFERROR(__xludf.DUMMYFUNCTION("""COMPUTED_VALUE"""),"ESCOLTANDO")</f>
        <v>ESCOLTANDO</v>
      </c>
      <c r="I565" s="64" t="str">
        <f>IFERROR(__xludf.DUMMYFUNCTION("""COMPUTED_VALUE"""),"FALTA DE COMBUSTIBLE")</f>
        <v>FALTA DE COMBUSTIBLE</v>
      </c>
      <c r="J565" s="64" t="str">
        <f>IFERROR(__xludf.DUMMYFUNCTION("""COMPUTED_VALUE"""),"DESPERFECTOS MECÁNICOS")</f>
        <v>DESPERFECTOS MECÁNICOS</v>
      </c>
      <c r="K565" s="64" t="str">
        <f>IFERROR(__xludf.DUMMYFUNCTION("""COMPUTED_VALUE"""),"LLAMADA DE ATENCIÓN")</f>
        <v>LLAMADA DE ATENCIÓN</v>
      </c>
      <c r="L565" s="64" t="str">
        <f>IFERROR(__xludf.DUMMYFUNCTION("""COMPUTED_VALUE"""),"OPERATIVOS")</f>
        <v>OPERATIVOS</v>
      </c>
      <c r="M565" s="64" t="str">
        <f>IFERROR(__xludf.DUMMYFUNCTION("""COMPUTED_VALUE"""),"SANCIÓN")</f>
        <v>SANCIÓN</v>
      </c>
      <c r="N565" s="64" t="str">
        <f>IFERROR(__xludf.DUMMYFUNCTION("""COMPUTED_VALUE"""),"SISTEMA ELECTRICO")</f>
        <v>SISTEMA ELECTRICO</v>
      </c>
      <c r="O565" s="64" t="str">
        <f>IFERROR(__xludf.DUMMYFUNCTION("""COMPUTED_VALUE"""),"ASISTENCIA AL USUARIO")</f>
        <v>ASISTENCIA AL USUARIO</v>
      </c>
      <c r="P565" s="64" t="str">
        <f>IFERROR(__xludf.DUMMYFUNCTION("""COMPUTED_VALUE"""),"DOBLE REMOLQUE")</f>
        <v>DOBLE REMOLQUE</v>
      </c>
      <c r="Q565" s="64" t="str">
        <f>IFERROR(__xludf.DUMMYFUNCTION("""COMPUTED_VALUE"""),"SINAPRESE")</f>
        <v>SINAPRESE</v>
      </c>
      <c r="R565" s="64" t="str">
        <f>IFERROR(__xludf.DUMMYFUNCTION("""COMPUTED_VALUE"""),"APOYO ATLETISMO")</f>
        <v>APOYO ATLETISMO</v>
      </c>
      <c r="S565" s="64" t="str">
        <f>IFERROR(__xludf.DUMMYFUNCTION("""COMPUTED_VALUE"""),"APOYO A CICLISMO")</f>
        <v>APOYO A CICLISMO</v>
      </c>
      <c r="T565" s="64" t="str">
        <f>IFERROR(__xludf.DUMMYFUNCTION("""COMPUTED_VALUE"""),"DESCARGA DE BATERÍA")</f>
        <v>DESCARGA DE BATERÍA</v>
      </c>
      <c r="U565" s="64" t="str">
        <f>IFERROR(__xludf.DUMMYFUNCTION("""COMPUTED_VALUE"""),"PROBLEMAS DE SALUD")</f>
        <v>PROBLEMAS DE SALUD</v>
      </c>
      <c r="V565" s="64" t="str">
        <f>IFERROR(__xludf.DUMMYFUNCTION("""COMPUTED_VALUE"""),"OLVIDO LA LLAVE")</f>
        <v>OLVIDO LA LLAVE</v>
      </c>
      <c r="W565" s="64" t="str">
        <f>IFERROR(__xludf.DUMMYFUNCTION("""COMPUTED_VALUE"""),"CARGA SOBREDIMENSIONADA")</f>
        <v>CARGA SOBREDIMENSIONADA</v>
      </c>
      <c r="X565" s="64" t="str">
        <f>IFERROR(__xludf.DUMMYFUNCTION("""COMPUTED_VALUE"""),"VEHÍCULO ABANDONADO")</f>
        <v>VEHÍCULO ABANDONADO</v>
      </c>
      <c r="Y565" s="64" t="str">
        <f>IFERROR(__xludf.DUMMYFUNCTION("""COMPUTED_VALUE"""),"DESPRENDIMIENTO")</f>
        <v>DESPRENDIMIENTO</v>
      </c>
      <c r="Z565" s="64" t="str">
        <f>IFERROR(__xludf.DUMMYFUNCTION("""COMPUTED_VALUE"""),"CAÍDA DE POSTE")</f>
        <v>CAÍDA DE POSTE</v>
      </c>
      <c r="AA565" s="64" t="str">
        <f>IFERROR(__xludf.DUMMYFUNCTION("""COMPUTED_VALUE"""),"CAÍDA DE RAMA")</f>
        <v>CAÍDA DE RAMA</v>
      </c>
      <c r="AB565" s="64" t="str">
        <f>IFERROR(__xludf.DUMMYFUNCTION("""COMPUTED_VALUE"""),"OPERATIVO DGT")</f>
        <v>OPERATIVO DGT</v>
      </c>
      <c r="AC565" s="64" t="str">
        <f>IFERROR(__xludf.DUMMYFUNCTION("""COMPUTED_VALUE"""),"OPERATIVO PMT")</f>
        <v>OPERATIVO PMT</v>
      </c>
      <c r="AD565" s="64" t="str">
        <f>IFERROR(__xludf.DUMMYFUNCTION("""COMPUTED_VALUE"""),"APOYO A DIGEF")</f>
        <v>APOYO A DIGEF</v>
      </c>
      <c r="AE565" s="64" t="str">
        <f>IFERROR(__xludf.DUMMYFUNCTION("""COMPUTED_VALUE"""),"OPERATIVO PNC TRANSITO")</f>
        <v>OPERATIVO PNC TRANSITO</v>
      </c>
      <c r="AF565" s="64" t="str">
        <f>IFERROR(__xludf.DUMMYFUNCTION("""COMPUTED_VALUE"""),"SOBRECARGA ")</f>
        <v>SOBRECARGA </v>
      </c>
      <c r="AG565" s="64" t="str">
        <f>IFERROR(__xludf.DUMMYFUNCTION("""COMPUTED_VALUE"""),"OPERATIVO EN CONJUNTO")</f>
        <v>OPERATIVO EN CONJUNTO</v>
      </c>
      <c r="AH565" s="64" t="str">
        <f>IFERROR(__xludf.DUMMYFUNCTION("""COMPUTED_VALUE"""),"PUESTO DE ATENCION AL USUARIO")</f>
        <v>PUESTO DE ATENCION AL USUARIO</v>
      </c>
      <c r="AI565" s="64" t="str">
        <f>IFERROR(__xludf.DUMMYFUNCTION("""COMPUTED_VALUE"""),"INCENDIO EN RUTA")</f>
        <v>INCENDIO EN RUTA</v>
      </c>
      <c r="AJ565" s="64" t="str">
        <f>IFERROR(__xludf.DUMMYFUNCTION("""COMPUTED_VALUE"""),"APOYO ANTORCHA ")</f>
        <v>APOYO ANTORCHA </v>
      </c>
    </row>
    <row r="566">
      <c r="B566" s="64" t="s">
        <v>54</v>
      </c>
      <c r="C566" s="64" t="str">
        <f>IFERROR(__xludf.DUMMYFUNCTION(" TRANSPOSE( unique ( QUERY(DATOPRO,""select Col2 where Col1 = '""&amp;B566&amp;""'"")))"),"PINCHAZO")</f>
        <v>PINCHAZO</v>
      </c>
      <c r="D566" s="64" t="str">
        <f>IFERROR(__xludf.DUMMYFUNCTION("""COMPUTED_VALUE"""),"TRABAJOS DE CARRETERA")</f>
        <v>TRABAJOS DE CARRETERA</v>
      </c>
      <c r="E566" s="64" t="str">
        <f>IFERROR(__xludf.DUMMYFUNCTION("""COMPUTED_VALUE"""),"CONSIGNACIÓN")</f>
        <v>CONSIGNACIÓN</v>
      </c>
      <c r="F566" s="64" t="str">
        <f>IFERROR(__xludf.DUMMYFUNCTION("""COMPUTED_VALUE"""),"DERRAME")</f>
        <v>DERRAME</v>
      </c>
      <c r="G566" s="64" t="str">
        <f>IFERROR(__xludf.DUMMYFUNCTION("""COMPUTED_VALUE"""),"CALENTAMIENTO")</f>
        <v>CALENTAMIENTO</v>
      </c>
      <c r="H566" s="64" t="str">
        <f>IFERROR(__xludf.DUMMYFUNCTION("""COMPUTED_VALUE"""),"ESCOLTANDO")</f>
        <v>ESCOLTANDO</v>
      </c>
      <c r="I566" s="64" t="str">
        <f>IFERROR(__xludf.DUMMYFUNCTION("""COMPUTED_VALUE"""),"FALTA DE COMBUSTIBLE")</f>
        <v>FALTA DE COMBUSTIBLE</v>
      </c>
      <c r="J566" s="64" t="str">
        <f>IFERROR(__xludf.DUMMYFUNCTION("""COMPUTED_VALUE"""),"DESPERFECTOS MECÁNICOS")</f>
        <v>DESPERFECTOS MECÁNICOS</v>
      </c>
      <c r="K566" s="64" t="str">
        <f>IFERROR(__xludf.DUMMYFUNCTION("""COMPUTED_VALUE"""),"LLAMADA DE ATENCIÓN")</f>
        <v>LLAMADA DE ATENCIÓN</v>
      </c>
      <c r="L566" s="64" t="str">
        <f>IFERROR(__xludf.DUMMYFUNCTION("""COMPUTED_VALUE"""),"OPERATIVOS")</f>
        <v>OPERATIVOS</v>
      </c>
      <c r="M566" s="64" t="str">
        <f>IFERROR(__xludf.DUMMYFUNCTION("""COMPUTED_VALUE"""),"SANCIÓN")</f>
        <v>SANCIÓN</v>
      </c>
      <c r="N566" s="64" t="str">
        <f>IFERROR(__xludf.DUMMYFUNCTION("""COMPUTED_VALUE"""),"SISTEMA ELECTRICO")</f>
        <v>SISTEMA ELECTRICO</v>
      </c>
      <c r="O566" s="64" t="str">
        <f>IFERROR(__xludf.DUMMYFUNCTION("""COMPUTED_VALUE"""),"ASISTENCIA AL USUARIO")</f>
        <v>ASISTENCIA AL USUARIO</v>
      </c>
      <c r="P566" s="64" t="str">
        <f>IFERROR(__xludf.DUMMYFUNCTION("""COMPUTED_VALUE"""),"DOBLE REMOLQUE")</f>
        <v>DOBLE REMOLQUE</v>
      </c>
      <c r="Q566" s="64" t="str">
        <f>IFERROR(__xludf.DUMMYFUNCTION("""COMPUTED_VALUE"""),"SINAPRESE")</f>
        <v>SINAPRESE</v>
      </c>
      <c r="R566" s="64" t="str">
        <f>IFERROR(__xludf.DUMMYFUNCTION("""COMPUTED_VALUE"""),"APOYO ATLETISMO")</f>
        <v>APOYO ATLETISMO</v>
      </c>
      <c r="S566" s="64" t="str">
        <f>IFERROR(__xludf.DUMMYFUNCTION("""COMPUTED_VALUE"""),"APOYO A CICLISMO")</f>
        <v>APOYO A CICLISMO</v>
      </c>
      <c r="T566" s="64" t="str">
        <f>IFERROR(__xludf.DUMMYFUNCTION("""COMPUTED_VALUE"""),"DESCARGA DE BATERÍA")</f>
        <v>DESCARGA DE BATERÍA</v>
      </c>
      <c r="U566" s="64" t="str">
        <f>IFERROR(__xludf.DUMMYFUNCTION("""COMPUTED_VALUE"""),"PROBLEMAS DE SALUD")</f>
        <v>PROBLEMAS DE SALUD</v>
      </c>
      <c r="V566" s="64" t="str">
        <f>IFERROR(__xludf.DUMMYFUNCTION("""COMPUTED_VALUE"""),"OLVIDO LA LLAVE")</f>
        <v>OLVIDO LA LLAVE</v>
      </c>
      <c r="W566" s="64" t="str">
        <f>IFERROR(__xludf.DUMMYFUNCTION("""COMPUTED_VALUE"""),"CARGA SOBREDIMENSIONADA")</f>
        <v>CARGA SOBREDIMENSIONADA</v>
      </c>
      <c r="X566" s="64" t="str">
        <f>IFERROR(__xludf.DUMMYFUNCTION("""COMPUTED_VALUE"""),"VEHÍCULO ABANDONADO")</f>
        <v>VEHÍCULO ABANDONADO</v>
      </c>
      <c r="Y566" s="64" t="str">
        <f>IFERROR(__xludf.DUMMYFUNCTION("""COMPUTED_VALUE"""),"DESPRENDIMIENTO")</f>
        <v>DESPRENDIMIENTO</v>
      </c>
      <c r="Z566" s="64" t="str">
        <f>IFERROR(__xludf.DUMMYFUNCTION("""COMPUTED_VALUE"""),"CAÍDA DE POSTE")</f>
        <v>CAÍDA DE POSTE</v>
      </c>
      <c r="AA566" s="64" t="str">
        <f>IFERROR(__xludf.DUMMYFUNCTION("""COMPUTED_VALUE"""),"CAÍDA DE RAMA")</f>
        <v>CAÍDA DE RAMA</v>
      </c>
      <c r="AB566" s="64" t="str">
        <f>IFERROR(__xludf.DUMMYFUNCTION("""COMPUTED_VALUE"""),"OPERATIVO DGT")</f>
        <v>OPERATIVO DGT</v>
      </c>
      <c r="AC566" s="64" t="str">
        <f>IFERROR(__xludf.DUMMYFUNCTION("""COMPUTED_VALUE"""),"OPERATIVO PMT")</f>
        <v>OPERATIVO PMT</v>
      </c>
      <c r="AD566" s="64" t="str">
        <f>IFERROR(__xludf.DUMMYFUNCTION("""COMPUTED_VALUE"""),"APOYO A DIGEF")</f>
        <v>APOYO A DIGEF</v>
      </c>
      <c r="AE566" s="64" t="str">
        <f>IFERROR(__xludf.DUMMYFUNCTION("""COMPUTED_VALUE"""),"OPERATIVO PNC TRANSITO")</f>
        <v>OPERATIVO PNC TRANSITO</v>
      </c>
      <c r="AF566" s="64" t="str">
        <f>IFERROR(__xludf.DUMMYFUNCTION("""COMPUTED_VALUE"""),"SOBRECARGA ")</f>
        <v>SOBRECARGA </v>
      </c>
      <c r="AG566" s="64" t="str">
        <f>IFERROR(__xludf.DUMMYFUNCTION("""COMPUTED_VALUE"""),"OPERATIVO EN CONJUNTO")</f>
        <v>OPERATIVO EN CONJUNTO</v>
      </c>
      <c r="AH566" s="64" t="str">
        <f>IFERROR(__xludf.DUMMYFUNCTION("""COMPUTED_VALUE"""),"PUESTO DE ATENCION AL USUARIO")</f>
        <v>PUESTO DE ATENCION AL USUARIO</v>
      </c>
      <c r="AI566" s="64" t="str">
        <f>IFERROR(__xludf.DUMMYFUNCTION("""COMPUTED_VALUE"""),"INCENDIO EN RUTA")</f>
        <v>INCENDIO EN RUTA</v>
      </c>
      <c r="AJ566" s="64" t="str">
        <f>IFERROR(__xludf.DUMMYFUNCTION("""COMPUTED_VALUE"""),"APOYO ANTORCHA ")</f>
        <v>APOYO ANTORCHA </v>
      </c>
    </row>
    <row r="567">
      <c r="B567" s="64" t="s">
        <v>54</v>
      </c>
      <c r="C567" s="64" t="str">
        <f>IFERROR(__xludf.DUMMYFUNCTION(" TRANSPOSE( unique ( QUERY(DATOPRO,""select Col2 where Col1 = '""&amp;B567&amp;""'"")))"),"PINCHAZO")</f>
        <v>PINCHAZO</v>
      </c>
      <c r="D567" s="64" t="str">
        <f>IFERROR(__xludf.DUMMYFUNCTION("""COMPUTED_VALUE"""),"TRABAJOS DE CARRETERA")</f>
        <v>TRABAJOS DE CARRETERA</v>
      </c>
      <c r="E567" s="64" t="str">
        <f>IFERROR(__xludf.DUMMYFUNCTION("""COMPUTED_VALUE"""),"CONSIGNACIÓN")</f>
        <v>CONSIGNACIÓN</v>
      </c>
      <c r="F567" s="64" t="str">
        <f>IFERROR(__xludf.DUMMYFUNCTION("""COMPUTED_VALUE"""),"DERRAME")</f>
        <v>DERRAME</v>
      </c>
      <c r="G567" s="64" t="str">
        <f>IFERROR(__xludf.DUMMYFUNCTION("""COMPUTED_VALUE"""),"CALENTAMIENTO")</f>
        <v>CALENTAMIENTO</v>
      </c>
      <c r="H567" s="64" t="str">
        <f>IFERROR(__xludf.DUMMYFUNCTION("""COMPUTED_VALUE"""),"ESCOLTANDO")</f>
        <v>ESCOLTANDO</v>
      </c>
      <c r="I567" s="64" t="str">
        <f>IFERROR(__xludf.DUMMYFUNCTION("""COMPUTED_VALUE"""),"FALTA DE COMBUSTIBLE")</f>
        <v>FALTA DE COMBUSTIBLE</v>
      </c>
      <c r="J567" s="64" t="str">
        <f>IFERROR(__xludf.DUMMYFUNCTION("""COMPUTED_VALUE"""),"DESPERFECTOS MECÁNICOS")</f>
        <v>DESPERFECTOS MECÁNICOS</v>
      </c>
      <c r="K567" s="64" t="str">
        <f>IFERROR(__xludf.DUMMYFUNCTION("""COMPUTED_VALUE"""),"LLAMADA DE ATENCIÓN")</f>
        <v>LLAMADA DE ATENCIÓN</v>
      </c>
      <c r="L567" s="64" t="str">
        <f>IFERROR(__xludf.DUMMYFUNCTION("""COMPUTED_VALUE"""),"OPERATIVOS")</f>
        <v>OPERATIVOS</v>
      </c>
      <c r="M567" s="64" t="str">
        <f>IFERROR(__xludf.DUMMYFUNCTION("""COMPUTED_VALUE"""),"SANCIÓN")</f>
        <v>SANCIÓN</v>
      </c>
      <c r="N567" s="64" t="str">
        <f>IFERROR(__xludf.DUMMYFUNCTION("""COMPUTED_VALUE"""),"SISTEMA ELECTRICO")</f>
        <v>SISTEMA ELECTRICO</v>
      </c>
      <c r="O567" s="64" t="str">
        <f>IFERROR(__xludf.DUMMYFUNCTION("""COMPUTED_VALUE"""),"ASISTENCIA AL USUARIO")</f>
        <v>ASISTENCIA AL USUARIO</v>
      </c>
      <c r="P567" s="64" t="str">
        <f>IFERROR(__xludf.DUMMYFUNCTION("""COMPUTED_VALUE"""),"DOBLE REMOLQUE")</f>
        <v>DOBLE REMOLQUE</v>
      </c>
      <c r="Q567" s="64" t="str">
        <f>IFERROR(__xludf.DUMMYFUNCTION("""COMPUTED_VALUE"""),"SINAPRESE")</f>
        <v>SINAPRESE</v>
      </c>
      <c r="R567" s="64" t="str">
        <f>IFERROR(__xludf.DUMMYFUNCTION("""COMPUTED_VALUE"""),"APOYO ATLETISMO")</f>
        <v>APOYO ATLETISMO</v>
      </c>
      <c r="S567" s="64" t="str">
        <f>IFERROR(__xludf.DUMMYFUNCTION("""COMPUTED_VALUE"""),"APOYO A CICLISMO")</f>
        <v>APOYO A CICLISMO</v>
      </c>
      <c r="T567" s="64" t="str">
        <f>IFERROR(__xludf.DUMMYFUNCTION("""COMPUTED_VALUE"""),"DESCARGA DE BATERÍA")</f>
        <v>DESCARGA DE BATERÍA</v>
      </c>
      <c r="U567" s="64" t="str">
        <f>IFERROR(__xludf.DUMMYFUNCTION("""COMPUTED_VALUE"""),"PROBLEMAS DE SALUD")</f>
        <v>PROBLEMAS DE SALUD</v>
      </c>
      <c r="V567" s="64" t="str">
        <f>IFERROR(__xludf.DUMMYFUNCTION("""COMPUTED_VALUE"""),"OLVIDO LA LLAVE")</f>
        <v>OLVIDO LA LLAVE</v>
      </c>
      <c r="W567" s="64" t="str">
        <f>IFERROR(__xludf.DUMMYFUNCTION("""COMPUTED_VALUE"""),"CARGA SOBREDIMENSIONADA")</f>
        <v>CARGA SOBREDIMENSIONADA</v>
      </c>
      <c r="X567" s="64" t="str">
        <f>IFERROR(__xludf.DUMMYFUNCTION("""COMPUTED_VALUE"""),"VEHÍCULO ABANDONADO")</f>
        <v>VEHÍCULO ABANDONADO</v>
      </c>
      <c r="Y567" s="64" t="str">
        <f>IFERROR(__xludf.DUMMYFUNCTION("""COMPUTED_VALUE"""),"DESPRENDIMIENTO")</f>
        <v>DESPRENDIMIENTO</v>
      </c>
      <c r="Z567" s="64" t="str">
        <f>IFERROR(__xludf.DUMMYFUNCTION("""COMPUTED_VALUE"""),"CAÍDA DE POSTE")</f>
        <v>CAÍDA DE POSTE</v>
      </c>
      <c r="AA567" s="64" t="str">
        <f>IFERROR(__xludf.DUMMYFUNCTION("""COMPUTED_VALUE"""),"CAÍDA DE RAMA")</f>
        <v>CAÍDA DE RAMA</v>
      </c>
      <c r="AB567" s="64" t="str">
        <f>IFERROR(__xludf.DUMMYFUNCTION("""COMPUTED_VALUE"""),"OPERATIVO DGT")</f>
        <v>OPERATIVO DGT</v>
      </c>
      <c r="AC567" s="64" t="str">
        <f>IFERROR(__xludf.DUMMYFUNCTION("""COMPUTED_VALUE"""),"OPERATIVO PMT")</f>
        <v>OPERATIVO PMT</v>
      </c>
      <c r="AD567" s="64" t="str">
        <f>IFERROR(__xludf.DUMMYFUNCTION("""COMPUTED_VALUE"""),"APOYO A DIGEF")</f>
        <v>APOYO A DIGEF</v>
      </c>
      <c r="AE567" s="64" t="str">
        <f>IFERROR(__xludf.DUMMYFUNCTION("""COMPUTED_VALUE"""),"OPERATIVO PNC TRANSITO")</f>
        <v>OPERATIVO PNC TRANSITO</v>
      </c>
      <c r="AF567" s="64" t="str">
        <f>IFERROR(__xludf.DUMMYFUNCTION("""COMPUTED_VALUE"""),"SOBRECARGA ")</f>
        <v>SOBRECARGA </v>
      </c>
      <c r="AG567" s="64" t="str">
        <f>IFERROR(__xludf.DUMMYFUNCTION("""COMPUTED_VALUE"""),"OPERATIVO EN CONJUNTO")</f>
        <v>OPERATIVO EN CONJUNTO</v>
      </c>
      <c r="AH567" s="64" t="str">
        <f>IFERROR(__xludf.DUMMYFUNCTION("""COMPUTED_VALUE"""),"PUESTO DE ATENCION AL USUARIO")</f>
        <v>PUESTO DE ATENCION AL USUARIO</v>
      </c>
      <c r="AI567" s="64" t="str">
        <f>IFERROR(__xludf.DUMMYFUNCTION("""COMPUTED_VALUE"""),"INCENDIO EN RUTA")</f>
        <v>INCENDIO EN RUTA</v>
      </c>
      <c r="AJ567" s="64" t="str">
        <f>IFERROR(__xludf.DUMMYFUNCTION("""COMPUTED_VALUE"""),"APOYO ANTORCHA ")</f>
        <v>APOYO ANTORCHA </v>
      </c>
    </row>
    <row r="568">
      <c r="B568" s="64"/>
      <c r="C568" s="64" t="str">
        <f>IFERROR(__xludf.DUMMYFUNCTION(" TRANSPOSE( unique ( QUERY(DATOPRO,""select Col2 where Col1 = '""&amp;B568&amp;""'"")))"),"")</f>
        <v/>
      </c>
    </row>
    <row r="569">
      <c r="B569" s="64" t="s">
        <v>38</v>
      </c>
      <c r="C569" s="64" t="str">
        <f>IFERROR(__xludf.DUMMYFUNCTION(" TRANSPOSE( unique ( QUERY(DATOPRO,""select Col2 where Col1 = '""&amp;B569&amp;""'"")))"),"ATAQUE ARMADO")</f>
        <v>ATAQUE ARMADO</v>
      </c>
      <c r="D569" s="64" t="str">
        <f>IFERROR(__xludf.DUMMYFUNCTION("""COMPUTED_VALUE"""),"DESBALANCE DE CARGA")</f>
        <v>DESBALANCE DE CARGA</v>
      </c>
      <c r="E569" s="64" t="str">
        <f>IFERROR(__xludf.DUMMYFUNCTION("""COMPUTED_VALUE"""),"PERSONA FALLECIDA")</f>
        <v>PERSONA FALLECIDA</v>
      </c>
      <c r="F569" s="64" t="str">
        <f>IFERROR(__xludf.DUMMYFUNCTION("""COMPUTED_VALUE"""),"DESPRENDIMIENTO DE NEUMATICO")</f>
        <v>DESPRENDIMIENTO DE NEUMATICO</v>
      </c>
      <c r="G569" s="64" t="str">
        <f>IFERROR(__xludf.DUMMYFUNCTION("""COMPUTED_VALUE"""),"SALIDA DE PISTA")</f>
        <v>SALIDA DE PISTA</v>
      </c>
      <c r="H569" s="64" t="str">
        <f>IFERROR(__xludf.DUMMYFUNCTION("""COMPUTED_VALUE"""),"DESPRENDIMIENTO DE CONTENEDOR")</f>
        <v>DESPRENDIMIENTO DE CONTENEDOR</v>
      </c>
      <c r="I569" s="64" t="str">
        <f>IFERROR(__xludf.DUMMYFUNCTION("""COMPUTED_VALUE"""),"CAÍDA DE CARGA")</f>
        <v>CAÍDA DE CARGA</v>
      </c>
      <c r="J569" s="64" t="str">
        <f>IFERROR(__xludf.DUMMYFUNCTION("""COMPUTED_VALUE"""),"CHOQUE")</f>
        <v>CHOQUE</v>
      </c>
      <c r="K569" s="64" t="str">
        <f>IFERROR(__xludf.DUMMYFUNCTION("""COMPUTED_VALUE"""),"COLISIÓN")</f>
        <v>COLISIÓN</v>
      </c>
      <c r="L569" s="64" t="str">
        <f>IFERROR(__xludf.DUMMYFUNCTION("""COMPUTED_VALUE"""),"COLISIÓN MÚLTIPLE")</f>
        <v>COLISIÓN MÚLTIPLE</v>
      </c>
      <c r="M569" s="64" t="str">
        <f>IFERROR(__xludf.DUMMYFUNCTION("""COMPUTED_VALUE"""),"DERRAPE")</f>
        <v>DERRAPE</v>
      </c>
      <c r="N569" s="64" t="str">
        <f>IFERROR(__xludf.DUMMYFUNCTION("""COMPUTED_VALUE"""),"VEHÍCULO INCENDIADO")</f>
        <v>VEHÍCULO INCENDIADO</v>
      </c>
      <c r="O569" s="64" t="str">
        <f>IFERROR(__xludf.DUMMYFUNCTION("""COMPUTED_VALUE"""),"VUELCO")</f>
        <v>VUELCO</v>
      </c>
      <c r="P569" s="64" t="str">
        <f>IFERROR(__xludf.DUMMYFUNCTION("""COMPUTED_VALUE"""),"DESPRENDIMIENTO")</f>
        <v>DESPRENDIMIENTO</v>
      </c>
      <c r="Q569" s="64" t="str">
        <f>IFERROR(__xludf.DUMMYFUNCTION("""COMPUTED_VALUE"""),"CAÍDA DE ÁRBOL")</f>
        <v>CAÍDA DE ÁRBOL</v>
      </c>
      <c r="R569" s="64" t="str">
        <f>IFERROR(__xludf.DUMMYFUNCTION("""COMPUTED_VALUE"""),"DESPRENDIMIENTO DE EJE")</f>
        <v>DESPRENDIMIENTO DE EJE</v>
      </c>
      <c r="S569" s="64" t="str">
        <f>IFERROR(__xludf.DUMMYFUNCTION("""COMPUTED_VALUE"""),"PERSONA ATROPELLADA")</f>
        <v>PERSONA ATROPELLADA</v>
      </c>
    </row>
    <row r="570">
      <c r="B570" s="64" t="s">
        <v>54</v>
      </c>
      <c r="C570" s="64" t="str">
        <f>IFERROR(__xludf.DUMMYFUNCTION(" TRANSPOSE( unique ( QUERY(DATOPRO,""select Col2 where Col1 = '""&amp;B570&amp;""'"")))"),"PINCHAZO")</f>
        <v>PINCHAZO</v>
      </c>
      <c r="D570" s="64" t="str">
        <f>IFERROR(__xludf.DUMMYFUNCTION("""COMPUTED_VALUE"""),"TRABAJOS DE CARRETERA")</f>
        <v>TRABAJOS DE CARRETERA</v>
      </c>
      <c r="E570" s="64" t="str">
        <f>IFERROR(__xludf.DUMMYFUNCTION("""COMPUTED_VALUE"""),"CONSIGNACIÓN")</f>
        <v>CONSIGNACIÓN</v>
      </c>
      <c r="F570" s="64" t="str">
        <f>IFERROR(__xludf.DUMMYFUNCTION("""COMPUTED_VALUE"""),"DERRAME")</f>
        <v>DERRAME</v>
      </c>
      <c r="G570" s="64" t="str">
        <f>IFERROR(__xludf.DUMMYFUNCTION("""COMPUTED_VALUE"""),"CALENTAMIENTO")</f>
        <v>CALENTAMIENTO</v>
      </c>
      <c r="H570" s="64" t="str">
        <f>IFERROR(__xludf.DUMMYFUNCTION("""COMPUTED_VALUE"""),"ESCOLTANDO")</f>
        <v>ESCOLTANDO</v>
      </c>
      <c r="I570" s="64" t="str">
        <f>IFERROR(__xludf.DUMMYFUNCTION("""COMPUTED_VALUE"""),"FALTA DE COMBUSTIBLE")</f>
        <v>FALTA DE COMBUSTIBLE</v>
      </c>
      <c r="J570" s="64" t="str">
        <f>IFERROR(__xludf.DUMMYFUNCTION("""COMPUTED_VALUE"""),"DESPERFECTOS MECÁNICOS")</f>
        <v>DESPERFECTOS MECÁNICOS</v>
      </c>
      <c r="K570" s="64" t="str">
        <f>IFERROR(__xludf.DUMMYFUNCTION("""COMPUTED_VALUE"""),"LLAMADA DE ATENCIÓN")</f>
        <v>LLAMADA DE ATENCIÓN</v>
      </c>
      <c r="L570" s="64" t="str">
        <f>IFERROR(__xludf.DUMMYFUNCTION("""COMPUTED_VALUE"""),"OPERATIVOS")</f>
        <v>OPERATIVOS</v>
      </c>
      <c r="M570" s="64" t="str">
        <f>IFERROR(__xludf.DUMMYFUNCTION("""COMPUTED_VALUE"""),"SANCIÓN")</f>
        <v>SANCIÓN</v>
      </c>
      <c r="N570" s="64" t="str">
        <f>IFERROR(__xludf.DUMMYFUNCTION("""COMPUTED_VALUE"""),"SISTEMA ELECTRICO")</f>
        <v>SISTEMA ELECTRICO</v>
      </c>
      <c r="O570" s="64" t="str">
        <f>IFERROR(__xludf.DUMMYFUNCTION("""COMPUTED_VALUE"""),"ASISTENCIA AL USUARIO")</f>
        <v>ASISTENCIA AL USUARIO</v>
      </c>
      <c r="P570" s="64" t="str">
        <f>IFERROR(__xludf.DUMMYFUNCTION("""COMPUTED_VALUE"""),"DOBLE REMOLQUE")</f>
        <v>DOBLE REMOLQUE</v>
      </c>
      <c r="Q570" s="64" t="str">
        <f>IFERROR(__xludf.DUMMYFUNCTION("""COMPUTED_VALUE"""),"SINAPRESE")</f>
        <v>SINAPRESE</v>
      </c>
      <c r="R570" s="64" t="str">
        <f>IFERROR(__xludf.DUMMYFUNCTION("""COMPUTED_VALUE"""),"APOYO ATLETISMO")</f>
        <v>APOYO ATLETISMO</v>
      </c>
      <c r="S570" s="64" t="str">
        <f>IFERROR(__xludf.DUMMYFUNCTION("""COMPUTED_VALUE"""),"APOYO A CICLISMO")</f>
        <v>APOYO A CICLISMO</v>
      </c>
      <c r="T570" s="64" t="str">
        <f>IFERROR(__xludf.DUMMYFUNCTION("""COMPUTED_VALUE"""),"DESCARGA DE BATERÍA")</f>
        <v>DESCARGA DE BATERÍA</v>
      </c>
      <c r="U570" s="64" t="str">
        <f>IFERROR(__xludf.DUMMYFUNCTION("""COMPUTED_VALUE"""),"PROBLEMAS DE SALUD")</f>
        <v>PROBLEMAS DE SALUD</v>
      </c>
      <c r="V570" s="64" t="str">
        <f>IFERROR(__xludf.DUMMYFUNCTION("""COMPUTED_VALUE"""),"OLVIDO LA LLAVE")</f>
        <v>OLVIDO LA LLAVE</v>
      </c>
      <c r="W570" s="64" t="str">
        <f>IFERROR(__xludf.DUMMYFUNCTION("""COMPUTED_VALUE"""),"CARGA SOBREDIMENSIONADA")</f>
        <v>CARGA SOBREDIMENSIONADA</v>
      </c>
      <c r="X570" s="64" t="str">
        <f>IFERROR(__xludf.DUMMYFUNCTION("""COMPUTED_VALUE"""),"VEHÍCULO ABANDONADO")</f>
        <v>VEHÍCULO ABANDONADO</v>
      </c>
      <c r="Y570" s="64" t="str">
        <f>IFERROR(__xludf.DUMMYFUNCTION("""COMPUTED_VALUE"""),"DESPRENDIMIENTO")</f>
        <v>DESPRENDIMIENTO</v>
      </c>
      <c r="Z570" s="64" t="str">
        <f>IFERROR(__xludf.DUMMYFUNCTION("""COMPUTED_VALUE"""),"CAÍDA DE POSTE")</f>
        <v>CAÍDA DE POSTE</v>
      </c>
      <c r="AA570" s="64" t="str">
        <f>IFERROR(__xludf.DUMMYFUNCTION("""COMPUTED_VALUE"""),"CAÍDA DE RAMA")</f>
        <v>CAÍDA DE RAMA</v>
      </c>
      <c r="AB570" s="64" t="str">
        <f>IFERROR(__xludf.DUMMYFUNCTION("""COMPUTED_VALUE"""),"OPERATIVO DGT")</f>
        <v>OPERATIVO DGT</v>
      </c>
      <c r="AC570" s="64" t="str">
        <f>IFERROR(__xludf.DUMMYFUNCTION("""COMPUTED_VALUE"""),"OPERATIVO PMT")</f>
        <v>OPERATIVO PMT</v>
      </c>
      <c r="AD570" s="64" t="str">
        <f>IFERROR(__xludf.DUMMYFUNCTION("""COMPUTED_VALUE"""),"APOYO A DIGEF")</f>
        <v>APOYO A DIGEF</v>
      </c>
      <c r="AE570" s="64" t="str">
        <f>IFERROR(__xludf.DUMMYFUNCTION("""COMPUTED_VALUE"""),"OPERATIVO PNC TRANSITO")</f>
        <v>OPERATIVO PNC TRANSITO</v>
      </c>
      <c r="AF570" s="64" t="str">
        <f>IFERROR(__xludf.DUMMYFUNCTION("""COMPUTED_VALUE"""),"SOBRECARGA ")</f>
        <v>SOBRECARGA </v>
      </c>
      <c r="AG570" s="64" t="str">
        <f>IFERROR(__xludf.DUMMYFUNCTION("""COMPUTED_VALUE"""),"OPERATIVO EN CONJUNTO")</f>
        <v>OPERATIVO EN CONJUNTO</v>
      </c>
      <c r="AH570" s="64" t="str">
        <f>IFERROR(__xludf.DUMMYFUNCTION("""COMPUTED_VALUE"""),"PUESTO DE ATENCION AL USUARIO")</f>
        <v>PUESTO DE ATENCION AL USUARIO</v>
      </c>
      <c r="AI570" s="64" t="str">
        <f>IFERROR(__xludf.DUMMYFUNCTION("""COMPUTED_VALUE"""),"INCENDIO EN RUTA")</f>
        <v>INCENDIO EN RUTA</v>
      </c>
      <c r="AJ570" s="64" t="str">
        <f>IFERROR(__xludf.DUMMYFUNCTION("""COMPUTED_VALUE"""),"APOYO ANTORCHA ")</f>
        <v>APOYO ANTORCHA </v>
      </c>
    </row>
    <row r="571">
      <c r="B571" s="64" t="s">
        <v>54</v>
      </c>
      <c r="C571" s="64" t="str">
        <f>IFERROR(__xludf.DUMMYFUNCTION(" TRANSPOSE( unique ( QUERY(DATOPRO,""select Col2 where Col1 = '""&amp;B571&amp;""'"")))"),"PINCHAZO")</f>
        <v>PINCHAZO</v>
      </c>
      <c r="D571" s="64" t="str">
        <f>IFERROR(__xludf.DUMMYFUNCTION("""COMPUTED_VALUE"""),"TRABAJOS DE CARRETERA")</f>
        <v>TRABAJOS DE CARRETERA</v>
      </c>
      <c r="E571" s="64" t="str">
        <f>IFERROR(__xludf.DUMMYFUNCTION("""COMPUTED_VALUE"""),"CONSIGNACIÓN")</f>
        <v>CONSIGNACIÓN</v>
      </c>
      <c r="F571" s="64" t="str">
        <f>IFERROR(__xludf.DUMMYFUNCTION("""COMPUTED_VALUE"""),"DERRAME")</f>
        <v>DERRAME</v>
      </c>
      <c r="G571" s="64" t="str">
        <f>IFERROR(__xludf.DUMMYFUNCTION("""COMPUTED_VALUE"""),"CALENTAMIENTO")</f>
        <v>CALENTAMIENTO</v>
      </c>
      <c r="H571" s="64" t="str">
        <f>IFERROR(__xludf.DUMMYFUNCTION("""COMPUTED_VALUE"""),"ESCOLTANDO")</f>
        <v>ESCOLTANDO</v>
      </c>
      <c r="I571" s="64" t="str">
        <f>IFERROR(__xludf.DUMMYFUNCTION("""COMPUTED_VALUE"""),"FALTA DE COMBUSTIBLE")</f>
        <v>FALTA DE COMBUSTIBLE</v>
      </c>
      <c r="J571" s="64" t="str">
        <f>IFERROR(__xludf.DUMMYFUNCTION("""COMPUTED_VALUE"""),"DESPERFECTOS MECÁNICOS")</f>
        <v>DESPERFECTOS MECÁNICOS</v>
      </c>
      <c r="K571" s="64" t="str">
        <f>IFERROR(__xludf.DUMMYFUNCTION("""COMPUTED_VALUE"""),"LLAMADA DE ATENCIÓN")</f>
        <v>LLAMADA DE ATENCIÓN</v>
      </c>
      <c r="L571" s="64" t="str">
        <f>IFERROR(__xludf.DUMMYFUNCTION("""COMPUTED_VALUE"""),"OPERATIVOS")</f>
        <v>OPERATIVOS</v>
      </c>
      <c r="M571" s="64" t="str">
        <f>IFERROR(__xludf.DUMMYFUNCTION("""COMPUTED_VALUE"""),"SANCIÓN")</f>
        <v>SANCIÓN</v>
      </c>
      <c r="N571" s="64" t="str">
        <f>IFERROR(__xludf.DUMMYFUNCTION("""COMPUTED_VALUE"""),"SISTEMA ELECTRICO")</f>
        <v>SISTEMA ELECTRICO</v>
      </c>
      <c r="O571" s="64" t="str">
        <f>IFERROR(__xludf.DUMMYFUNCTION("""COMPUTED_VALUE"""),"ASISTENCIA AL USUARIO")</f>
        <v>ASISTENCIA AL USUARIO</v>
      </c>
      <c r="P571" s="64" t="str">
        <f>IFERROR(__xludf.DUMMYFUNCTION("""COMPUTED_VALUE"""),"DOBLE REMOLQUE")</f>
        <v>DOBLE REMOLQUE</v>
      </c>
      <c r="Q571" s="64" t="str">
        <f>IFERROR(__xludf.DUMMYFUNCTION("""COMPUTED_VALUE"""),"SINAPRESE")</f>
        <v>SINAPRESE</v>
      </c>
      <c r="R571" s="64" t="str">
        <f>IFERROR(__xludf.DUMMYFUNCTION("""COMPUTED_VALUE"""),"APOYO ATLETISMO")</f>
        <v>APOYO ATLETISMO</v>
      </c>
      <c r="S571" s="64" t="str">
        <f>IFERROR(__xludf.DUMMYFUNCTION("""COMPUTED_VALUE"""),"APOYO A CICLISMO")</f>
        <v>APOYO A CICLISMO</v>
      </c>
      <c r="T571" s="64" t="str">
        <f>IFERROR(__xludf.DUMMYFUNCTION("""COMPUTED_VALUE"""),"DESCARGA DE BATERÍA")</f>
        <v>DESCARGA DE BATERÍA</v>
      </c>
      <c r="U571" s="64" t="str">
        <f>IFERROR(__xludf.DUMMYFUNCTION("""COMPUTED_VALUE"""),"PROBLEMAS DE SALUD")</f>
        <v>PROBLEMAS DE SALUD</v>
      </c>
      <c r="V571" s="64" t="str">
        <f>IFERROR(__xludf.DUMMYFUNCTION("""COMPUTED_VALUE"""),"OLVIDO LA LLAVE")</f>
        <v>OLVIDO LA LLAVE</v>
      </c>
      <c r="W571" s="64" t="str">
        <f>IFERROR(__xludf.DUMMYFUNCTION("""COMPUTED_VALUE"""),"CARGA SOBREDIMENSIONADA")</f>
        <v>CARGA SOBREDIMENSIONADA</v>
      </c>
      <c r="X571" s="64" t="str">
        <f>IFERROR(__xludf.DUMMYFUNCTION("""COMPUTED_VALUE"""),"VEHÍCULO ABANDONADO")</f>
        <v>VEHÍCULO ABANDONADO</v>
      </c>
      <c r="Y571" s="64" t="str">
        <f>IFERROR(__xludf.DUMMYFUNCTION("""COMPUTED_VALUE"""),"DESPRENDIMIENTO")</f>
        <v>DESPRENDIMIENTO</v>
      </c>
      <c r="Z571" s="64" t="str">
        <f>IFERROR(__xludf.DUMMYFUNCTION("""COMPUTED_VALUE"""),"CAÍDA DE POSTE")</f>
        <v>CAÍDA DE POSTE</v>
      </c>
      <c r="AA571" s="64" t="str">
        <f>IFERROR(__xludf.DUMMYFUNCTION("""COMPUTED_VALUE"""),"CAÍDA DE RAMA")</f>
        <v>CAÍDA DE RAMA</v>
      </c>
      <c r="AB571" s="64" t="str">
        <f>IFERROR(__xludf.DUMMYFUNCTION("""COMPUTED_VALUE"""),"OPERATIVO DGT")</f>
        <v>OPERATIVO DGT</v>
      </c>
      <c r="AC571" s="64" t="str">
        <f>IFERROR(__xludf.DUMMYFUNCTION("""COMPUTED_VALUE"""),"OPERATIVO PMT")</f>
        <v>OPERATIVO PMT</v>
      </c>
      <c r="AD571" s="64" t="str">
        <f>IFERROR(__xludf.DUMMYFUNCTION("""COMPUTED_VALUE"""),"APOYO A DIGEF")</f>
        <v>APOYO A DIGEF</v>
      </c>
      <c r="AE571" s="64" t="str">
        <f>IFERROR(__xludf.DUMMYFUNCTION("""COMPUTED_VALUE"""),"OPERATIVO PNC TRANSITO")</f>
        <v>OPERATIVO PNC TRANSITO</v>
      </c>
      <c r="AF571" s="64" t="str">
        <f>IFERROR(__xludf.DUMMYFUNCTION("""COMPUTED_VALUE"""),"SOBRECARGA ")</f>
        <v>SOBRECARGA </v>
      </c>
      <c r="AG571" s="64" t="str">
        <f>IFERROR(__xludf.DUMMYFUNCTION("""COMPUTED_VALUE"""),"OPERATIVO EN CONJUNTO")</f>
        <v>OPERATIVO EN CONJUNTO</v>
      </c>
      <c r="AH571" s="64" t="str">
        <f>IFERROR(__xludf.DUMMYFUNCTION("""COMPUTED_VALUE"""),"PUESTO DE ATENCION AL USUARIO")</f>
        <v>PUESTO DE ATENCION AL USUARIO</v>
      </c>
      <c r="AI571" s="64" t="str">
        <f>IFERROR(__xludf.DUMMYFUNCTION("""COMPUTED_VALUE"""),"INCENDIO EN RUTA")</f>
        <v>INCENDIO EN RUTA</v>
      </c>
      <c r="AJ571" s="64" t="str">
        <f>IFERROR(__xludf.DUMMYFUNCTION("""COMPUTED_VALUE"""),"APOYO ANTORCHA ")</f>
        <v>APOYO ANTORCHA </v>
      </c>
    </row>
    <row r="572">
      <c r="B572" s="64" t="s">
        <v>54</v>
      </c>
      <c r="C572" s="64" t="str">
        <f>IFERROR(__xludf.DUMMYFUNCTION(" TRANSPOSE( unique ( QUERY(DATOPRO,""select Col2 where Col1 = '""&amp;B572&amp;""'"")))"),"PINCHAZO")</f>
        <v>PINCHAZO</v>
      </c>
      <c r="D572" s="64" t="str">
        <f>IFERROR(__xludf.DUMMYFUNCTION("""COMPUTED_VALUE"""),"TRABAJOS DE CARRETERA")</f>
        <v>TRABAJOS DE CARRETERA</v>
      </c>
      <c r="E572" s="64" t="str">
        <f>IFERROR(__xludf.DUMMYFUNCTION("""COMPUTED_VALUE"""),"CONSIGNACIÓN")</f>
        <v>CONSIGNACIÓN</v>
      </c>
      <c r="F572" s="64" t="str">
        <f>IFERROR(__xludf.DUMMYFUNCTION("""COMPUTED_VALUE"""),"DERRAME")</f>
        <v>DERRAME</v>
      </c>
      <c r="G572" s="64" t="str">
        <f>IFERROR(__xludf.DUMMYFUNCTION("""COMPUTED_VALUE"""),"CALENTAMIENTO")</f>
        <v>CALENTAMIENTO</v>
      </c>
      <c r="H572" s="64" t="str">
        <f>IFERROR(__xludf.DUMMYFUNCTION("""COMPUTED_VALUE"""),"ESCOLTANDO")</f>
        <v>ESCOLTANDO</v>
      </c>
      <c r="I572" s="64" t="str">
        <f>IFERROR(__xludf.DUMMYFUNCTION("""COMPUTED_VALUE"""),"FALTA DE COMBUSTIBLE")</f>
        <v>FALTA DE COMBUSTIBLE</v>
      </c>
      <c r="J572" s="64" t="str">
        <f>IFERROR(__xludf.DUMMYFUNCTION("""COMPUTED_VALUE"""),"DESPERFECTOS MECÁNICOS")</f>
        <v>DESPERFECTOS MECÁNICOS</v>
      </c>
      <c r="K572" s="64" t="str">
        <f>IFERROR(__xludf.DUMMYFUNCTION("""COMPUTED_VALUE"""),"LLAMADA DE ATENCIÓN")</f>
        <v>LLAMADA DE ATENCIÓN</v>
      </c>
      <c r="L572" s="64" t="str">
        <f>IFERROR(__xludf.DUMMYFUNCTION("""COMPUTED_VALUE"""),"OPERATIVOS")</f>
        <v>OPERATIVOS</v>
      </c>
      <c r="M572" s="64" t="str">
        <f>IFERROR(__xludf.DUMMYFUNCTION("""COMPUTED_VALUE"""),"SANCIÓN")</f>
        <v>SANCIÓN</v>
      </c>
      <c r="N572" s="64" t="str">
        <f>IFERROR(__xludf.DUMMYFUNCTION("""COMPUTED_VALUE"""),"SISTEMA ELECTRICO")</f>
        <v>SISTEMA ELECTRICO</v>
      </c>
      <c r="O572" s="64" t="str">
        <f>IFERROR(__xludf.DUMMYFUNCTION("""COMPUTED_VALUE"""),"ASISTENCIA AL USUARIO")</f>
        <v>ASISTENCIA AL USUARIO</v>
      </c>
      <c r="P572" s="64" t="str">
        <f>IFERROR(__xludf.DUMMYFUNCTION("""COMPUTED_VALUE"""),"DOBLE REMOLQUE")</f>
        <v>DOBLE REMOLQUE</v>
      </c>
      <c r="Q572" s="64" t="str">
        <f>IFERROR(__xludf.DUMMYFUNCTION("""COMPUTED_VALUE"""),"SINAPRESE")</f>
        <v>SINAPRESE</v>
      </c>
      <c r="R572" s="64" t="str">
        <f>IFERROR(__xludf.DUMMYFUNCTION("""COMPUTED_VALUE"""),"APOYO ATLETISMO")</f>
        <v>APOYO ATLETISMO</v>
      </c>
      <c r="S572" s="64" t="str">
        <f>IFERROR(__xludf.DUMMYFUNCTION("""COMPUTED_VALUE"""),"APOYO A CICLISMO")</f>
        <v>APOYO A CICLISMO</v>
      </c>
      <c r="T572" s="64" t="str">
        <f>IFERROR(__xludf.DUMMYFUNCTION("""COMPUTED_VALUE"""),"DESCARGA DE BATERÍA")</f>
        <v>DESCARGA DE BATERÍA</v>
      </c>
      <c r="U572" s="64" t="str">
        <f>IFERROR(__xludf.DUMMYFUNCTION("""COMPUTED_VALUE"""),"PROBLEMAS DE SALUD")</f>
        <v>PROBLEMAS DE SALUD</v>
      </c>
      <c r="V572" s="64" t="str">
        <f>IFERROR(__xludf.DUMMYFUNCTION("""COMPUTED_VALUE"""),"OLVIDO LA LLAVE")</f>
        <v>OLVIDO LA LLAVE</v>
      </c>
      <c r="W572" s="64" t="str">
        <f>IFERROR(__xludf.DUMMYFUNCTION("""COMPUTED_VALUE"""),"CARGA SOBREDIMENSIONADA")</f>
        <v>CARGA SOBREDIMENSIONADA</v>
      </c>
      <c r="X572" s="64" t="str">
        <f>IFERROR(__xludf.DUMMYFUNCTION("""COMPUTED_VALUE"""),"VEHÍCULO ABANDONADO")</f>
        <v>VEHÍCULO ABANDONADO</v>
      </c>
      <c r="Y572" s="64" t="str">
        <f>IFERROR(__xludf.DUMMYFUNCTION("""COMPUTED_VALUE"""),"DESPRENDIMIENTO")</f>
        <v>DESPRENDIMIENTO</v>
      </c>
      <c r="Z572" s="64" t="str">
        <f>IFERROR(__xludf.DUMMYFUNCTION("""COMPUTED_VALUE"""),"CAÍDA DE POSTE")</f>
        <v>CAÍDA DE POSTE</v>
      </c>
      <c r="AA572" s="64" t="str">
        <f>IFERROR(__xludf.DUMMYFUNCTION("""COMPUTED_VALUE"""),"CAÍDA DE RAMA")</f>
        <v>CAÍDA DE RAMA</v>
      </c>
      <c r="AB572" s="64" t="str">
        <f>IFERROR(__xludf.DUMMYFUNCTION("""COMPUTED_VALUE"""),"OPERATIVO DGT")</f>
        <v>OPERATIVO DGT</v>
      </c>
      <c r="AC572" s="64" t="str">
        <f>IFERROR(__xludf.DUMMYFUNCTION("""COMPUTED_VALUE"""),"OPERATIVO PMT")</f>
        <v>OPERATIVO PMT</v>
      </c>
      <c r="AD572" s="64" t="str">
        <f>IFERROR(__xludf.DUMMYFUNCTION("""COMPUTED_VALUE"""),"APOYO A DIGEF")</f>
        <v>APOYO A DIGEF</v>
      </c>
      <c r="AE572" s="64" t="str">
        <f>IFERROR(__xludf.DUMMYFUNCTION("""COMPUTED_VALUE"""),"OPERATIVO PNC TRANSITO")</f>
        <v>OPERATIVO PNC TRANSITO</v>
      </c>
      <c r="AF572" s="64" t="str">
        <f>IFERROR(__xludf.DUMMYFUNCTION("""COMPUTED_VALUE"""),"SOBRECARGA ")</f>
        <v>SOBRECARGA </v>
      </c>
      <c r="AG572" s="64" t="str">
        <f>IFERROR(__xludf.DUMMYFUNCTION("""COMPUTED_VALUE"""),"OPERATIVO EN CONJUNTO")</f>
        <v>OPERATIVO EN CONJUNTO</v>
      </c>
      <c r="AH572" s="64" t="str">
        <f>IFERROR(__xludf.DUMMYFUNCTION("""COMPUTED_VALUE"""),"PUESTO DE ATENCION AL USUARIO")</f>
        <v>PUESTO DE ATENCION AL USUARIO</v>
      </c>
      <c r="AI572" s="64" t="str">
        <f>IFERROR(__xludf.DUMMYFUNCTION("""COMPUTED_VALUE"""),"INCENDIO EN RUTA")</f>
        <v>INCENDIO EN RUTA</v>
      </c>
      <c r="AJ572" s="64" t="str">
        <f>IFERROR(__xludf.DUMMYFUNCTION("""COMPUTED_VALUE"""),"APOYO ANTORCHA ")</f>
        <v>APOYO ANTORCHA </v>
      </c>
    </row>
    <row r="573">
      <c r="B573" s="64" t="s">
        <v>54</v>
      </c>
      <c r="C573" s="64" t="str">
        <f>IFERROR(__xludf.DUMMYFUNCTION(" TRANSPOSE( unique ( QUERY(DATOPRO,""select Col2 where Col1 = '""&amp;B573&amp;""'"")))"),"PINCHAZO")</f>
        <v>PINCHAZO</v>
      </c>
      <c r="D573" s="64" t="str">
        <f>IFERROR(__xludf.DUMMYFUNCTION("""COMPUTED_VALUE"""),"TRABAJOS DE CARRETERA")</f>
        <v>TRABAJOS DE CARRETERA</v>
      </c>
      <c r="E573" s="64" t="str">
        <f>IFERROR(__xludf.DUMMYFUNCTION("""COMPUTED_VALUE"""),"CONSIGNACIÓN")</f>
        <v>CONSIGNACIÓN</v>
      </c>
      <c r="F573" s="64" t="str">
        <f>IFERROR(__xludf.DUMMYFUNCTION("""COMPUTED_VALUE"""),"DERRAME")</f>
        <v>DERRAME</v>
      </c>
      <c r="G573" s="64" t="str">
        <f>IFERROR(__xludf.DUMMYFUNCTION("""COMPUTED_VALUE"""),"CALENTAMIENTO")</f>
        <v>CALENTAMIENTO</v>
      </c>
      <c r="H573" s="64" t="str">
        <f>IFERROR(__xludf.DUMMYFUNCTION("""COMPUTED_VALUE"""),"ESCOLTANDO")</f>
        <v>ESCOLTANDO</v>
      </c>
      <c r="I573" s="64" t="str">
        <f>IFERROR(__xludf.DUMMYFUNCTION("""COMPUTED_VALUE"""),"FALTA DE COMBUSTIBLE")</f>
        <v>FALTA DE COMBUSTIBLE</v>
      </c>
      <c r="J573" s="64" t="str">
        <f>IFERROR(__xludf.DUMMYFUNCTION("""COMPUTED_VALUE"""),"DESPERFECTOS MECÁNICOS")</f>
        <v>DESPERFECTOS MECÁNICOS</v>
      </c>
      <c r="K573" s="64" t="str">
        <f>IFERROR(__xludf.DUMMYFUNCTION("""COMPUTED_VALUE"""),"LLAMADA DE ATENCIÓN")</f>
        <v>LLAMADA DE ATENCIÓN</v>
      </c>
      <c r="L573" s="64" t="str">
        <f>IFERROR(__xludf.DUMMYFUNCTION("""COMPUTED_VALUE"""),"OPERATIVOS")</f>
        <v>OPERATIVOS</v>
      </c>
      <c r="M573" s="64" t="str">
        <f>IFERROR(__xludf.DUMMYFUNCTION("""COMPUTED_VALUE"""),"SANCIÓN")</f>
        <v>SANCIÓN</v>
      </c>
      <c r="N573" s="64" t="str">
        <f>IFERROR(__xludf.DUMMYFUNCTION("""COMPUTED_VALUE"""),"SISTEMA ELECTRICO")</f>
        <v>SISTEMA ELECTRICO</v>
      </c>
      <c r="O573" s="64" t="str">
        <f>IFERROR(__xludf.DUMMYFUNCTION("""COMPUTED_VALUE"""),"ASISTENCIA AL USUARIO")</f>
        <v>ASISTENCIA AL USUARIO</v>
      </c>
      <c r="P573" s="64" t="str">
        <f>IFERROR(__xludf.DUMMYFUNCTION("""COMPUTED_VALUE"""),"DOBLE REMOLQUE")</f>
        <v>DOBLE REMOLQUE</v>
      </c>
      <c r="Q573" s="64" t="str">
        <f>IFERROR(__xludf.DUMMYFUNCTION("""COMPUTED_VALUE"""),"SINAPRESE")</f>
        <v>SINAPRESE</v>
      </c>
      <c r="R573" s="64" t="str">
        <f>IFERROR(__xludf.DUMMYFUNCTION("""COMPUTED_VALUE"""),"APOYO ATLETISMO")</f>
        <v>APOYO ATLETISMO</v>
      </c>
      <c r="S573" s="64" t="str">
        <f>IFERROR(__xludf.DUMMYFUNCTION("""COMPUTED_VALUE"""),"APOYO A CICLISMO")</f>
        <v>APOYO A CICLISMO</v>
      </c>
      <c r="T573" s="64" t="str">
        <f>IFERROR(__xludf.DUMMYFUNCTION("""COMPUTED_VALUE"""),"DESCARGA DE BATERÍA")</f>
        <v>DESCARGA DE BATERÍA</v>
      </c>
      <c r="U573" s="64" t="str">
        <f>IFERROR(__xludf.DUMMYFUNCTION("""COMPUTED_VALUE"""),"PROBLEMAS DE SALUD")</f>
        <v>PROBLEMAS DE SALUD</v>
      </c>
      <c r="V573" s="64" t="str">
        <f>IFERROR(__xludf.DUMMYFUNCTION("""COMPUTED_VALUE"""),"OLVIDO LA LLAVE")</f>
        <v>OLVIDO LA LLAVE</v>
      </c>
      <c r="W573" s="64" t="str">
        <f>IFERROR(__xludf.DUMMYFUNCTION("""COMPUTED_VALUE"""),"CARGA SOBREDIMENSIONADA")</f>
        <v>CARGA SOBREDIMENSIONADA</v>
      </c>
      <c r="X573" s="64" t="str">
        <f>IFERROR(__xludf.DUMMYFUNCTION("""COMPUTED_VALUE"""),"VEHÍCULO ABANDONADO")</f>
        <v>VEHÍCULO ABANDONADO</v>
      </c>
      <c r="Y573" s="64" t="str">
        <f>IFERROR(__xludf.DUMMYFUNCTION("""COMPUTED_VALUE"""),"DESPRENDIMIENTO")</f>
        <v>DESPRENDIMIENTO</v>
      </c>
      <c r="Z573" s="64" t="str">
        <f>IFERROR(__xludf.DUMMYFUNCTION("""COMPUTED_VALUE"""),"CAÍDA DE POSTE")</f>
        <v>CAÍDA DE POSTE</v>
      </c>
      <c r="AA573" s="64" t="str">
        <f>IFERROR(__xludf.DUMMYFUNCTION("""COMPUTED_VALUE"""),"CAÍDA DE RAMA")</f>
        <v>CAÍDA DE RAMA</v>
      </c>
      <c r="AB573" s="64" t="str">
        <f>IFERROR(__xludf.DUMMYFUNCTION("""COMPUTED_VALUE"""),"OPERATIVO DGT")</f>
        <v>OPERATIVO DGT</v>
      </c>
      <c r="AC573" s="64" t="str">
        <f>IFERROR(__xludf.DUMMYFUNCTION("""COMPUTED_VALUE"""),"OPERATIVO PMT")</f>
        <v>OPERATIVO PMT</v>
      </c>
      <c r="AD573" s="64" t="str">
        <f>IFERROR(__xludf.DUMMYFUNCTION("""COMPUTED_VALUE"""),"APOYO A DIGEF")</f>
        <v>APOYO A DIGEF</v>
      </c>
      <c r="AE573" s="64" t="str">
        <f>IFERROR(__xludf.DUMMYFUNCTION("""COMPUTED_VALUE"""),"OPERATIVO PNC TRANSITO")</f>
        <v>OPERATIVO PNC TRANSITO</v>
      </c>
      <c r="AF573" s="64" t="str">
        <f>IFERROR(__xludf.DUMMYFUNCTION("""COMPUTED_VALUE"""),"SOBRECARGA ")</f>
        <v>SOBRECARGA </v>
      </c>
      <c r="AG573" s="64" t="str">
        <f>IFERROR(__xludf.DUMMYFUNCTION("""COMPUTED_VALUE"""),"OPERATIVO EN CONJUNTO")</f>
        <v>OPERATIVO EN CONJUNTO</v>
      </c>
      <c r="AH573" s="64" t="str">
        <f>IFERROR(__xludf.DUMMYFUNCTION("""COMPUTED_VALUE"""),"PUESTO DE ATENCION AL USUARIO")</f>
        <v>PUESTO DE ATENCION AL USUARIO</v>
      </c>
      <c r="AI573" s="64" t="str">
        <f>IFERROR(__xludf.DUMMYFUNCTION("""COMPUTED_VALUE"""),"INCENDIO EN RUTA")</f>
        <v>INCENDIO EN RUTA</v>
      </c>
      <c r="AJ573" s="64" t="str">
        <f>IFERROR(__xludf.DUMMYFUNCTION("""COMPUTED_VALUE"""),"APOYO ANTORCHA ")</f>
        <v>APOYO ANTORCHA </v>
      </c>
    </row>
    <row r="574">
      <c r="B574" s="64" t="s">
        <v>54</v>
      </c>
      <c r="C574" s="64" t="str">
        <f>IFERROR(__xludf.DUMMYFUNCTION(" TRANSPOSE( unique ( QUERY(DATOPRO,""select Col2 where Col1 = '""&amp;B574&amp;""'"")))"),"PINCHAZO")</f>
        <v>PINCHAZO</v>
      </c>
      <c r="D574" s="64" t="str">
        <f>IFERROR(__xludf.DUMMYFUNCTION("""COMPUTED_VALUE"""),"TRABAJOS DE CARRETERA")</f>
        <v>TRABAJOS DE CARRETERA</v>
      </c>
      <c r="E574" s="64" t="str">
        <f>IFERROR(__xludf.DUMMYFUNCTION("""COMPUTED_VALUE"""),"CONSIGNACIÓN")</f>
        <v>CONSIGNACIÓN</v>
      </c>
      <c r="F574" s="64" t="str">
        <f>IFERROR(__xludf.DUMMYFUNCTION("""COMPUTED_VALUE"""),"DERRAME")</f>
        <v>DERRAME</v>
      </c>
      <c r="G574" s="64" t="str">
        <f>IFERROR(__xludf.DUMMYFUNCTION("""COMPUTED_VALUE"""),"CALENTAMIENTO")</f>
        <v>CALENTAMIENTO</v>
      </c>
      <c r="H574" s="64" t="str">
        <f>IFERROR(__xludf.DUMMYFUNCTION("""COMPUTED_VALUE"""),"ESCOLTANDO")</f>
        <v>ESCOLTANDO</v>
      </c>
      <c r="I574" s="64" t="str">
        <f>IFERROR(__xludf.DUMMYFUNCTION("""COMPUTED_VALUE"""),"FALTA DE COMBUSTIBLE")</f>
        <v>FALTA DE COMBUSTIBLE</v>
      </c>
      <c r="J574" s="64" t="str">
        <f>IFERROR(__xludf.DUMMYFUNCTION("""COMPUTED_VALUE"""),"DESPERFECTOS MECÁNICOS")</f>
        <v>DESPERFECTOS MECÁNICOS</v>
      </c>
      <c r="K574" s="64" t="str">
        <f>IFERROR(__xludf.DUMMYFUNCTION("""COMPUTED_VALUE"""),"LLAMADA DE ATENCIÓN")</f>
        <v>LLAMADA DE ATENCIÓN</v>
      </c>
      <c r="L574" s="64" t="str">
        <f>IFERROR(__xludf.DUMMYFUNCTION("""COMPUTED_VALUE"""),"OPERATIVOS")</f>
        <v>OPERATIVOS</v>
      </c>
      <c r="M574" s="64" t="str">
        <f>IFERROR(__xludf.DUMMYFUNCTION("""COMPUTED_VALUE"""),"SANCIÓN")</f>
        <v>SANCIÓN</v>
      </c>
      <c r="N574" s="64" t="str">
        <f>IFERROR(__xludf.DUMMYFUNCTION("""COMPUTED_VALUE"""),"SISTEMA ELECTRICO")</f>
        <v>SISTEMA ELECTRICO</v>
      </c>
      <c r="O574" s="64" t="str">
        <f>IFERROR(__xludf.DUMMYFUNCTION("""COMPUTED_VALUE"""),"ASISTENCIA AL USUARIO")</f>
        <v>ASISTENCIA AL USUARIO</v>
      </c>
      <c r="P574" s="64" t="str">
        <f>IFERROR(__xludf.DUMMYFUNCTION("""COMPUTED_VALUE"""),"DOBLE REMOLQUE")</f>
        <v>DOBLE REMOLQUE</v>
      </c>
      <c r="Q574" s="64" t="str">
        <f>IFERROR(__xludf.DUMMYFUNCTION("""COMPUTED_VALUE"""),"SINAPRESE")</f>
        <v>SINAPRESE</v>
      </c>
      <c r="R574" s="64" t="str">
        <f>IFERROR(__xludf.DUMMYFUNCTION("""COMPUTED_VALUE"""),"APOYO ATLETISMO")</f>
        <v>APOYO ATLETISMO</v>
      </c>
      <c r="S574" s="64" t="str">
        <f>IFERROR(__xludf.DUMMYFUNCTION("""COMPUTED_VALUE"""),"APOYO A CICLISMO")</f>
        <v>APOYO A CICLISMO</v>
      </c>
      <c r="T574" s="64" t="str">
        <f>IFERROR(__xludf.DUMMYFUNCTION("""COMPUTED_VALUE"""),"DESCARGA DE BATERÍA")</f>
        <v>DESCARGA DE BATERÍA</v>
      </c>
      <c r="U574" s="64" t="str">
        <f>IFERROR(__xludf.DUMMYFUNCTION("""COMPUTED_VALUE"""),"PROBLEMAS DE SALUD")</f>
        <v>PROBLEMAS DE SALUD</v>
      </c>
      <c r="V574" s="64" t="str">
        <f>IFERROR(__xludf.DUMMYFUNCTION("""COMPUTED_VALUE"""),"OLVIDO LA LLAVE")</f>
        <v>OLVIDO LA LLAVE</v>
      </c>
      <c r="W574" s="64" t="str">
        <f>IFERROR(__xludf.DUMMYFUNCTION("""COMPUTED_VALUE"""),"CARGA SOBREDIMENSIONADA")</f>
        <v>CARGA SOBREDIMENSIONADA</v>
      </c>
      <c r="X574" s="64" t="str">
        <f>IFERROR(__xludf.DUMMYFUNCTION("""COMPUTED_VALUE"""),"VEHÍCULO ABANDONADO")</f>
        <v>VEHÍCULO ABANDONADO</v>
      </c>
      <c r="Y574" s="64" t="str">
        <f>IFERROR(__xludf.DUMMYFUNCTION("""COMPUTED_VALUE"""),"DESPRENDIMIENTO")</f>
        <v>DESPRENDIMIENTO</v>
      </c>
      <c r="Z574" s="64" t="str">
        <f>IFERROR(__xludf.DUMMYFUNCTION("""COMPUTED_VALUE"""),"CAÍDA DE POSTE")</f>
        <v>CAÍDA DE POSTE</v>
      </c>
      <c r="AA574" s="64" t="str">
        <f>IFERROR(__xludf.DUMMYFUNCTION("""COMPUTED_VALUE"""),"CAÍDA DE RAMA")</f>
        <v>CAÍDA DE RAMA</v>
      </c>
      <c r="AB574" s="64" t="str">
        <f>IFERROR(__xludf.DUMMYFUNCTION("""COMPUTED_VALUE"""),"OPERATIVO DGT")</f>
        <v>OPERATIVO DGT</v>
      </c>
      <c r="AC574" s="64" t="str">
        <f>IFERROR(__xludf.DUMMYFUNCTION("""COMPUTED_VALUE"""),"OPERATIVO PMT")</f>
        <v>OPERATIVO PMT</v>
      </c>
      <c r="AD574" s="64" t="str">
        <f>IFERROR(__xludf.DUMMYFUNCTION("""COMPUTED_VALUE"""),"APOYO A DIGEF")</f>
        <v>APOYO A DIGEF</v>
      </c>
      <c r="AE574" s="64" t="str">
        <f>IFERROR(__xludf.DUMMYFUNCTION("""COMPUTED_VALUE"""),"OPERATIVO PNC TRANSITO")</f>
        <v>OPERATIVO PNC TRANSITO</v>
      </c>
      <c r="AF574" s="64" t="str">
        <f>IFERROR(__xludf.DUMMYFUNCTION("""COMPUTED_VALUE"""),"SOBRECARGA ")</f>
        <v>SOBRECARGA </v>
      </c>
      <c r="AG574" s="64" t="str">
        <f>IFERROR(__xludf.DUMMYFUNCTION("""COMPUTED_VALUE"""),"OPERATIVO EN CONJUNTO")</f>
        <v>OPERATIVO EN CONJUNTO</v>
      </c>
      <c r="AH574" s="64" t="str">
        <f>IFERROR(__xludf.DUMMYFUNCTION("""COMPUTED_VALUE"""),"PUESTO DE ATENCION AL USUARIO")</f>
        <v>PUESTO DE ATENCION AL USUARIO</v>
      </c>
      <c r="AI574" s="64" t="str">
        <f>IFERROR(__xludf.DUMMYFUNCTION("""COMPUTED_VALUE"""),"INCENDIO EN RUTA")</f>
        <v>INCENDIO EN RUTA</v>
      </c>
      <c r="AJ574" s="64" t="str">
        <f>IFERROR(__xludf.DUMMYFUNCTION("""COMPUTED_VALUE"""),"APOYO ANTORCHA ")</f>
        <v>APOYO ANTORCHA </v>
      </c>
    </row>
    <row r="575">
      <c r="B575" s="64" t="s">
        <v>54</v>
      </c>
      <c r="C575" s="64" t="str">
        <f>IFERROR(__xludf.DUMMYFUNCTION(" TRANSPOSE( unique ( QUERY(DATOPRO,""select Col2 where Col1 = '""&amp;B575&amp;""'"")))"),"PINCHAZO")</f>
        <v>PINCHAZO</v>
      </c>
      <c r="D575" s="64" t="str">
        <f>IFERROR(__xludf.DUMMYFUNCTION("""COMPUTED_VALUE"""),"TRABAJOS DE CARRETERA")</f>
        <v>TRABAJOS DE CARRETERA</v>
      </c>
      <c r="E575" s="64" t="str">
        <f>IFERROR(__xludf.DUMMYFUNCTION("""COMPUTED_VALUE"""),"CONSIGNACIÓN")</f>
        <v>CONSIGNACIÓN</v>
      </c>
      <c r="F575" s="64" t="str">
        <f>IFERROR(__xludf.DUMMYFUNCTION("""COMPUTED_VALUE"""),"DERRAME")</f>
        <v>DERRAME</v>
      </c>
      <c r="G575" s="64" t="str">
        <f>IFERROR(__xludf.DUMMYFUNCTION("""COMPUTED_VALUE"""),"CALENTAMIENTO")</f>
        <v>CALENTAMIENTO</v>
      </c>
      <c r="H575" s="64" t="str">
        <f>IFERROR(__xludf.DUMMYFUNCTION("""COMPUTED_VALUE"""),"ESCOLTANDO")</f>
        <v>ESCOLTANDO</v>
      </c>
      <c r="I575" s="64" t="str">
        <f>IFERROR(__xludf.DUMMYFUNCTION("""COMPUTED_VALUE"""),"FALTA DE COMBUSTIBLE")</f>
        <v>FALTA DE COMBUSTIBLE</v>
      </c>
      <c r="J575" s="64" t="str">
        <f>IFERROR(__xludf.DUMMYFUNCTION("""COMPUTED_VALUE"""),"DESPERFECTOS MECÁNICOS")</f>
        <v>DESPERFECTOS MECÁNICOS</v>
      </c>
      <c r="K575" s="64" t="str">
        <f>IFERROR(__xludf.DUMMYFUNCTION("""COMPUTED_VALUE"""),"LLAMADA DE ATENCIÓN")</f>
        <v>LLAMADA DE ATENCIÓN</v>
      </c>
      <c r="L575" s="64" t="str">
        <f>IFERROR(__xludf.DUMMYFUNCTION("""COMPUTED_VALUE"""),"OPERATIVOS")</f>
        <v>OPERATIVOS</v>
      </c>
      <c r="M575" s="64" t="str">
        <f>IFERROR(__xludf.DUMMYFUNCTION("""COMPUTED_VALUE"""),"SANCIÓN")</f>
        <v>SANCIÓN</v>
      </c>
      <c r="N575" s="64" t="str">
        <f>IFERROR(__xludf.DUMMYFUNCTION("""COMPUTED_VALUE"""),"SISTEMA ELECTRICO")</f>
        <v>SISTEMA ELECTRICO</v>
      </c>
      <c r="O575" s="64" t="str">
        <f>IFERROR(__xludf.DUMMYFUNCTION("""COMPUTED_VALUE"""),"ASISTENCIA AL USUARIO")</f>
        <v>ASISTENCIA AL USUARIO</v>
      </c>
      <c r="P575" s="64" t="str">
        <f>IFERROR(__xludf.DUMMYFUNCTION("""COMPUTED_VALUE"""),"DOBLE REMOLQUE")</f>
        <v>DOBLE REMOLQUE</v>
      </c>
      <c r="Q575" s="64" t="str">
        <f>IFERROR(__xludf.DUMMYFUNCTION("""COMPUTED_VALUE"""),"SINAPRESE")</f>
        <v>SINAPRESE</v>
      </c>
      <c r="R575" s="64" t="str">
        <f>IFERROR(__xludf.DUMMYFUNCTION("""COMPUTED_VALUE"""),"APOYO ATLETISMO")</f>
        <v>APOYO ATLETISMO</v>
      </c>
      <c r="S575" s="64" t="str">
        <f>IFERROR(__xludf.DUMMYFUNCTION("""COMPUTED_VALUE"""),"APOYO A CICLISMO")</f>
        <v>APOYO A CICLISMO</v>
      </c>
      <c r="T575" s="64" t="str">
        <f>IFERROR(__xludf.DUMMYFUNCTION("""COMPUTED_VALUE"""),"DESCARGA DE BATERÍA")</f>
        <v>DESCARGA DE BATERÍA</v>
      </c>
      <c r="U575" s="64" t="str">
        <f>IFERROR(__xludf.DUMMYFUNCTION("""COMPUTED_VALUE"""),"PROBLEMAS DE SALUD")</f>
        <v>PROBLEMAS DE SALUD</v>
      </c>
      <c r="V575" s="64" t="str">
        <f>IFERROR(__xludf.DUMMYFUNCTION("""COMPUTED_VALUE"""),"OLVIDO LA LLAVE")</f>
        <v>OLVIDO LA LLAVE</v>
      </c>
      <c r="W575" s="64" t="str">
        <f>IFERROR(__xludf.DUMMYFUNCTION("""COMPUTED_VALUE"""),"CARGA SOBREDIMENSIONADA")</f>
        <v>CARGA SOBREDIMENSIONADA</v>
      </c>
      <c r="X575" s="64" t="str">
        <f>IFERROR(__xludf.DUMMYFUNCTION("""COMPUTED_VALUE"""),"VEHÍCULO ABANDONADO")</f>
        <v>VEHÍCULO ABANDONADO</v>
      </c>
      <c r="Y575" s="64" t="str">
        <f>IFERROR(__xludf.DUMMYFUNCTION("""COMPUTED_VALUE"""),"DESPRENDIMIENTO")</f>
        <v>DESPRENDIMIENTO</v>
      </c>
      <c r="Z575" s="64" t="str">
        <f>IFERROR(__xludf.DUMMYFUNCTION("""COMPUTED_VALUE"""),"CAÍDA DE POSTE")</f>
        <v>CAÍDA DE POSTE</v>
      </c>
      <c r="AA575" s="64" t="str">
        <f>IFERROR(__xludf.DUMMYFUNCTION("""COMPUTED_VALUE"""),"CAÍDA DE RAMA")</f>
        <v>CAÍDA DE RAMA</v>
      </c>
      <c r="AB575" s="64" t="str">
        <f>IFERROR(__xludf.DUMMYFUNCTION("""COMPUTED_VALUE"""),"OPERATIVO DGT")</f>
        <v>OPERATIVO DGT</v>
      </c>
      <c r="AC575" s="64" t="str">
        <f>IFERROR(__xludf.DUMMYFUNCTION("""COMPUTED_VALUE"""),"OPERATIVO PMT")</f>
        <v>OPERATIVO PMT</v>
      </c>
      <c r="AD575" s="64" t="str">
        <f>IFERROR(__xludf.DUMMYFUNCTION("""COMPUTED_VALUE"""),"APOYO A DIGEF")</f>
        <v>APOYO A DIGEF</v>
      </c>
      <c r="AE575" s="64" t="str">
        <f>IFERROR(__xludf.DUMMYFUNCTION("""COMPUTED_VALUE"""),"OPERATIVO PNC TRANSITO")</f>
        <v>OPERATIVO PNC TRANSITO</v>
      </c>
      <c r="AF575" s="64" t="str">
        <f>IFERROR(__xludf.DUMMYFUNCTION("""COMPUTED_VALUE"""),"SOBRECARGA ")</f>
        <v>SOBRECARGA </v>
      </c>
      <c r="AG575" s="64" t="str">
        <f>IFERROR(__xludf.DUMMYFUNCTION("""COMPUTED_VALUE"""),"OPERATIVO EN CONJUNTO")</f>
        <v>OPERATIVO EN CONJUNTO</v>
      </c>
      <c r="AH575" s="64" t="str">
        <f>IFERROR(__xludf.DUMMYFUNCTION("""COMPUTED_VALUE"""),"PUESTO DE ATENCION AL USUARIO")</f>
        <v>PUESTO DE ATENCION AL USUARIO</v>
      </c>
      <c r="AI575" s="64" t="str">
        <f>IFERROR(__xludf.DUMMYFUNCTION("""COMPUTED_VALUE"""),"INCENDIO EN RUTA")</f>
        <v>INCENDIO EN RUTA</v>
      </c>
      <c r="AJ575" s="64" t="str">
        <f>IFERROR(__xludf.DUMMYFUNCTION("""COMPUTED_VALUE"""),"APOYO ANTORCHA ")</f>
        <v>APOYO ANTORCHA </v>
      </c>
    </row>
    <row r="576">
      <c r="B576" s="64" t="s">
        <v>54</v>
      </c>
      <c r="C576" s="64" t="str">
        <f>IFERROR(__xludf.DUMMYFUNCTION(" TRANSPOSE( unique ( QUERY(DATOPRO,""select Col2 where Col1 = '""&amp;B576&amp;""'"")))"),"PINCHAZO")</f>
        <v>PINCHAZO</v>
      </c>
      <c r="D576" s="64" t="str">
        <f>IFERROR(__xludf.DUMMYFUNCTION("""COMPUTED_VALUE"""),"TRABAJOS DE CARRETERA")</f>
        <v>TRABAJOS DE CARRETERA</v>
      </c>
      <c r="E576" s="64" t="str">
        <f>IFERROR(__xludf.DUMMYFUNCTION("""COMPUTED_VALUE"""),"CONSIGNACIÓN")</f>
        <v>CONSIGNACIÓN</v>
      </c>
      <c r="F576" s="64" t="str">
        <f>IFERROR(__xludf.DUMMYFUNCTION("""COMPUTED_VALUE"""),"DERRAME")</f>
        <v>DERRAME</v>
      </c>
      <c r="G576" s="64" t="str">
        <f>IFERROR(__xludf.DUMMYFUNCTION("""COMPUTED_VALUE"""),"CALENTAMIENTO")</f>
        <v>CALENTAMIENTO</v>
      </c>
      <c r="H576" s="64" t="str">
        <f>IFERROR(__xludf.DUMMYFUNCTION("""COMPUTED_VALUE"""),"ESCOLTANDO")</f>
        <v>ESCOLTANDO</v>
      </c>
      <c r="I576" s="64" t="str">
        <f>IFERROR(__xludf.DUMMYFUNCTION("""COMPUTED_VALUE"""),"FALTA DE COMBUSTIBLE")</f>
        <v>FALTA DE COMBUSTIBLE</v>
      </c>
      <c r="J576" s="64" t="str">
        <f>IFERROR(__xludf.DUMMYFUNCTION("""COMPUTED_VALUE"""),"DESPERFECTOS MECÁNICOS")</f>
        <v>DESPERFECTOS MECÁNICOS</v>
      </c>
      <c r="K576" s="64" t="str">
        <f>IFERROR(__xludf.DUMMYFUNCTION("""COMPUTED_VALUE"""),"LLAMADA DE ATENCIÓN")</f>
        <v>LLAMADA DE ATENCIÓN</v>
      </c>
      <c r="L576" s="64" t="str">
        <f>IFERROR(__xludf.DUMMYFUNCTION("""COMPUTED_VALUE"""),"OPERATIVOS")</f>
        <v>OPERATIVOS</v>
      </c>
      <c r="M576" s="64" t="str">
        <f>IFERROR(__xludf.DUMMYFUNCTION("""COMPUTED_VALUE"""),"SANCIÓN")</f>
        <v>SANCIÓN</v>
      </c>
      <c r="N576" s="64" t="str">
        <f>IFERROR(__xludf.DUMMYFUNCTION("""COMPUTED_VALUE"""),"SISTEMA ELECTRICO")</f>
        <v>SISTEMA ELECTRICO</v>
      </c>
      <c r="O576" s="64" t="str">
        <f>IFERROR(__xludf.DUMMYFUNCTION("""COMPUTED_VALUE"""),"ASISTENCIA AL USUARIO")</f>
        <v>ASISTENCIA AL USUARIO</v>
      </c>
      <c r="P576" s="64" t="str">
        <f>IFERROR(__xludf.DUMMYFUNCTION("""COMPUTED_VALUE"""),"DOBLE REMOLQUE")</f>
        <v>DOBLE REMOLQUE</v>
      </c>
      <c r="Q576" s="64" t="str">
        <f>IFERROR(__xludf.DUMMYFUNCTION("""COMPUTED_VALUE"""),"SINAPRESE")</f>
        <v>SINAPRESE</v>
      </c>
      <c r="R576" s="64" t="str">
        <f>IFERROR(__xludf.DUMMYFUNCTION("""COMPUTED_VALUE"""),"APOYO ATLETISMO")</f>
        <v>APOYO ATLETISMO</v>
      </c>
      <c r="S576" s="64" t="str">
        <f>IFERROR(__xludf.DUMMYFUNCTION("""COMPUTED_VALUE"""),"APOYO A CICLISMO")</f>
        <v>APOYO A CICLISMO</v>
      </c>
      <c r="T576" s="64" t="str">
        <f>IFERROR(__xludf.DUMMYFUNCTION("""COMPUTED_VALUE"""),"DESCARGA DE BATERÍA")</f>
        <v>DESCARGA DE BATERÍA</v>
      </c>
      <c r="U576" s="64" t="str">
        <f>IFERROR(__xludf.DUMMYFUNCTION("""COMPUTED_VALUE"""),"PROBLEMAS DE SALUD")</f>
        <v>PROBLEMAS DE SALUD</v>
      </c>
      <c r="V576" s="64" t="str">
        <f>IFERROR(__xludf.DUMMYFUNCTION("""COMPUTED_VALUE"""),"OLVIDO LA LLAVE")</f>
        <v>OLVIDO LA LLAVE</v>
      </c>
      <c r="W576" s="64" t="str">
        <f>IFERROR(__xludf.DUMMYFUNCTION("""COMPUTED_VALUE"""),"CARGA SOBREDIMENSIONADA")</f>
        <v>CARGA SOBREDIMENSIONADA</v>
      </c>
      <c r="X576" s="64" t="str">
        <f>IFERROR(__xludf.DUMMYFUNCTION("""COMPUTED_VALUE"""),"VEHÍCULO ABANDONADO")</f>
        <v>VEHÍCULO ABANDONADO</v>
      </c>
      <c r="Y576" s="64" t="str">
        <f>IFERROR(__xludf.DUMMYFUNCTION("""COMPUTED_VALUE"""),"DESPRENDIMIENTO")</f>
        <v>DESPRENDIMIENTO</v>
      </c>
      <c r="Z576" s="64" t="str">
        <f>IFERROR(__xludf.DUMMYFUNCTION("""COMPUTED_VALUE"""),"CAÍDA DE POSTE")</f>
        <v>CAÍDA DE POSTE</v>
      </c>
      <c r="AA576" s="64" t="str">
        <f>IFERROR(__xludf.DUMMYFUNCTION("""COMPUTED_VALUE"""),"CAÍDA DE RAMA")</f>
        <v>CAÍDA DE RAMA</v>
      </c>
      <c r="AB576" s="64" t="str">
        <f>IFERROR(__xludf.DUMMYFUNCTION("""COMPUTED_VALUE"""),"OPERATIVO DGT")</f>
        <v>OPERATIVO DGT</v>
      </c>
      <c r="AC576" s="64" t="str">
        <f>IFERROR(__xludf.DUMMYFUNCTION("""COMPUTED_VALUE"""),"OPERATIVO PMT")</f>
        <v>OPERATIVO PMT</v>
      </c>
      <c r="AD576" s="64" t="str">
        <f>IFERROR(__xludf.DUMMYFUNCTION("""COMPUTED_VALUE"""),"APOYO A DIGEF")</f>
        <v>APOYO A DIGEF</v>
      </c>
      <c r="AE576" s="64" t="str">
        <f>IFERROR(__xludf.DUMMYFUNCTION("""COMPUTED_VALUE"""),"OPERATIVO PNC TRANSITO")</f>
        <v>OPERATIVO PNC TRANSITO</v>
      </c>
      <c r="AF576" s="64" t="str">
        <f>IFERROR(__xludf.DUMMYFUNCTION("""COMPUTED_VALUE"""),"SOBRECARGA ")</f>
        <v>SOBRECARGA </v>
      </c>
      <c r="AG576" s="64" t="str">
        <f>IFERROR(__xludf.DUMMYFUNCTION("""COMPUTED_VALUE"""),"OPERATIVO EN CONJUNTO")</f>
        <v>OPERATIVO EN CONJUNTO</v>
      </c>
      <c r="AH576" s="64" t="str">
        <f>IFERROR(__xludf.DUMMYFUNCTION("""COMPUTED_VALUE"""),"PUESTO DE ATENCION AL USUARIO")</f>
        <v>PUESTO DE ATENCION AL USUARIO</v>
      </c>
      <c r="AI576" s="64" t="str">
        <f>IFERROR(__xludf.DUMMYFUNCTION("""COMPUTED_VALUE"""),"INCENDIO EN RUTA")</f>
        <v>INCENDIO EN RUTA</v>
      </c>
      <c r="AJ576" s="64" t="str">
        <f>IFERROR(__xludf.DUMMYFUNCTION("""COMPUTED_VALUE"""),"APOYO ANTORCHA ")</f>
        <v>APOYO ANTORCHA </v>
      </c>
    </row>
    <row r="577">
      <c r="B577" s="64" t="s">
        <v>54</v>
      </c>
      <c r="C577" s="64" t="str">
        <f>IFERROR(__xludf.DUMMYFUNCTION(" TRANSPOSE( unique ( QUERY(DATOPRO,""select Col2 where Col1 = '""&amp;B577&amp;""'"")))"),"PINCHAZO")</f>
        <v>PINCHAZO</v>
      </c>
      <c r="D577" s="64" t="str">
        <f>IFERROR(__xludf.DUMMYFUNCTION("""COMPUTED_VALUE"""),"TRABAJOS DE CARRETERA")</f>
        <v>TRABAJOS DE CARRETERA</v>
      </c>
      <c r="E577" s="64" t="str">
        <f>IFERROR(__xludf.DUMMYFUNCTION("""COMPUTED_VALUE"""),"CONSIGNACIÓN")</f>
        <v>CONSIGNACIÓN</v>
      </c>
      <c r="F577" s="64" t="str">
        <f>IFERROR(__xludf.DUMMYFUNCTION("""COMPUTED_VALUE"""),"DERRAME")</f>
        <v>DERRAME</v>
      </c>
      <c r="G577" s="64" t="str">
        <f>IFERROR(__xludf.DUMMYFUNCTION("""COMPUTED_VALUE"""),"CALENTAMIENTO")</f>
        <v>CALENTAMIENTO</v>
      </c>
      <c r="H577" s="64" t="str">
        <f>IFERROR(__xludf.DUMMYFUNCTION("""COMPUTED_VALUE"""),"ESCOLTANDO")</f>
        <v>ESCOLTANDO</v>
      </c>
      <c r="I577" s="64" t="str">
        <f>IFERROR(__xludf.DUMMYFUNCTION("""COMPUTED_VALUE"""),"FALTA DE COMBUSTIBLE")</f>
        <v>FALTA DE COMBUSTIBLE</v>
      </c>
      <c r="J577" s="64" t="str">
        <f>IFERROR(__xludf.DUMMYFUNCTION("""COMPUTED_VALUE"""),"DESPERFECTOS MECÁNICOS")</f>
        <v>DESPERFECTOS MECÁNICOS</v>
      </c>
      <c r="K577" s="64" t="str">
        <f>IFERROR(__xludf.DUMMYFUNCTION("""COMPUTED_VALUE"""),"LLAMADA DE ATENCIÓN")</f>
        <v>LLAMADA DE ATENCIÓN</v>
      </c>
      <c r="L577" s="64" t="str">
        <f>IFERROR(__xludf.DUMMYFUNCTION("""COMPUTED_VALUE"""),"OPERATIVOS")</f>
        <v>OPERATIVOS</v>
      </c>
      <c r="M577" s="64" t="str">
        <f>IFERROR(__xludf.DUMMYFUNCTION("""COMPUTED_VALUE"""),"SANCIÓN")</f>
        <v>SANCIÓN</v>
      </c>
      <c r="N577" s="64" t="str">
        <f>IFERROR(__xludf.DUMMYFUNCTION("""COMPUTED_VALUE"""),"SISTEMA ELECTRICO")</f>
        <v>SISTEMA ELECTRICO</v>
      </c>
      <c r="O577" s="64" t="str">
        <f>IFERROR(__xludf.DUMMYFUNCTION("""COMPUTED_VALUE"""),"ASISTENCIA AL USUARIO")</f>
        <v>ASISTENCIA AL USUARIO</v>
      </c>
      <c r="P577" s="64" t="str">
        <f>IFERROR(__xludf.DUMMYFUNCTION("""COMPUTED_VALUE"""),"DOBLE REMOLQUE")</f>
        <v>DOBLE REMOLQUE</v>
      </c>
      <c r="Q577" s="64" t="str">
        <f>IFERROR(__xludf.DUMMYFUNCTION("""COMPUTED_VALUE"""),"SINAPRESE")</f>
        <v>SINAPRESE</v>
      </c>
      <c r="R577" s="64" t="str">
        <f>IFERROR(__xludf.DUMMYFUNCTION("""COMPUTED_VALUE"""),"APOYO ATLETISMO")</f>
        <v>APOYO ATLETISMO</v>
      </c>
      <c r="S577" s="64" t="str">
        <f>IFERROR(__xludf.DUMMYFUNCTION("""COMPUTED_VALUE"""),"APOYO A CICLISMO")</f>
        <v>APOYO A CICLISMO</v>
      </c>
      <c r="T577" s="64" t="str">
        <f>IFERROR(__xludf.DUMMYFUNCTION("""COMPUTED_VALUE"""),"DESCARGA DE BATERÍA")</f>
        <v>DESCARGA DE BATERÍA</v>
      </c>
      <c r="U577" s="64" t="str">
        <f>IFERROR(__xludf.DUMMYFUNCTION("""COMPUTED_VALUE"""),"PROBLEMAS DE SALUD")</f>
        <v>PROBLEMAS DE SALUD</v>
      </c>
      <c r="V577" s="64" t="str">
        <f>IFERROR(__xludf.DUMMYFUNCTION("""COMPUTED_VALUE"""),"OLVIDO LA LLAVE")</f>
        <v>OLVIDO LA LLAVE</v>
      </c>
      <c r="W577" s="64" t="str">
        <f>IFERROR(__xludf.DUMMYFUNCTION("""COMPUTED_VALUE"""),"CARGA SOBREDIMENSIONADA")</f>
        <v>CARGA SOBREDIMENSIONADA</v>
      </c>
      <c r="X577" s="64" t="str">
        <f>IFERROR(__xludf.DUMMYFUNCTION("""COMPUTED_VALUE"""),"VEHÍCULO ABANDONADO")</f>
        <v>VEHÍCULO ABANDONADO</v>
      </c>
      <c r="Y577" s="64" t="str">
        <f>IFERROR(__xludf.DUMMYFUNCTION("""COMPUTED_VALUE"""),"DESPRENDIMIENTO")</f>
        <v>DESPRENDIMIENTO</v>
      </c>
      <c r="Z577" s="64" t="str">
        <f>IFERROR(__xludf.DUMMYFUNCTION("""COMPUTED_VALUE"""),"CAÍDA DE POSTE")</f>
        <v>CAÍDA DE POSTE</v>
      </c>
      <c r="AA577" s="64" t="str">
        <f>IFERROR(__xludf.DUMMYFUNCTION("""COMPUTED_VALUE"""),"CAÍDA DE RAMA")</f>
        <v>CAÍDA DE RAMA</v>
      </c>
      <c r="AB577" s="64" t="str">
        <f>IFERROR(__xludf.DUMMYFUNCTION("""COMPUTED_VALUE"""),"OPERATIVO DGT")</f>
        <v>OPERATIVO DGT</v>
      </c>
      <c r="AC577" s="64" t="str">
        <f>IFERROR(__xludf.DUMMYFUNCTION("""COMPUTED_VALUE"""),"OPERATIVO PMT")</f>
        <v>OPERATIVO PMT</v>
      </c>
      <c r="AD577" s="64" t="str">
        <f>IFERROR(__xludf.DUMMYFUNCTION("""COMPUTED_VALUE"""),"APOYO A DIGEF")</f>
        <v>APOYO A DIGEF</v>
      </c>
      <c r="AE577" s="64" t="str">
        <f>IFERROR(__xludf.DUMMYFUNCTION("""COMPUTED_VALUE"""),"OPERATIVO PNC TRANSITO")</f>
        <v>OPERATIVO PNC TRANSITO</v>
      </c>
      <c r="AF577" s="64" t="str">
        <f>IFERROR(__xludf.DUMMYFUNCTION("""COMPUTED_VALUE"""),"SOBRECARGA ")</f>
        <v>SOBRECARGA </v>
      </c>
      <c r="AG577" s="64" t="str">
        <f>IFERROR(__xludf.DUMMYFUNCTION("""COMPUTED_VALUE"""),"OPERATIVO EN CONJUNTO")</f>
        <v>OPERATIVO EN CONJUNTO</v>
      </c>
      <c r="AH577" s="64" t="str">
        <f>IFERROR(__xludf.DUMMYFUNCTION("""COMPUTED_VALUE"""),"PUESTO DE ATENCION AL USUARIO")</f>
        <v>PUESTO DE ATENCION AL USUARIO</v>
      </c>
      <c r="AI577" s="64" t="str">
        <f>IFERROR(__xludf.DUMMYFUNCTION("""COMPUTED_VALUE"""),"INCENDIO EN RUTA")</f>
        <v>INCENDIO EN RUTA</v>
      </c>
      <c r="AJ577" s="64" t="str">
        <f>IFERROR(__xludf.DUMMYFUNCTION("""COMPUTED_VALUE"""),"APOYO ANTORCHA ")</f>
        <v>APOYO ANTORCHA </v>
      </c>
    </row>
    <row r="578">
      <c r="B578" s="64" t="s">
        <v>54</v>
      </c>
      <c r="C578" s="64" t="str">
        <f>IFERROR(__xludf.DUMMYFUNCTION(" TRANSPOSE( unique ( QUERY(DATOPRO,""select Col2 where Col1 = '""&amp;B578&amp;""'"")))"),"PINCHAZO")</f>
        <v>PINCHAZO</v>
      </c>
      <c r="D578" s="64" t="str">
        <f>IFERROR(__xludf.DUMMYFUNCTION("""COMPUTED_VALUE"""),"TRABAJOS DE CARRETERA")</f>
        <v>TRABAJOS DE CARRETERA</v>
      </c>
      <c r="E578" s="64" t="str">
        <f>IFERROR(__xludf.DUMMYFUNCTION("""COMPUTED_VALUE"""),"CONSIGNACIÓN")</f>
        <v>CONSIGNACIÓN</v>
      </c>
      <c r="F578" s="64" t="str">
        <f>IFERROR(__xludf.DUMMYFUNCTION("""COMPUTED_VALUE"""),"DERRAME")</f>
        <v>DERRAME</v>
      </c>
      <c r="G578" s="64" t="str">
        <f>IFERROR(__xludf.DUMMYFUNCTION("""COMPUTED_VALUE"""),"CALENTAMIENTO")</f>
        <v>CALENTAMIENTO</v>
      </c>
      <c r="H578" s="64" t="str">
        <f>IFERROR(__xludf.DUMMYFUNCTION("""COMPUTED_VALUE"""),"ESCOLTANDO")</f>
        <v>ESCOLTANDO</v>
      </c>
      <c r="I578" s="64" t="str">
        <f>IFERROR(__xludf.DUMMYFUNCTION("""COMPUTED_VALUE"""),"FALTA DE COMBUSTIBLE")</f>
        <v>FALTA DE COMBUSTIBLE</v>
      </c>
      <c r="J578" s="64" t="str">
        <f>IFERROR(__xludf.DUMMYFUNCTION("""COMPUTED_VALUE"""),"DESPERFECTOS MECÁNICOS")</f>
        <v>DESPERFECTOS MECÁNICOS</v>
      </c>
      <c r="K578" s="64" t="str">
        <f>IFERROR(__xludf.DUMMYFUNCTION("""COMPUTED_VALUE"""),"LLAMADA DE ATENCIÓN")</f>
        <v>LLAMADA DE ATENCIÓN</v>
      </c>
      <c r="L578" s="64" t="str">
        <f>IFERROR(__xludf.DUMMYFUNCTION("""COMPUTED_VALUE"""),"OPERATIVOS")</f>
        <v>OPERATIVOS</v>
      </c>
      <c r="M578" s="64" t="str">
        <f>IFERROR(__xludf.DUMMYFUNCTION("""COMPUTED_VALUE"""),"SANCIÓN")</f>
        <v>SANCIÓN</v>
      </c>
      <c r="N578" s="64" t="str">
        <f>IFERROR(__xludf.DUMMYFUNCTION("""COMPUTED_VALUE"""),"SISTEMA ELECTRICO")</f>
        <v>SISTEMA ELECTRICO</v>
      </c>
      <c r="O578" s="64" t="str">
        <f>IFERROR(__xludf.DUMMYFUNCTION("""COMPUTED_VALUE"""),"ASISTENCIA AL USUARIO")</f>
        <v>ASISTENCIA AL USUARIO</v>
      </c>
      <c r="P578" s="64" t="str">
        <f>IFERROR(__xludf.DUMMYFUNCTION("""COMPUTED_VALUE"""),"DOBLE REMOLQUE")</f>
        <v>DOBLE REMOLQUE</v>
      </c>
      <c r="Q578" s="64" t="str">
        <f>IFERROR(__xludf.DUMMYFUNCTION("""COMPUTED_VALUE"""),"SINAPRESE")</f>
        <v>SINAPRESE</v>
      </c>
      <c r="R578" s="64" t="str">
        <f>IFERROR(__xludf.DUMMYFUNCTION("""COMPUTED_VALUE"""),"APOYO ATLETISMO")</f>
        <v>APOYO ATLETISMO</v>
      </c>
      <c r="S578" s="64" t="str">
        <f>IFERROR(__xludf.DUMMYFUNCTION("""COMPUTED_VALUE"""),"APOYO A CICLISMO")</f>
        <v>APOYO A CICLISMO</v>
      </c>
      <c r="T578" s="64" t="str">
        <f>IFERROR(__xludf.DUMMYFUNCTION("""COMPUTED_VALUE"""),"DESCARGA DE BATERÍA")</f>
        <v>DESCARGA DE BATERÍA</v>
      </c>
      <c r="U578" s="64" t="str">
        <f>IFERROR(__xludf.DUMMYFUNCTION("""COMPUTED_VALUE"""),"PROBLEMAS DE SALUD")</f>
        <v>PROBLEMAS DE SALUD</v>
      </c>
      <c r="V578" s="64" t="str">
        <f>IFERROR(__xludf.DUMMYFUNCTION("""COMPUTED_VALUE"""),"OLVIDO LA LLAVE")</f>
        <v>OLVIDO LA LLAVE</v>
      </c>
      <c r="W578" s="64" t="str">
        <f>IFERROR(__xludf.DUMMYFUNCTION("""COMPUTED_VALUE"""),"CARGA SOBREDIMENSIONADA")</f>
        <v>CARGA SOBREDIMENSIONADA</v>
      </c>
      <c r="X578" s="64" t="str">
        <f>IFERROR(__xludf.DUMMYFUNCTION("""COMPUTED_VALUE"""),"VEHÍCULO ABANDONADO")</f>
        <v>VEHÍCULO ABANDONADO</v>
      </c>
      <c r="Y578" s="64" t="str">
        <f>IFERROR(__xludf.DUMMYFUNCTION("""COMPUTED_VALUE"""),"DESPRENDIMIENTO")</f>
        <v>DESPRENDIMIENTO</v>
      </c>
      <c r="Z578" s="64" t="str">
        <f>IFERROR(__xludf.DUMMYFUNCTION("""COMPUTED_VALUE"""),"CAÍDA DE POSTE")</f>
        <v>CAÍDA DE POSTE</v>
      </c>
      <c r="AA578" s="64" t="str">
        <f>IFERROR(__xludf.DUMMYFUNCTION("""COMPUTED_VALUE"""),"CAÍDA DE RAMA")</f>
        <v>CAÍDA DE RAMA</v>
      </c>
      <c r="AB578" s="64" t="str">
        <f>IFERROR(__xludf.DUMMYFUNCTION("""COMPUTED_VALUE"""),"OPERATIVO DGT")</f>
        <v>OPERATIVO DGT</v>
      </c>
      <c r="AC578" s="64" t="str">
        <f>IFERROR(__xludf.DUMMYFUNCTION("""COMPUTED_VALUE"""),"OPERATIVO PMT")</f>
        <v>OPERATIVO PMT</v>
      </c>
      <c r="AD578" s="64" t="str">
        <f>IFERROR(__xludf.DUMMYFUNCTION("""COMPUTED_VALUE"""),"APOYO A DIGEF")</f>
        <v>APOYO A DIGEF</v>
      </c>
      <c r="AE578" s="64" t="str">
        <f>IFERROR(__xludf.DUMMYFUNCTION("""COMPUTED_VALUE"""),"OPERATIVO PNC TRANSITO")</f>
        <v>OPERATIVO PNC TRANSITO</v>
      </c>
      <c r="AF578" s="64" t="str">
        <f>IFERROR(__xludf.DUMMYFUNCTION("""COMPUTED_VALUE"""),"SOBRECARGA ")</f>
        <v>SOBRECARGA </v>
      </c>
      <c r="AG578" s="64" t="str">
        <f>IFERROR(__xludf.DUMMYFUNCTION("""COMPUTED_VALUE"""),"OPERATIVO EN CONJUNTO")</f>
        <v>OPERATIVO EN CONJUNTO</v>
      </c>
      <c r="AH578" s="64" t="str">
        <f>IFERROR(__xludf.DUMMYFUNCTION("""COMPUTED_VALUE"""),"PUESTO DE ATENCION AL USUARIO")</f>
        <v>PUESTO DE ATENCION AL USUARIO</v>
      </c>
      <c r="AI578" s="64" t="str">
        <f>IFERROR(__xludf.DUMMYFUNCTION("""COMPUTED_VALUE"""),"INCENDIO EN RUTA")</f>
        <v>INCENDIO EN RUTA</v>
      </c>
      <c r="AJ578" s="64" t="str">
        <f>IFERROR(__xludf.DUMMYFUNCTION("""COMPUTED_VALUE"""),"APOYO ANTORCHA ")</f>
        <v>APOYO ANTORCHA </v>
      </c>
    </row>
    <row r="579">
      <c r="B579" s="64"/>
      <c r="C579" s="64" t="str">
        <f>IFERROR(__xludf.DUMMYFUNCTION(" TRANSPOSE( unique ( QUERY(DATOPRO,""select Col2 where Col1 = '""&amp;B579&amp;""'"")))"),"")</f>
        <v/>
      </c>
    </row>
    <row r="580">
      <c r="B580" s="64" t="s">
        <v>38</v>
      </c>
      <c r="C580" s="64" t="str">
        <f>IFERROR(__xludf.DUMMYFUNCTION(" TRANSPOSE( unique ( QUERY(DATOPRO,""select Col2 where Col1 = '""&amp;B580&amp;""'"")))"),"ATAQUE ARMADO")</f>
        <v>ATAQUE ARMADO</v>
      </c>
      <c r="D580" s="64" t="str">
        <f>IFERROR(__xludf.DUMMYFUNCTION("""COMPUTED_VALUE"""),"DESBALANCE DE CARGA")</f>
        <v>DESBALANCE DE CARGA</v>
      </c>
      <c r="E580" s="64" t="str">
        <f>IFERROR(__xludf.DUMMYFUNCTION("""COMPUTED_VALUE"""),"PERSONA FALLECIDA")</f>
        <v>PERSONA FALLECIDA</v>
      </c>
      <c r="F580" s="64" t="str">
        <f>IFERROR(__xludf.DUMMYFUNCTION("""COMPUTED_VALUE"""),"DESPRENDIMIENTO DE NEUMATICO")</f>
        <v>DESPRENDIMIENTO DE NEUMATICO</v>
      </c>
      <c r="G580" s="64" t="str">
        <f>IFERROR(__xludf.DUMMYFUNCTION("""COMPUTED_VALUE"""),"SALIDA DE PISTA")</f>
        <v>SALIDA DE PISTA</v>
      </c>
      <c r="H580" s="64" t="str">
        <f>IFERROR(__xludf.DUMMYFUNCTION("""COMPUTED_VALUE"""),"DESPRENDIMIENTO DE CONTENEDOR")</f>
        <v>DESPRENDIMIENTO DE CONTENEDOR</v>
      </c>
      <c r="I580" s="64" t="str">
        <f>IFERROR(__xludf.DUMMYFUNCTION("""COMPUTED_VALUE"""),"CAÍDA DE CARGA")</f>
        <v>CAÍDA DE CARGA</v>
      </c>
      <c r="J580" s="64" t="str">
        <f>IFERROR(__xludf.DUMMYFUNCTION("""COMPUTED_VALUE"""),"CHOQUE")</f>
        <v>CHOQUE</v>
      </c>
      <c r="K580" s="64" t="str">
        <f>IFERROR(__xludf.DUMMYFUNCTION("""COMPUTED_VALUE"""),"COLISIÓN")</f>
        <v>COLISIÓN</v>
      </c>
      <c r="L580" s="64" t="str">
        <f>IFERROR(__xludf.DUMMYFUNCTION("""COMPUTED_VALUE"""),"COLISIÓN MÚLTIPLE")</f>
        <v>COLISIÓN MÚLTIPLE</v>
      </c>
      <c r="M580" s="64" t="str">
        <f>IFERROR(__xludf.DUMMYFUNCTION("""COMPUTED_VALUE"""),"DERRAPE")</f>
        <v>DERRAPE</v>
      </c>
      <c r="N580" s="64" t="str">
        <f>IFERROR(__xludf.DUMMYFUNCTION("""COMPUTED_VALUE"""),"VEHÍCULO INCENDIADO")</f>
        <v>VEHÍCULO INCENDIADO</v>
      </c>
      <c r="O580" s="64" t="str">
        <f>IFERROR(__xludf.DUMMYFUNCTION("""COMPUTED_VALUE"""),"VUELCO")</f>
        <v>VUELCO</v>
      </c>
      <c r="P580" s="64" t="str">
        <f>IFERROR(__xludf.DUMMYFUNCTION("""COMPUTED_VALUE"""),"DESPRENDIMIENTO")</f>
        <v>DESPRENDIMIENTO</v>
      </c>
      <c r="Q580" s="64" t="str">
        <f>IFERROR(__xludf.DUMMYFUNCTION("""COMPUTED_VALUE"""),"CAÍDA DE ÁRBOL")</f>
        <v>CAÍDA DE ÁRBOL</v>
      </c>
      <c r="R580" s="64" t="str">
        <f>IFERROR(__xludf.DUMMYFUNCTION("""COMPUTED_VALUE"""),"DESPRENDIMIENTO DE EJE")</f>
        <v>DESPRENDIMIENTO DE EJE</v>
      </c>
      <c r="S580" s="64" t="str">
        <f>IFERROR(__xludf.DUMMYFUNCTION("""COMPUTED_VALUE"""),"PERSONA ATROPELLADA")</f>
        <v>PERSONA ATROPELLADA</v>
      </c>
    </row>
    <row r="581">
      <c r="B581" s="64" t="s">
        <v>54</v>
      </c>
      <c r="C581" s="64" t="str">
        <f>IFERROR(__xludf.DUMMYFUNCTION(" TRANSPOSE( unique ( QUERY(DATOPRO,""select Col2 where Col1 = '""&amp;B581&amp;""'"")))"),"PINCHAZO")</f>
        <v>PINCHAZO</v>
      </c>
      <c r="D581" s="64" t="str">
        <f>IFERROR(__xludf.DUMMYFUNCTION("""COMPUTED_VALUE"""),"TRABAJOS DE CARRETERA")</f>
        <v>TRABAJOS DE CARRETERA</v>
      </c>
      <c r="E581" s="64" t="str">
        <f>IFERROR(__xludf.DUMMYFUNCTION("""COMPUTED_VALUE"""),"CONSIGNACIÓN")</f>
        <v>CONSIGNACIÓN</v>
      </c>
      <c r="F581" s="64" t="str">
        <f>IFERROR(__xludf.DUMMYFUNCTION("""COMPUTED_VALUE"""),"DERRAME")</f>
        <v>DERRAME</v>
      </c>
      <c r="G581" s="64" t="str">
        <f>IFERROR(__xludf.DUMMYFUNCTION("""COMPUTED_VALUE"""),"CALENTAMIENTO")</f>
        <v>CALENTAMIENTO</v>
      </c>
      <c r="H581" s="64" t="str">
        <f>IFERROR(__xludf.DUMMYFUNCTION("""COMPUTED_VALUE"""),"ESCOLTANDO")</f>
        <v>ESCOLTANDO</v>
      </c>
      <c r="I581" s="64" t="str">
        <f>IFERROR(__xludf.DUMMYFUNCTION("""COMPUTED_VALUE"""),"FALTA DE COMBUSTIBLE")</f>
        <v>FALTA DE COMBUSTIBLE</v>
      </c>
      <c r="J581" s="64" t="str">
        <f>IFERROR(__xludf.DUMMYFUNCTION("""COMPUTED_VALUE"""),"DESPERFECTOS MECÁNICOS")</f>
        <v>DESPERFECTOS MECÁNICOS</v>
      </c>
      <c r="K581" s="64" t="str">
        <f>IFERROR(__xludf.DUMMYFUNCTION("""COMPUTED_VALUE"""),"LLAMADA DE ATENCIÓN")</f>
        <v>LLAMADA DE ATENCIÓN</v>
      </c>
      <c r="L581" s="64" t="str">
        <f>IFERROR(__xludf.DUMMYFUNCTION("""COMPUTED_VALUE"""),"OPERATIVOS")</f>
        <v>OPERATIVOS</v>
      </c>
      <c r="M581" s="64" t="str">
        <f>IFERROR(__xludf.DUMMYFUNCTION("""COMPUTED_VALUE"""),"SANCIÓN")</f>
        <v>SANCIÓN</v>
      </c>
      <c r="N581" s="64" t="str">
        <f>IFERROR(__xludf.DUMMYFUNCTION("""COMPUTED_VALUE"""),"SISTEMA ELECTRICO")</f>
        <v>SISTEMA ELECTRICO</v>
      </c>
      <c r="O581" s="64" t="str">
        <f>IFERROR(__xludf.DUMMYFUNCTION("""COMPUTED_VALUE"""),"ASISTENCIA AL USUARIO")</f>
        <v>ASISTENCIA AL USUARIO</v>
      </c>
      <c r="P581" s="64" t="str">
        <f>IFERROR(__xludf.DUMMYFUNCTION("""COMPUTED_VALUE"""),"DOBLE REMOLQUE")</f>
        <v>DOBLE REMOLQUE</v>
      </c>
      <c r="Q581" s="64" t="str">
        <f>IFERROR(__xludf.DUMMYFUNCTION("""COMPUTED_VALUE"""),"SINAPRESE")</f>
        <v>SINAPRESE</v>
      </c>
      <c r="R581" s="64" t="str">
        <f>IFERROR(__xludf.DUMMYFUNCTION("""COMPUTED_VALUE"""),"APOYO ATLETISMO")</f>
        <v>APOYO ATLETISMO</v>
      </c>
      <c r="S581" s="64" t="str">
        <f>IFERROR(__xludf.DUMMYFUNCTION("""COMPUTED_VALUE"""),"APOYO A CICLISMO")</f>
        <v>APOYO A CICLISMO</v>
      </c>
      <c r="T581" s="64" t="str">
        <f>IFERROR(__xludf.DUMMYFUNCTION("""COMPUTED_VALUE"""),"DESCARGA DE BATERÍA")</f>
        <v>DESCARGA DE BATERÍA</v>
      </c>
      <c r="U581" s="64" t="str">
        <f>IFERROR(__xludf.DUMMYFUNCTION("""COMPUTED_VALUE"""),"PROBLEMAS DE SALUD")</f>
        <v>PROBLEMAS DE SALUD</v>
      </c>
      <c r="V581" s="64" t="str">
        <f>IFERROR(__xludf.DUMMYFUNCTION("""COMPUTED_VALUE"""),"OLVIDO LA LLAVE")</f>
        <v>OLVIDO LA LLAVE</v>
      </c>
      <c r="W581" s="64" t="str">
        <f>IFERROR(__xludf.DUMMYFUNCTION("""COMPUTED_VALUE"""),"CARGA SOBREDIMENSIONADA")</f>
        <v>CARGA SOBREDIMENSIONADA</v>
      </c>
      <c r="X581" s="64" t="str">
        <f>IFERROR(__xludf.DUMMYFUNCTION("""COMPUTED_VALUE"""),"VEHÍCULO ABANDONADO")</f>
        <v>VEHÍCULO ABANDONADO</v>
      </c>
      <c r="Y581" s="64" t="str">
        <f>IFERROR(__xludf.DUMMYFUNCTION("""COMPUTED_VALUE"""),"DESPRENDIMIENTO")</f>
        <v>DESPRENDIMIENTO</v>
      </c>
      <c r="Z581" s="64" t="str">
        <f>IFERROR(__xludf.DUMMYFUNCTION("""COMPUTED_VALUE"""),"CAÍDA DE POSTE")</f>
        <v>CAÍDA DE POSTE</v>
      </c>
      <c r="AA581" s="64" t="str">
        <f>IFERROR(__xludf.DUMMYFUNCTION("""COMPUTED_VALUE"""),"CAÍDA DE RAMA")</f>
        <v>CAÍDA DE RAMA</v>
      </c>
      <c r="AB581" s="64" t="str">
        <f>IFERROR(__xludf.DUMMYFUNCTION("""COMPUTED_VALUE"""),"OPERATIVO DGT")</f>
        <v>OPERATIVO DGT</v>
      </c>
      <c r="AC581" s="64" t="str">
        <f>IFERROR(__xludf.DUMMYFUNCTION("""COMPUTED_VALUE"""),"OPERATIVO PMT")</f>
        <v>OPERATIVO PMT</v>
      </c>
      <c r="AD581" s="64" t="str">
        <f>IFERROR(__xludf.DUMMYFUNCTION("""COMPUTED_VALUE"""),"APOYO A DIGEF")</f>
        <v>APOYO A DIGEF</v>
      </c>
      <c r="AE581" s="64" t="str">
        <f>IFERROR(__xludf.DUMMYFUNCTION("""COMPUTED_VALUE"""),"OPERATIVO PNC TRANSITO")</f>
        <v>OPERATIVO PNC TRANSITO</v>
      </c>
      <c r="AF581" s="64" t="str">
        <f>IFERROR(__xludf.DUMMYFUNCTION("""COMPUTED_VALUE"""),"SOBRECARGA ")</f>
        <v>SOBRECARGA </v>
      </c>
      <c r="AG581" s="64" t="str">
        <f>IFERROR(__xludf.DUMMYFUNCTION("""COMPUTED_VALUE"""),"OPERATIVO EN CONJUNTO")</f>
        <v>OPERATIVO EN CONJUNTO</v>
      </c>
      <c r="AH581" s="64" t="str">
        <f>IFERROR(__xludf.DUMMYFUNCTION("""COMPUTED_VALUE"""),"PUESTO DE ATENCION AL USUARIO")</f>
        <v>PUESTO DE ATENCION AL USUARIO</v>
      </c>
      <c r="AI581" s="64" t="str">
        <f>IFERROR(__xludf.DUMMYFUNCTION("""COMPUTED_VALUE"""),"INCENDIO EN RUTA")</f>
        <v>INCENDIO EN RUTA</v>
      </c>
      <c r="AJ581" s="64" t="str">
        <f>IFERROR(__xludf.DUMMYFUNCTION("""COMPUTED_VALUE"""),"APOYO ANTORCHA ")</f>
        <v>APOYO ANTORCHA </v>
      </c>
    </row>
    <row r="582">
      <c r="B582" s="64" t="s">
        <v>54</v>
      </c>
      <c r="C582" s="64" t="str">
        <f>IFERROR(__xludf.DUMMYFUNCTION(" TRANSPOSE( unique ( QUERY(DATOPRO,""select Col2 where Col1 = '""&amp;B582&amp;""'"")))"),"PINCHAZO")</f>
        <v>PINCHAZO</v>
      </c>
      <c r="D582" s="64" t="str">
        <f>IFERROR(__xludf.DUMMYFUNCTION("""COMPUTED_VALUE"""),"TRABAJOS DE CARRETERA")</f>
        <v>TRABAJOS DE CARRETERA</v>
      </c>
      <c r="E582" s="64" t="str">
        <f>IFERROR(__xludf.DUMMYFUNCTION("""COMPUTED_VALUE"""),"CONSIGNACIÓN")</f>
        <v>CONSIGNACIÓN</v>
      </c>
      <c r="F582" s="64" t="str">
        <f>IFERROR(__xludf.DUMMYFUNCTION("""COMPUTED_VALUE"""),"DERRAME")</f>
        <v>DERRAME</v>
      </c>
      <c r="G582" s="64" t="str">
        <f>IFERROR(__xludf.DUMMYFUNCTION("""COMPUTED_VALUE"""),"CALENTAMIENTO")</f>
        <v>CALENTAMIENTO</v>
      </c>
      <c r="H582" s="64" t="str">
        <f>IFERROR(__xludf.DUMMYFUNCTION("""COMPUTED_VALUE"""),"ESCOLTANDO")</f>
        <v>ESCOLTANDO</v>
      </c>
      <c r="I582" s="64" t="str">
        <f>IFERROR(__xludf.DUMMYFUNCTION("""COMPUTED_VALUE"""),"FALTA DE COMBUSTIBLE")</f>
        <v>FALTA DE COMBUSTIBLE</v>
      </c>
      <c r="J582" s="64" t="str">
        <f>IFERROR(__xludf.DUMMYFUNCTION("""COMPUTED_VALUE"""),"DESPERFECTOS MECÁNICOS")</f>
        <v>DESPERFECTOS MECÁNICOS</v>
      </c>
      <c r="K582" s="64" t="str">
        <f>IFERROR(__xludf.DUMMYFUNCTION("""COMPUTED_VALUE"""),"LLAMADA DE ATENCIÓN")</f>
        <v>LLAMADA DE ATENCIÓN</v>
      </c>
      <c r="L582" s="64" t="str">
        <f>IFERROR(__xludf.DUMMYFUNCTION("""COMPUTED_VALUE"""),"OPERATIVOS")</f>
        <v>OPERATIVOS</v>
      </c>
      <c r="M582" s="64" t="str">
        <f>IFERROR(__xludf.DUMMYFUNCTION("""COMPUTED_VALUE"""),"SANCIÓN")</f>
        <v>SANCIÓN</v>
      </c>
      <c r="N582" s="64" t="str">
        <f>IFERROR(__xludf.DUMMYFUNCTION("""COMPUTED_VALUE"""),"SISTEMA ELECTRICO")</f>
        <v>SISTEMA ELECTRICO</v>
      </c>
      <c r="O582" s="64" t="str">
        <f>IFERROR(__xludf.DUMMYFUNCTION("""COMPUTED_VALUE"""),"ASISTENCIA AL USUARIO")</f>
        <v>ASISTENCIA AL USUARIO</v>
      </c>
      <c r="P582" s="64" t="str">
        <f>IFERROR(__xludf.DUMMYFUNCTION("""COMPUTED_VALUE"""),"DOBLE REMOLQUE")</f>
        <v>DOBLE REMOLQUE</v>
      </c>
      <c r="Q582" s="64" t="str">
        <f>IFERROR(__xludf.DUMMYFUNCTION("""COMPUTED_VALUE"""),"SINAPRESE")</f>
        <v>SINAPRESE</v>
      </c>
      <c r="R582" s="64" t="str">
        <f>IFERROR(__xludf.DUMMYFUNCTION("""COMPUTED_VALUE"""),"APOYO ATLETISMO")</f>
        <v>APOYO ATLETISMO</v>
      </c>
      <c r="S582" s="64" t="str">
        <f>IFERROR(__xludf.DUMMYFUNCTION("""COMPUTED_VALUE"""),"APOYO A CICLISMO")</f>
        <v>APOYO A CICLISMO</v>
      </c>
      <c r="T582" s="64" t="str">
        <f>IFERROR(__xludf.DUMMYFUNCTION("""COMPUTED_VALUE"""),"DESCARGA DE BATERÍA")</f>
        <v>DESCARGA DE BATERÍA</v>
      </c>
      <c r="U582" s="64" t="str">
        <f>IFERROR(__xludf.DUMMYFUNCTION("""COMPUTED_VALUE"""),"PROBLEMAS DE SALUD")</f>
        <v>PROBLEMAS DE SALUD</v>
      </c>
      <c r="V582" s="64" t="str">
        <f>IFERROR(__xludf.DUMMYFUNCTION("""COMPUTED_VALUE"""),"OLVIDO LA LLAVE")</f>
        <v>OLVIDO LA LLAVE</v>
      </c>
      <c r="W582" s="64" t="str">
        <f>IFERROR(__xludf.DUMMYFUNCTION("""COMPUTED_VALUE"""),"CARGA SOBREDIMENSIONADA")</f>
        <v>CARGA SOBREDIMENSIONADA</v>
      </c>
      <c r="X582" s="64" t="str">
        <f>IFERROR(__xludf.DUMMYFUNCTION("""COMPUTED_VALUE"""),"VEHÍCULO ABANDONADO")</f>
        <v>VEHÍCULO ABANDONADO</v>
      </c>
      <c r="Y582" s="64" t="str">
        <f>IFERROR(__xludf.DUMMYFUNCTION("""COMPUTED_VALUE"""),"DESPRENDIMIENTO")</f>
        <v>DESPRENDIMIENTO</v>
      </c>
      <c r="Z582" s="64" t="str">
        <f>IFERROR(__xludf.DUMMYFUNCTION("""COMPUTED_VALUE"""),"CAÍDA DE POSTE")</f>
        <v>CAÍDA DE POSTE</v>
      </c>
      <c r="AA582" s="64" t="str">
        <f>IFERROR(__xludf.DUMMYFUNCTION("""COMPUTED_VALUE"""),"CAÍDA DE RAMA")</f>
        <v>CAÍDA DE RAMA</v>
      </c>
      <c r="AB582" s="64" t="str">
        <f>IFERROR(__xludf.DUMMYFUNCTION("""COMPUTED_VALUE"""),"OPERATIVO DGT")</f>
        <v>OPERATIVO DGT</v>
      </c>
      <c r="AC582" s="64" t="str">
        <f>IFERROR(__xludf.DUMMYFUNCTION("""COMPUTED_VALUE"""),"OPERATIVO PMT")</f>
        <v>OPERATIVO PMT</v>
      </c>
      <c r="AD582" s="64" t="str">
        <f>IFERROR(__xludf.DUMMYFUNCTION("""COMPUTED_VALUE"""),"APOYO A DIGEF")</f>
        <v>APOYO A DIGEF</v>
      </c>
      <c r="AE582" s="64" t="str">
        <f>IFERROR(__xludf.DUMMYFUNCTION("""COMPUTED_VALUE"""),"OPERATIVO PNC TRANSITO")</f>
        <v>OPERATIVO PNC TRANSITO</v>
      </c>
      <c r="AF582" s="64" t="str">
        <f>IFERROR(__xludf.DUMMYFUNCTION("""COMPUTED_VALUE"""),"SOBRECARGA ")</f>
        <v>SOBRECARGA </v>
      </c>
      <c r="AG582" s="64" t="str">
        <f>IFERROR(__xludf.DUMMYFUNCTION("""COMPUTED_VALUE"""),"OPERATIVO EN CONJUNTO")</f>
        <v>OPERATIVO EN CONJUNTO</v>
      </c>
      <c r="AH582" s="64" t="str">
        <f>IFERROR(__xludf.DUMMYFUNCTION("""COMPUTED_VALUE"""),"PUESTO DE ATENCION AL USUARIO")</f>
        <v>PUESTO DE ATENCION AL USUARIO</v>
      </c>
      <c r="AI582" s="64" t="str">
        <f>IFERROR(__xludf.DUMMYFUNCTION("""COMPUTED_VALUE"""),"INCENDIO EN RUTA")</f>
        <v>INCENDIO EN RUTA</v>
      </c>
      <c r="AJ582" s="64" t="str">
        <f>IFERROR(__xludf.DUMMYFUNCTION("""COMPUTED_VALUE"""),"APOYO ANTORCHA ")</f>
        <v>APOYO ANTORCHA </v>
      </c>
    </row>
    <row r="583">
      <c r="B583" s="64" t="s">
        <v>54</v>
      </c>
      <c r="C583" s="64" t="str">
        <f>IFERROR(__xludf.DUMMYFUNCTION(" TRANSPOSE( unique ( QUERY(DATOPRO,""select Col2 where Col1 = '""&amp;B583&amp;""'"")))"),"PINCHAZO")</f>
        <v>PINCHAZO</v>
      </c>
      <c r="D583" s="64" t="str">
        <f>IFERROR(__xludf.DUMMYFUNCTION("""COMPUTED_VALUE"""),"TRABAJOS DE CARRETERA")</f>
        <v>TRABAJOS DE CARRETERA</v>
      </c>
      <c r="E583" s="64" t="str">
        <f>IFERROR(__xludf.DUMMYFUNCTION("""COMPUTED_VALUE"""),"CONSIGNACIÓN")</f>
        <v>CONSIGNACIÓN</v>
      </c>
      <c r="F583" s="64" t="str">
        <f>IFERROR(__xludf.DUMMYFUNCTION("""COMPUTED_VALUE"""),"DERRAME")</f>
        <v>DERRAME</v>
      </c>
      <c r="G583" s="64" t="str">
        <f>IFERROR(__xludf.DUMMYFUNCTION("""COMPUTED_VALUE"""),"CALENTAMIENTO")</f>
        <v>CALENTAMIENTO</v>
      </c>
      <c r="H583" s="64" t="str">
        <f>IFERROR(__xludf.DUMMYFUNCTION("""COMPUTED_VALUE"""),"ESCOLTANDO")</f>
        <v>ESCOLTANDO</v>
      </c>
      <c r="I583" s="64" t="str">
        <f>IFERROR(__xludf.DUMMYFUNCTION("""COMPUTED_VALUE"""),"FALTA DE COMBUSTIBLE")</f>
        <v>FALTA DE COMBUSTIBLE</v>
      </c>
      <c r="J583" s="64" t="str">
        <f>IFERROR(__xludf.DUMMYFUNCTION("""COMPUTED_VALUE"""),"DESPERFECTOS MECÁNICOS")</f>
        <v>DESPERFECTOS MECÁNICOS</v>
      </c>
      <c r="K583" s="64" t="str">
        <f>IFERROR(__xludf.DUMMYFUNCTION("""COMPUTED_VALUE"""),"LLAMADA DE ATENCIÓN")</f>
        <v>LLAMADA DE ATENCIÓN</v>
      </c>
      <c r="L583" s="64" t="str">
        <f>IFERROR(__xludf.DUMMYFUNCTION("""COMPUTED_VALUE"""),"OPERATIVOS")</f>
        <v>OPERATIVOS</v>
      </c>
      <c r="M583" s="64" t="str">
        <f>IFERROR(__xludf.DUMMYFUNCTION("""COMPUTED_VALUE"""),"SANCIÓN")</f>
        <v>SANCIÓN</v>
      </c>
      <c r="N583" s="64" t="str">
        <f>IFERROR(__xludf.DUMMYFUNCTION("""COMPUTED_VALUE"""),"SISTEMA ELECTRICO")</f>
        <v>SISTEMA ELECTRICO</v>
      </c>
      <c r="O583" s="64" t="str">
        <f>IFERROR(__xludf.DUMMYFUNCTION("""COMPUTED_VALUE"""),"ASISTENCIA AL USUARIO")</f>
        <v>ASISTENCIA AL USUARIO</v>
      </c>
      <c r="P583" s="64" t="str">
        <f>IFERROR(__xludf.DUMMYFUNCTION("""COMPUTED_VALUE"""),"DOBLE REMOLQUE")</f>
        <v>DOBLE REMOLQUE</v>
      </c>
      <c r="Q583" s="64" t="str">
        <f>IFERROR(__xludf.DUMMYFUNCTION("""COMPUTED_VALUE"""),"SINAPRESE")</f>
        <v>SINAPRESE</v>
      </c>
      <c r="R583" s="64" t="str">
        <f>IFERROR(__xludf.DUMMYFUNCTION("""COMPUTED_VALUE"""),"APOYO ATLETISMO")</f>
        <v>APOYO ATLETISMO</v>
      </c>
      <c r="S583" s="64" t="str">
        <f>IFERROR(__xludf.DUMMYFUNCTION("""COMPUTED_VALUE"""),"APOYO A CICLISMO")</f>
        <v>APOYO A CICLISMO</v>
      </c>
      <c r="T583" s="64" t="str">
        <f>IFERROR(__xludf.DUMMYFUNCTION("""COMPUTED_VALUE"""),"DESCARGA DE BATERÍA")</f>
        <v>DESCARGA DE BATERÍA</v>
      </c>
      <c r="U583" s="64" t="str">
        <f>IFERROR(__xludf.DUMMYFUNCTION("""COMPUTED_VALUE"""),"PROBLEMAS DE SALUD")</f>
        <v>PROBLEMAS DE SALUD</v>
      </c>
      <c r="V583" s="64" t="str">
        <f>IFERROR(__xludf.DUMMYFUNCTION("""COMPUTED_VALUE"""),"OLVIDO LA LLAVE")</f>
        <v>OLVIDO LA LLAVE</v>
      </c>
      <c r="W583" s="64" t="str">
        <f>IFERROR(__xludf.DUMMYFUNCTION("""COMPUTED_VALUE"""),"CARGA SOBREDIMENSIONADA")</f>
        <v>CARGA SOBREDIMENSIONADA</v>
      </c>
      <c r="X583" s="64" t="str">
        <f>IFERROR(__xludf.DUMMYFUNCTION("""COMPUTED_VALUE"""),"VEHÍCULO ABANDONADO")</f>
        <v>VEHÍCULO ABANDONADO</v>
      </c>
      <c r="Y583" s="64" t="str">
        <f>IFERROR(__xludf.DUMMYFUNCTION("""COMPUTED_VALUE"""),"DESPRENDIMIENTO")</f>
        <v>DESPRENDIMIENTO</v>
      </c>
      <c r="Z583" s="64" t="str">
        <f>IFERROR(__xludf.DUMMYFUNCTION("""COMPUTED_VALUE"""),"CAÍDA DE POSTE")</f>
        <v>CAÍDA DE POSTE</v>
      </c>
      <c r="AA583" s="64" t="str">
        <f>IFERROR(__xludf.DUMMYFUNCTION("""COMPUTED_VALUE"""),"CAÍDA DE RAMA")</f>
        <v>CAÍDA DE RAMA</v>
      </c>
      <c r="AB583" s="64" t="str">
        <f>IFERROR(__xludf.DUMMYFUNCTION("""COMPUTED_VALUE"""),"OPERATIVO DGT")</f>
        <v>OPERATIVO DGT</v>
      </c>
      <c r="AC583" s="64" t="str">
        <f>IFERROR(__xludf.DUMMYFUNCTION("""COMPUTED_VALUE"""),"OPERATIVO PMT")</f>
        <v>OPERATIVO PMT</v>
      </c>
      <c r="AD583" s="64" t="str">
        <f>IFERROR(__xludf.DUMMYFUNCTION("""COMPUTED_VALUE"""),"APOYO A DIGEF")</f>
        <v>APOYO A DIGEF</v>
      </c>
      <c r="AE583" s="64" t="str">
        <f>IFERROR(__xludf.DUMMYFUNCTION("""COMPUTED_VALUE"""),"OPERATIVO PNC TRANSITO")</f>
        <v>OPERATIVO PNC TRANSITO</v>
      </c>
      <c r="AF583" s="64" t="str">
        <f>IFERROR(__xludf.DUMMYFUNCTION("""COMPUTED_VALUE"""),"SOBRECARGA ")</f>
        <v>SOBRECARGA </v>
      </c>
      <c r="AG583" s="64" t="str">
        <f>IFERROR(__xludf.DUMMYFUNCTION("""COMPUTED_VALUE"""),"OPERATIVO EN CONJUNTO")</f>
        <v>OPERATIVO EN CONJUNTO</v>
      </c>
      <c r="AH583" s="64" t="str">
        <f>IFERROR(__xludf.DUMMYFUNCTION("""COMPUTED_VALUE"""),"PUESTO DE ATENCION AL USUARIO")</f>
        <v>PUESTO DE ATENCION AL USUARIO</v>
      </c>
      <c r="AI583" s="64" t="str">
        <f>IFERROR(__xludf.DUMMYFUNCTION("""COMPUTED_VALUE"""),"INCENDIO EN RUTA")</f>
        <v>INCENDIO EN RUTA</v>
      </c>
      <c r="AJ583" s="64" t="str">
        <f>IFERROR(__xludf.DUMMYFUNCTION("""COMPUTED_VALUE"""),"APOYO ANTORCHA ")</f>
        <v>APOYO ANTORCHA </v>
      </c>
    </row>
    <row r="584">
      <c r="B584" s="64" t="s">
        <v>54</v>
      </c>
      <c r="C584" s="64" t="str">
        <f>IFERROR(__xludf.DUMMYFUNCTION(" TRANSPOSE( unique ( QUERY(DATOPRO,""select Col2 where Col1 = '""&amp;B584&amp;""'"")))"),"PINCHAZO")</f>
        <v>PINCHAZO</v>
      </c>
      <c r="D584" s="64" t="str">
        <f>IFERROR(__xludf.DUMMYFUNCTION("""COMPUTED_VALUE"""),"TRABAJOS DE CARRETERA")</f>
        <v>TRABAJOS DE CARRETERA</v>
      </c>
      <c r="E584" s="64" t="str">
        <f>IFERROR(__xludf.DUMMYFUNCTION("""COMPUTED_VALUE"""),"CONSIGNACIÓN")</f>
        <v>CONSIGNACIÓN</v>
      </c>
      <c r="F584" s="64" t="str">
        <f>IFERROR(__xludf.DUMMYFUNCTION("""COMPUTED_VALUE"""),"DERRAME")</f>
        <v>DERRAME</v>
      </c>
      <c r="G584" s="64" t="str">
        <f>IFERROR(__xludf.DUMMYFUNCTION("""COMPUTED_VALUE"""),"CALENTAMIENTO")</f>
        <v>CALENTAMIENTO</v>
      </c>
      <c r="H584" s="64" t="str">
        <f>IFERROR(__xludf.DUMMYFUNCTION("""COMPUTED_VALUE"""),"ESCOLTANDO")</f>
        <v>ESCOLTANDO</v>
      </c>
      <c r="I584" s="64" t="str">
        <f>IFERROR(__xludf.DUMMYFUNCTION("""COMPUTED_VALUE"""),"FALTA DE COMBUSTIBLE")</f>
        <v>FALTA DE COMBUSTIBLE</v>
      </c>
      <c r="J584" s="64" t="str">
        <f>IFERROR(__xludf.DUMMYFUNCTION("""COMPUTED_VALUE"""),"DESPERFECTOS MECÁNICOS")</f>
        <v>DESPERFECTOS MECÁNICOS</v>
      </c>
      <c r="K584" s="64" t="str">
        <f>IFERROR(__xludf.DUMMYFUNCTION("""COMPUTED_VALUE"""),"LLAMADA DE ATENCIÓN")</f>
        <v>LLAMADA DE ATENCIÓN</v>
      </c>
      <c r="L584" s="64" t="str">
        <f>IFERROR(__xludf.DUMMYFUNCTION("""COMPUTED_VALUE"""),"OPERATIVOS")</f>
        <v>OPERATIVOS</v>
      </c>
      <c r="M584" s="64" t="str">
        <f>IFERROR(__xludf.DUMMYFUNCTION("""COMPUTED_VALUE"""),"SANCIÓN")</f>
        <v>SANCIÓN</v>
      </c>
      <c r="N584" s="64" t="str">
        <f>IFERROR(__xludf.DUMMYFUNCTION("""COMPUTED_VALUE"""),"SISTEMA ELECTRICO")</f>
        <v>SISTEMA ELECTRICO</v>
      </c>
      <c r="O584" s="64" t="str">
        <f>IFERROR(__xludf.DUMMYFUNCTION("""COMPUTED_VALUE"""),"ASISTENCIA AL USUARIO")</f>
        <v>ASISTENCIA AL USUARIO</v>
      </c>
      <c r="P584" s="64" t="str">
        <f>IFERROR(__xludf.DUMMYFUNCTION("""COMPUTED_VALUE"""),"DOBLE REMOLQUE")</f>
        <v>DOBLE REMOLQUE</v>
      </c>
      <c r="Q584" s="64" t="str">
        <f>IFERROR(__xludf.DUMMYFUNCTION("""COMPUTED_VALUE"""),"SINAPRESE")</f>
        <v>SINAPRESE</v>
      </c>
      <c r="R584" s="64" t="str">
        <f>IFERROR(__xludf.DUMMYFUNCTION("""COMPUTED_VALUE"""),"APOYO ATLETISMO")</f>
        <v>APOYO ATLETISMO</v>
      </c>
      <c r="S584" s="64" t="str">
        <f>IFERROR(__xludf.DUMMYFUNCTION("""COMPUTED_VALUE"""),"APOYO A CICLISMO")</f>
        <v>APOYO A CICLISMO</v>
      </c>
      <c r="T584" s="64" t="str">
        <f>IFERROR(__xludf.DUMMYFUNCTION("""COMPUTED_VALUE"""),"DESCARGA DE BATERÍA")</f>
        <v>DESCARGA DE BATERÍA</v>
      </c>
      <c r="U584" s="64" t="str">
        <f>IFERROR(__xludf.DUMMYFUNCTION("""COMPUTED_VALUE"""),"PROBLEMAS DE SALUD")</f>
        <v>PROBLEMAS DE SALUD</v>
      </c>
      <c r="V584" s="64" t="str">
        <f>IFERROR(__xludf.DUMMYFUNCTION("""COMPUTED_VALUE"""),"OLVIDO LA LLAVE")</f>
        <v>OLVIDO LA LLAVE</v>
      </c>
      <c r="W584" s="64" t="str">
        <f>IFERROR(__xludf.DUMMYFUNCTION("""COMPUTED_VALUE"""),"CARGA SOBREDIMENSIONADA")</f>
        <v>CARGA SOBREDIMENSIONADA</v>
      </c>
      <c r="X584" s="64" t="str">
        <f>IFERROR(__xludf.DUMMYFUNCTION("""COMPUTED_VALUE"""),"VEHÍCULO ABANDONADO")</f>
        <v>VEHÍCULO ABANDONADO</v>
      </c>
      <c r="Y584" s="64" t="str">
        <f>IFERROR(__xludf.DUMMYFUNCTION("""COMPUTED_VALUE"""),"DESPRENDIMIENTO")</f>
        <v>DESPRENDIMIENTO</v>
      </c>
      <c r="Z584" s="64" t="str">
        <f>IFERROR(__xludf.DUMMYFUNCTION("""COMPUTED_VALUE"""),"CAÍDA DE POSTE")</f>
        <v>CAÍDA DE POSTE</v>
      </c>
      <c r="AA584" s="64" t="str">
        <f>IFERROR(__xludf.DUMMYFUNCTION("""COMPUTED_VALUE"""),"CAÍDA DE RAMA")</f>
        <v>CAÍDA DE RAMA</v>
      </c>
      <c r="AB584" s="64" t="str">
        <f>IFERROR(__xludf.DUMMYFUNCTION("""COMPUTED_VALUE"""),"OPERATIVO DGT")</f>
        <v>OPERATIVO DGT</v>
      </c>
      <c r="AC584" s="64" t="str">
        <f>IFERROR(__xludf.DUMMYFUNCTION("""COMPUTED_VALUE"""),"OPERATIVO PMT")</f>
        <v>OPERATIVO PMT</v>
      </c>
      <c r="AD584" s="64" t="str">
        <f>IFERROR(__xludf.DUMMYFUNCTION("""COMPUTED_VALUE"""),"APOYO A DIGEF")</f>
        <v>APOYO A DIGEF</v>
      </c>
      <c r="AE584" s="64" t="str">
        <f>IFERROR(__xludf.DUMMYFUNCTION("""COMPUTED_VALUE"""),"OPERATIVO PNC TRANSITO")</f>
        <v>OPERATIVO PNC TRANSITO</v>
      </c>
      <c r="AF584" s="64" t="str">
        <f>IFERROR(__xludf.DUMMYFUNCTION("""COMPUTED_VALUE"""),"SOBRECARGA ")</f>
        <v>SOBRECARGA </v>
      </c>
      <c r="AG584" s="64" t="str">
        <f>IFERROR(__xludf.DUMMYFUNCTION("""COMPUTED_VALUE"""),"OPERATIVO EN CONJUNTO")</f>
        <v>OPERATIVO EN CONJUNTO</v>
      </c>
      <c r="AH584" s="64" t="str">
        <f>IFERROR(__xludf.DUMMYFUNCTION("""COMPUTED_VALUE"""),"PUESTO DE ATENCION AL USUARIO")</f>
        <v>PUESTO DE ATENCION AL USUARIO</v>
      </c>
      <c r="AI584" s="64" t="str">
        <f>IFERROR(__xludf.DUMMYFUNCTION("""COMPUTED_VALUE"""),"INCENDIO EN RUTA")</f>
        <v>INCENDIO EN RUTA</v>
      </c>
      <c r="AJ584" s="64" t="str">
        <f>IFERROR(__xludf.DUMMYFUNCTION("""COMPUTED_VALUE"""),"APOYO ANTORCHA ")</f>
        <v>APOYO ANTORCHA </v>
      </c>
    </row>
    <row r="585">
      <c r="B585" s="64" t="s">
        <v>54</v>
      </c>
      <c r="C585" s="64" t="str">
        <f>IFERROR(__xludf.DUMMYFUNCTION(" TRANSPOSE( unique ( QUERY(DATOPRO,""select Col2 where Col1 = '""&amp;B585&amp;""'"")))"),"PINCHAZO")</f>
        <v>PINCHAZO</v>
      </c>
      <c r="D585" s="64" t="str">
        <f>IFERROR(__xludf.DUMMYFUNCTION("""COMPUTED_VALUE"""),"TRABAJOS DE CARRETERA")</f>
        <v>TRABAJOS DE CARRETERA</v>
      </c>
      <c r="E585" s="64" t="str">
        <f>IFERROR(__xludf.DUMMYFUNCTION("""COMPUTED_VALUE"""),"CONSIGNACIÓN")</f>
        <v>CONSIGNACIÓN</v>
      </c>
      <c r="F585" s="64" t="str">
        <f>IFERROR(__xludf.DUMMYFUNCTION("""COMPUTED_VALUE"""),"DERRAME")</f>
        <v>DERRAME</v>
      </c>
      <c r="G585" s="64" t="str">
        <f>IFERROR(__xludf.DUMMYFUNCTION("""COMPUTED_VALUE"""),"CALENTAMIENTO")</f>
        <v>CALENTAMIENTO</v>
      </c>
      <c r="H585" s="64" t="str">
        <f>IFERROR(__xludf.DUMMYFUNCTION("""COMPUTED_VALUE"""),"ESCOLTANDO")</f>
        <v>ESCOLTANDO</v>
      </c>
      <c r="I585" s="64" t="str">
        <f>IFERROR(__xludf.DUMMYFUNCTION("""COMPUTED_VALUE"""),"FALTA DE COMBUSTIBLE")</f>
        <v>FALTA DE COMBUSTIBLE</v>
      </c>
      <c r="J585" s="64" t="str">
        <f>IFERROR(__xludf.DUMMYFUNCTION("""COMPUTED_VALUE"""),"DESPERFECTOS MECÁNICOS")</f>
        <v>DESPERFECTOS MECÁNICOS</v>
      </c>
      <c r="K585" s="64" t="str">
        <f>IFERROR(__xludf.DUMMYFUNCTION("""COMPUTED_VALUE"""),"LLAMADA DE ATENCIÓN")</f>
        <v>LLAMADA DE ATENCIÓN</v>
      </c>
      <c r="L585" s="64" t="str">
        <f>IFERROR(__xludf.DUMMYFUNCTION("""COMPUTED_VALUE"""),"OPERATIVOS")</f>
        <v>OPERATIVOS</v>
      </c>
      <c r="M585" s="64" t="str">
        <f>IFERROR(__xludf.DUMMYFUNCTION("""COMPUTED_VALUE"""),"SANCIÓN")</f>
        <v>SANCIÓN</v>
      </c>
      <c r="N585" s="64" t="str">
        <f>IFERROR(__xludf.DUMMYFUNCTION("""COMPUTED_VALUE"""),"SISTEMA ELECTRICO")</f>
        <v>SISTEMA ELECTRICO</v>
      </c>
      <c r="O585" s="64" t="str">
        <f>IFERROR(__xludf.DUMMYFUNCTION("""COMPUTED_VALUE"""),"ASISTENCIA AL USUARIO")</f>
        <v>ASISTENCIA AL USUARIO</v>
      </c>
      <c r="P585" s="64" t="str">
        <f>IFERROR(__xludf.DUMMYFUNCTION("""COMPUTED_VALUE"""),"DOBLE REMOLQUE")</f>
        <v>DOBLE REMOLQUE</v>
      </c>
      <c r="Q585" s="64" t="str">
        <f>IFERROR(__xludf.DUMMYFUNCTION("""COMPUTED_VALUE"""),"SINAPRESE")</f>
        <v>SINAPRESE</v>
      </c>
      <c r="R585" s="64" t="str">
        <f>IFERROR(__xludf.DUMMYFUNCTION("""COMPUTED_VALUE"""),"APOYO ATLETISMO")</f>
        <v>APOYO ATLETISMO</v>
      </c>
      <c r="S585" s="64" t="str">
        <f>IFERROR(__xludf.DUMMYFUNCTION("""COMPUTED_VALUE"""),"APOYO A CICLISMO")</f>
        <v>APOYO A CICLISMO</v>
      </c>
      <c r="T585" s="64" t="str">
        <f>IFERROR(__xludf.DUMMYFUNCTION("""COMPUTED_VALUE"""),"DESCARGA DE BATERÍA")</f>
        <v>DESCARGA DE BATERÍA</v>
      </c>
      <c r="U585" s="64" t="str">
        <f>IFERROR(__xludf.DUMMYFUNCTION("""COMPUTED_VALUE"""),"PROBLEMAS DE SALUD")</f>
        <v>PROBLEMAS DE SALUD</v>
      </c>
      <c r="V585" s="64" t="str">
        <f>IFERROR(__xludf.DUMMYFUNCTION("""COMPUTED_VALUE"""),"OLVIDO LA LLAVE")</f>
        <v>OLVIDO LA LLAVE</v>
      </c>
      <c r="W585" s="64" t="str">
        <f>IFERROR(__xludf.DUMMYFUNCTION("""COMPUTED_VALUE"""),"CARGA SOBREDIMENSIONADA")</f>
        <v>CARGA SOBREDIMENSIONADA</v>
      </c>
      <c r="X585" s="64" t="str">
        <f>IFERROR(__xludf.DUMMYFUNCTION("""COMPUTED_VALUE"""),"VEHÍCULO ABANDONADO")</f>
        <v>VEHÍCULO ABANDONADO</v>
      </c>
      <c r="Y585" s="64" t="str">
        <f>IFERROR(__xludf.DUMMYFUNCTION("""COMPUTED_VALUE"""),"DESPRENDIMIENTO")</f>
        <v>DESPRENDIMIENTO</v>
      </c>
      <c r="Z585" s="64" t="str">
        <f>IFERROR(__xludf.DUMMYFUNCTION("""COMPUTED_VALUE"""),"CAÍDA DE POSTE")</f>
        <v>CAÍDA DE POSTE</v>
      </c>
      <c r="AA585" s="64" t="str">
        <f>IFERROR(__xludf.DUMMYFUNCTION("""COMPUTED_VALUE"""),"CAÍDA DE RAMA")</f>
        <v>CAÍDA DE RAMA</v>
      </c>
      <c r="AB585" s="64" t="str">
        <f>IFERROR(__xludf.DUMMYFUNCTION("""COMPUTED_VALUE"""),"OPERATIVO DGT")</f>
        <v>OPERATIVO DGT</v>
      </c>
      <c r="AC585" s="64" t="str">
        <f>IFERROR(__xludf.DUMMYFUNCTION("""COMPUTED_VALUE"""),"OPERATIVO PMT")</f>
        <v>OPERATIVO PMT</v>
      </c>
      <c r="AD585" s="64" t="str">
        <f>IFERROR(__xludf.DUMMYFUNCTION("""COMPUTED_VALUE"""),"APOYO A DIGEF")</f>
        <v>APOYO A DIGEF</v>
      </c>
      <c r="AE585" s="64" t="str">
        <f>IFERROR(__xludf.DUMMYFUNCTION("""COMPUTED_VALUE"""),"OPERATIVO PNC TRANSITO")</f>
        <v>OPERATIVO PNC TRANSITO</v>
      </c>
      <c r="AF585" s="64" t="str">
        <f>IFERROR(__xludf.DUMMYFUNCTION("""COMPUTED_VALUE"""),"SOBRECARGA ")</f>
        <v>SOBRECARGA </v>
      </c>
      <c r="AG585" s="64" t="str">
        <f>IFERROR(__xludf.DUMMYFUNCTION("""COMPUTED_VALUE"""),"OPERATIVO EN CONJUNTO")</f>
        <v>OPERATIVO EN CONJUNTO</v>
      </c>
      <c r="AH585" s="64" t="str">
        <f>IFERROR(__xludf.DUMMYFUNCTION("""COMPUTED_VALUE"""),"PUESTO DE ATENCION AL USUARIO")</f>
        <v>PUESTO DE ATENCION AL USUARIO</v>
      </c>
      <c r="AI585" s="64" t="str">
        <f>IFERROR(__xludf.DUMMYFUNCTION("""COMPUTED_VALUE"""),"INCENDIO EN RUTA")</f>
        <v>INCENDIO EN RUTA</v>
      </c>
      <c r="AJ585" s="64" t="str">
        <f>IFERROR(__xludf.DUMMYFUNCTION("""COMPUTED_VALUE"""),"APOYO ANTORCHA ")</f>
        <v>APOYO ANTORCHA </v>
      </c>
    </row>
    <row r="586">
      <c r="B586" s="64" t="s">
        <v>54</v>
      </c>
      <c r="C586" s="64" t="str">
        <f>IFERROR(__xludf.DUMMYFUNCTION(" TRANSPOSE( unique ( QUERY(DATOPRO,""select Col2 where Col1 = '""&amp;B586&amp;""'"")))"),"PINCHAZO")</f>
        <v>PINCHAZO</v>
      </c>
      <c r="D586" s="64" t="str">
        <f>IFERROR(__xludf.DUMMYFUNCTION("""COMPUTED_VALUE"""),"TRABAJOS DE CARRETERA")</f>
        <v>TRABAJOS DE CARRETERA</v>
      </c>
      <c r="E586" s="64" t="str">
        <f>IFERROR(__xludf.DUMMYFUNCTION("""COMPUTED_VALUE"""),"CONSIGNACIÓN")</f>
        <v>CONSIGNACIÓN</v>
      </c>
      <c r="F586" s="64" t="str">
        <f>IFERROR(__xludf.DUMMYFUNCTION("""COMPUTED_VALUE"""),"DERRAME")</f>
        <v>DERRAME</v>
      </c>
      <c r="G586" s="64" t="str">
        <f>IFERROR(__xludf.DUMMYFUNCTION("""COMPUTED_VALUE"""),"CALENTAMIENTO")</f>
        <v>CALENTAMIENTO</v>
      </c>
      <c r="H586" s="64" t="str">
        <f>IFERROR(__xludf.DUMMYFUNCTION("""COMPUTED_VALUE"""),"ESCOLTANDO")</f>
        <v>ESCOLTANDO</v>
      </c>
      <c r="I586" s="64" t="str">
        <f>IFERROR(__xludf.DUMMYFUNCTION("""COMPUTED_VALUE"""),"FALTA DE COMBUSTIBLE")</f>
        <v>FALTA DE COMBUSTIBLE</v>
      </c>
      <c r="J586" s="64" t="str">
        <f>IFERROR(__xludf.DUMMYFUNCTION("""COMPUTED_VALUE"""),"DESPERFECTOS MECÁNICOS")</f>
        <v>DESPERFECTOS MECÁNICOS</v>
      </c>
      <c r="K586" s="64" t="str">
        <f>IFERROR(__xludf.DUMMYFUNCTION("""COMPUTED_VALUE"""),"LLAMADA DE ATENCIÓN")</f>
        <v>LLAMADA DE ATENCIÓN</v>
      </c>
      <c r="L586" s="64" t="str">
        <f>IFERROR(__xludf.DUMMYFUNCTION("""COMPUTED_VALUE"""),"OPERATIVOS")</f>
        <v>OPERATIVOS</v>
      </c>
      <c r="M586" s="64" t="str">
        <f>IFERROR(__xludf.DUMMYFUNCTION("""COMPUTED_VALUE"""),"SANCIÓN")</f>
        <v>SANCIÓN</v>
      </c>
      <c r="N586" s="64" t="str">
        <f>IFERROR(__xludf.DUMMYFUNCTION("""COMPUTED_VALUE"""),"SISTEMA ELECTRICO")</f>
        <v>SISTEMA ELECTRICO</v>
      </c>
      <c r="O586" s="64" t="str">
        <f>IFERROR(__xludf.DUMMYFUNCTION("""COMPUTED_VALUE"""),"ASISTENCIA AL USUARIO")</f>
        <v>ASISTENCIA AL USUARIO</v>
      </c>
      <c r="P586" s="64" t="str">
        <f>IFERROR(__xludf.DUMMYFUNCTION("""COMPUTED_VALUE"""),"DOBLE REMOLQUE")</f>
        <v>DOBLE REMOLQUE</v>
      </c>
      <c r="Q586" s="64" t="str">
        <f>IFERROR(__xludf.DUMMYFUNCTION("""COMPUTED_VALUE"""),"SINAPRESE")</f>
        <v>SINAPRESE</v>
      </c>
      <c r="R586" s="64" t="str">
        <f>IFERROR(__xludf.DUMMYFUNCTION("""COMPUTED_VALUE"""),"APOYO ATLETISMO")</f>
        <v>APOYO ATLETISMO</v>
      </c>
      <c r="S586" s="64" t="str">
        <f>IFERROR(__xludf.DUMMYFUNCTION("""COMPUTED_VALUE"""),"APOYO A CICLISMO")</f>
        <v>APOYO A CICLISMO</v>
      </c>
      <c r="T586" s="64" t="str">
        <f>IFERROR(__xludf.DUMMYFUNCTION("""COMPUTED_VALUE"""),"DESCARGA DE BATERÍA")</f>
        <v>DESCARGA DE BATERÍA</v>
      </c>
      <c r="U586" s="64" t="str">
        <f>IFERROR(__xludf.DUMMYFUNCTION("""COMPUTED_VALUE"""),"PROBLEMAS DE SALUD")</f>
        <v>PROBLEMAS DE SALUD</v>
      </c>
      <c r="V586" s="64" t="str">
        <f>IFERROR(__xludf.DUMMYFUNCTION("""COMPUTED_VALUE"""),"OLVIDO LA LLAVE")</f>
        <v>OLVIDO LA LLAVE</v>
      </c>
      <c r="W586" s="64" t="str">
        <f>IFERROR(__xludf.DUMMYFUNCTION("""COMPUTED_VALUE"""),"CARGA SOBREDIMENSIONADA")</f>
        <v>CARGA SOBREDIMENSIONADA</v>
      </c>
      <c r="X586" s="64" t="str">
        <f>IFERROR(__xludf.DUMMYFUNCTION("""COMPUTED_VALUE"""),"VEHÍCULO ABANDONADO")</f>
        <v>VEHÍCULO ABANDONADO</v>
      </c>
      <c r="Y586" s="64" t="str">
        <f>IFERROR(__xludf.DUMMYFUNCTION("""COMPUTED_VALUE"""),"DESPRENDIMIENTO")</f>
        <v>DESPRENDIMIENTO</v>
      </c>
      <c r="Z586" s="64" t="str">
        <f>IFERROR(__xludf.DUMMYFUNCTION("""COMPUTED_VALUE"""),"CAÍDA DE POSTE")</f>
        <v>CAÍDA DE POSTE</v>
      </c>
      <c r="AA586" s="64" t="str">
        <f>IFERROR(__xludf.DUMMYFUNCTION("""COMPUTED_VALUE"""),"CAÍDA DE RAMA")</f>
        <v>CAÍDA DE RAMA</v>
      </c>
      <c r="AB586" s="64" t="str">
        <f>IFERROR(__xludf.DUMMYFUNCTION("""COMPUTED_VALUE"""),"OPERATIVO DGT")</f>
        <v>OPERATIVO DGT</v>
      </c>
      <c r="AC586" s="64" t="str">
        <f>IFERROR(__xludf.DUMMYFUNCTION("""COMPUTED_VALUE"""),"OPERATIVO PMT")</f>
        <v>OPERATIVO PMT</v>
      </c>
      <c r="AD586" s="64" t="str">
        <f>IFERROR(__xludf.DUMMYFUNCTION("""COMPUTED_VALUE"""),"APOYO A DIGEF")</f>
        <v>APOYO A DIGEF</v>
      </c>
      <c r="AE586" s="64" t="str">
        <f>IFERROR(__xludf.DUMMYFUNCTION("""COMPUTED_VALUE"""),"OPERATIVO PNC TRANSITO")</f>
        <v>OPERATIVO PNC TRANSITO</v>
      </c>
      <c r="AF586" s="64" t="str">
        <f>IFERROR(__xludf.DUMMYFUNCTION("""COMPUTED_VALUE"""),"SOBRECARGA ")</f>
        <v>SOBRECARGA </v>
      </c>
      <c r="AG586" s="64" t="str">
        <f>IFERROR(__xludf.DUMMYFUNCTION("""COMPUTED_VALUE"""),"OPERATIVO EN CONJUNTO")</f>
        <v>OPERATIVO EN CONJUNTO</v>
      </c>
      <c r="AH586" s="64" t="str">
        <f>IFERROR(__xludf.DUMMYFUNCTION("""COMPUTED_VALUE"""),"PUESTO DE ATENCION AL USUARIO")</f>
        <v>PUESTO DE ATENCION AL USUARIO</v>
      </c>
      <c r="AI586" s="64" t="str">
        <f>IFERROR(__xludf.DUMMYFUNCTION("""COMPUTED_VALUE"""),"INCENDIO EN RUTA")</f>
        <v>INCENDIO EN RUTA</v>
      </c>
      <c r="AJ586" s="64" t="str">
        <f>IFERROR(__xludf.DUMMYFUNCTION("""COMPUTED_VALUE"""),"APOYO ANTORCHA ")</f>
        <v>APOYO ANTORCHA </v>
      </c>
    </row>
    <row r="587">
      <c r="B587" s="64" t="s">
        <v>54</v>
      </c>
      <c r="C587" s="64" t="str">
        <f>IFERROR(__xludf.DUMMYFUNCTION(" TRANSPOSE( unique ( QUERY(DATOPRO,""select Col2 where Col1 = '""&amp;B587&amp;""'"")))"),"PINCHAZO")</f>
        <v>PINCHAZO</v>
      </c>
      <c r="D587" s="64" t="str">
        <f>IFERROR(__xludf.DUMMYFUNCTION("""COMPUTED_VALUE"""),"TRABAJOS DE CARRETERA")</f>
        <v>TRABAJOS DE CARRETERA</v>
      </c>
      <c r="E587" s="64" t="str">
        <f>IFERROR(__xludf.DUMMYFUNCTION("""COMPUTED_VALUE"""),"CONSIGNACIÓN")</f>
        <v>CONSIGNACIÓN</v>
      </c>
      <c r="F587" s="64" t="str">
        <f>IFERROR(__xludf.DUMMYFUNCTION("""COMPUTED_VALUE"""),"DERRAME")</f>
        <v>DERRAME</v>
      </c>
      <c r="G587" s="64" t="str">
        <f>IFERROR(__xludf.DUMMYFUNCTION("""COMPUTED_VALUE"""),"CALENTAMIENTO")</f>
        <v>CALENTAMIENTO</v>
      </c>
      <c r="H587" s="64" t="str">
        <f>IFERROR(__xludf.DUMMYFUNCTION("""COMPUTED_VALUE"""),"ESCOLTANDO")</f>
        <v>ESCOLTANDO</v>
      </c>
      <c r="I587" s="64" t="str">
        <f>IFERROR(__xludf.DUMMYFUNCTION("""COMPUTED_VALUE"""),"FALTA DE COMBUSTIBLE")</f>
        <v>FALTA DE COMBUSTIBLE</v>
      </c>
      <c r="J587" s="64" t="str">
        <f>IFERROR(__xludf.DUMMYFUNCTION("""COMPUTED_VALUE"""),"DESPERFECTOS MECÁNICOS")</f>
        <v>DESPERFECTOS MECÁNICOS</v>
      </c>
      <c r="K587" s="64" t="str">
        <f>IFERROR(__xludf.DUMMYFUNCTION("""COMPUTED_VALUE"""),"LLAMADA DE ATENCIÓN")</f>
        <v>LLAMADA DE ATENCIÓN</v>
      </c>
      <c r="L587" s="64" t="str">
        <f>IFERROR(__xludf.DUMMYFUNCTION("""COMPUTED_VALUE"""),"OPERATIVOS")</f>
        <v>OPERATIVOS</v>
      </c>
      <c r="M587" s="64" t="str">
        <f>IFERROR(__xludf.DUMMYFUNCTION("""COMPUTED_VALUE"""),"SANCIÓN")</f>
        <v>SANCIÓN</v>
      </c>
      <c r="N587" s="64" t="str">
        <f>IFERROR(__xludf.DUMMYFUNCTION("""COMPUTED_VALUE"""),"SISTEMA ELECTRICO")</f>
        <v>SISTEMA ELECTRICO</v>
      </c>
      <c r="O587" s="64" t="str">
        <f>IFERROR(__xludf.DUMMYFUNCTION("""COMPUTED_VALUE"""),"ASISTENCIA AL USUARIO")</f>
        <v>ASISTENCIA AL USUARIO</v>
      </c>
      <c r="P587" s="64" t="str">
        <f>IFERROR(__xludf.DUMMYFUNCTION("""COMPUTED_VALUE"""),"DOBLE REMOLQUE")</f>
        <v>DOBLE REMOLQUE</v>
      </c>
      <c r="Q587" s="64" t="str">
        <f>IFERROR(__xludf.DUMMYFUNCTION("""COMPUTED_VALUE"""),"SINAPRESE")</f>
        <v>SINAPRESE</v>
      </c>
      <c r="R587" s="64" t="str">
        <f>IFERROR(__xludf.DUMMYFUNCTION("""COMPUTED_VALUE"""),"APOYO ATLETISMO")</f>
        <v>APOYO ATLETISMO</v>
      </c>
      <c r="S587" s="64" t="str">
        <f>IFERROR(__xludf.DUMMYFUNCTION("""COMPUTED_VALUE"""),"APOYO A CICLISMO")</f>
        <v>APOYO A CICLISMO</v>
      </c>
      <c r="T587" s="64" t="str">
        <f>IFERROR(__xludf.DUMMYFUNCTION("""COMPUTED_VALUE"""),"DESCARGA DE BATERÍA")</f>
        <v>DESCARGA DE BATERÍA</v>
      </c>
      <c r="U587" s="64" t="str">
        <f>IFERROR(__xludf.DUMMYFUNCTION("""COMPUTED_VALUE"""),"PROBLEMAS DE SALUD")</f>
        <v>PROBLEMAS DE SALUD</v>
      </c>
      <c r="V587" s="64" t="str">
        <f>IFERROR(__xludf.DUMMYFUNCTION("""COMPUTED_VALUE"""),"OLVIDO LA LLAVE")</f>
        <v>OLVIDO LA LLAVE</v>
      </c>
      <c r="W587" s="64" t="str">
        <f>IFERROR(__xludf.DUMMYFUNCTION("""COMPUTED_VALUE"""),"CARGA SOBREDIMENSIONADA")</f>
        <v>CARGA SOBREDIMENSIONADA</v>
      </c>
      <c r="X587" s="64" t="str">
        <f>IFERROR(__xludf.DUMMYFUNCTION("""COMPUTED_VALUE"""),"VEHÍCULO ABANDONADO")</f>
        <v>VEHÍCULO ABANDONADO</v>
      </c>
      <c r="Y587" s="64" t="str">
        <f>IFERROR(__xludf.DUMMYFUNCTION("""COMPUTED_VALUE"""),"DESPRENDIMIENTO")</f>
        <v>DESPRENDIMIENTO</v>
      </c>
      <c r="Z587" s="64" t="str">
        <f>IFERROR(__xludf.DUMMYFUNCTION("""COMPUTED_VALUE"""),"CAÍDA DE POSTE")</f>
        <v>CAÍDA DE POSTE</v>
      </c>
      <c r="AA587" s="64" t="str">
        <f>IFERROR(__xludf.DUMMYFUNCTION("""COMPUTED_VALUE"""),"CAÍDA DE RAMA")</f>
        <v>CAÍDA DE RAMA</v>
      </c>
      <c r="AB587" s="64" t="str">
        <f>IFERROR(__xludf.DUMMYFUNCTION("""COMPUTED_VALUE"""),"OPERATIVO DGT")</f>
        <v>OPERATIVO DGT</v>
      </c>
      <c r="AC587" s="64" t="str">
        <f>IFERROR(__xludf.DUMMYFUNCTION("""COMPUTED_VALUE"""),"OPERATIVO PMT")</f>
        <v>OPERATIVO PMT</v>
      </c>
      <c r="AD587" s="64" t="str">
        <f>IFERROR(__xludf.DUMMYFUNCTION("""COMPUTED_VALUE"""),"APOYO A DIGEF")</f>
        <v>APOYO A DIGEF</v>
      </c>
      <c r="AE587" s="64" t="str">
        <f>IFERROR(__xludf.DUMMYFUNCTION("""COMPUTED_VALUE"""),"OPERATIVO PNC TRANSITO")</f>
        <v>OPERATIVO PNC TRANSITO</v>
      </c>
      <c r="AF587" s="64" t="str">
        <f>IFERROR(__xludf.DUMMYFUNCTION("""COMPUTED_VALUE"""),"SOBRECARGA ")</f>
        <v>SOBRECARGA </v>
      </c>
      <c r="AG587" s="64" t="str">
        <f>IFERROR(__xludf.DUMMYFUNCTION("""COMPUTED_VALUE"""),"OPERATIVO EN CONJUNTO")</f>
        <v>OPERATIVO EN CONJUNTO</v>
      </c>
      <c r="AH587" s="64" t="str">
        <f>IFERROR(__xludf.DUMMYFUNCTION("""COMPUTED_VALUE"""),"PUESTO DE ATENCION AL USUARIO")</f>
        <v>PUESTO DE ATENCION AL USUARIO</v>
      </c>
      <c r="AI587" s="64" t="str">
        <f>IFERROR(__xludf.DUMMYFUNCTION("""COMPUTED_VALUE"""),"INCENDIO EN RUTA")</f>
        <v>INCENDIO EN RUTA</v>
      </c>
      <c r="AJ587" s="64" t="str">
        <f>IFERROR(__xludf.DUMMYFUNCTION("""COMPUTED_VALUE"""),"APOYO ANTORCHA ")</f>
        <v>APOYO ANTORCHA </v>
      </c>
    </row>
    <row r="588">
      <c r="B588" s="64" t="s">
        <v>54</v>
      </c>
      <c r="C588" s="64" t="str">
        <f>IFERROR(__xludf.DUMMYFUNCTION(" TRANSPOSE( unique ( QUERY(DATOPRO,""select Col2 where Col1 = '""&amp;B588&amp;""'"")))"),"PINCHAZO")</f>
        <v>PINCHAZO</v>
      </c>
      <c r="D588" s="64" t="str">
        <f>IFERROR(__xludf.DUMMYFUNCTION("""COMPUTED_VALUE"""),"TRABAJOS DE CARRETERA")</f>
        <v>TRABAJOS DE CARRETERA</v>
      </c>
      <c r="E588" s="64" t="str">
        <f>IFERROR(__xludf.DUMMYFUNCTION("""COMPUTED_VALUE"""),"CONSIGNACIÓN")</f>
        <v>CONSIGNACIÓN</v>
      </c>
      <c r="F588" s="64" t="str">
        <f>IFERROR(__xludf.DUMMYFUNCTION("""COMPUTED_VALUE"""),"DERRAME")</f>
        <v>DERRAME</v>
      </c>
      <c r="G588" s="64" t="str">
        <f>IFERROR(__xludf.DUMMYFUNCTION("""COMPUTED_VALUE"""),"CALENTAMIENTO")</f>
        <v>CALENTAMIENTO</v>
      </c>
      <c r="H588" s="64" t="str">
        <f>IFERROR(__xludf.DUMMYFUNCTION("""COMPUTED_VALUE"""),"ESCOLTANDO")</f>
        <v>ESCOLTANDO</v>
      </c>
      <c r="I588" s="64" t="str">
        <f>IFERROR(__xludf.DUMMYFUNCTION("""COMPUTED_VALUE"""),"FALTA DE COMBUSTIBLE")</f>
        <v>FALTA DE COMBUSTIBLE</v>
      </c>
      <c r="J588" s="64" t="str">
        <f>IFERROR(__xludf.DUMMYFUNCTION("""COMPUTED_VALUE"""),"DESPERFECTOS MECÁNICOS")</f>
        <v>DESPERFECTOS MECÁNICOS</v>
      </c>
      <c r="K588" s="64" t="str">
        <f>IFERROR(__xludf.DUMMYFUNCTION("""COMPUTED_VALUE"""),"LLAMADA DE ATENCIÓN")</f>
        <v>LLAMADA DE ATENCIÓN</v>
      </c>
      <c r="L588" s="64" t="str">
        <f>IFERROR(__xludf.DUMMYFUNCTION("""COMPUTED_VALUE"""),"OPERATIVOS")</f>
        <v>OPERATIVOS</v>
      </c>
      <c r="M588" s="64" t="str">
        <f>IFERROR(__xludf.DUMMYFUNCTION("""COMPUTED_VALUE"""),"SANCIÓN")</f>
        <v>SANCIÓN</v>
      </c>
      <c r="N588" s="64" t="str">
        <f>IFERROR(__xludf.DUMMYFUNCTION("""COMPUTED_VALUE"""),"SISTEMA ELECTRICO")</f>
        <v>SISTEMA ELECTRICO</v>
      </c>
      <c r="O588" s="64" t="str">
        <f>IFERROR(__xludf.DUMMYFUNCTION("""COMPUTED_VALUE"""),"ASISTENCIA AL USUARIO")</f>
        <v>ASISTENCIA AL USUARIO</v>
      </c>
      <c r="P588" s="64" t="str">
        <f>IFERROR(__xludf.DUMMYFUNCTION("""COMPUTED_VALUE"""),"DOBLE REMOLQUE")</f>
        <v>DOBLE REMOLQUE</v>
      </c>
      <c r="Q588" s="64" t="str">
        <f>IFERROR(__xludf.DUMMYFUNCTION("""COMPUTED_VALUE"""),"SINAPRESE")</f>
        <v>SINAPRESE</v>
      </c>
      <c r="R588" s="64" t="str">
        <f>IFERROR(__xludf.DUMMYFUNCTION("""COMPUTED_VALUE"""),"APOYO ATLETISMO")</f>
        <v>APOYO ATLETISMO</v>
      </c>
      <c r="S588" s="64" t="str">
        <f>IFERROR(__xludf.DUMMYFUNCTION("""COMPUTED_VALUE"""),"APOYO A CICLISMO")</f>
        <v>APOYO A CICLISMO</v>
      </c>
      <c r="T588" s="64" t="str">
        <f>IFERROR(__xludf.DUMMYFUNCTION("""COMPUTED_VALUE"""),"DESCARGA DE BATERÍA")</f>
        <v>DESCARGA DE BATERÍA</v>
      </c>
      <c r="U588" s="64" t="str">
        <f>IFERROR(__xludf.DUMMYFUNCTION("""COMPUTED_VALUE"""),"PROBLEMAS DE SALUD")</f>
        <v>PROBLEMAS DE SALUD</v>
      </c>
      <c r="V588" s="64" t="str">
        <f>IFERROR(__xludf.DUMMYFUNCTION("""COMPUTED_VALUE"""),"OLVIDO LA LLAVE")</f>
        <v>OLVIDO LA LLAVE</v>
      </c>
      <c r="W588" s="64" t="str">
        <f>IFERROR(__xludf.DUMMYFUNCTION("""COMPUTED_VALUE"""),"CARGA SOBREDIMENSIONADA")</f>
        <v>CARGA SOBREDIMENSIONADA</v>
      </c>
      <c r="X588" s="64" t="str">
        <f>IFERROR(__xludf.DUMMYFUNCTION("""COMPUTED_VALUE"""),"VEHÍCULO ABANDONADO")</f>
        <v>VEHÍCULO ABANDONADO</v>
      </c>
      <c r="Y588" s="64" t="str">
        <f>IFERROR(__xludf.DUMMYFUNCTION("""COMPUTED_VALUE"""),"DESPRENDIMIENTO")</f>
        <v>DESPRENDIMIENTO</v>
      </c>
      <c r="Z588" s="64" t="str">
        <f>IFERROR(__xludf.DUMMYFUNCTION("""COMPUTED_VALUE"""),"CAÍDA DE POSTE")</f>
        <v>CAÍDA DE POSTE</v>
      </c>
      <c r="AA588" s="64" t="str">
        <f>IFERROR(__xludf.DUMMYFUNCTION("""COMPUTED_VALUE"""),"CAÍDA DE RAMA")</f>
        <v>CAÍDA DE RAMA</v>
      </c>
      <c r="AB588" s="64" t="str">
        <f>IFERROR(__xludf.DUMMYFUNCTION("""COMPUTED_VALUE"""),"OPERATIVO DGT")</f>
        <v>OPERATIVO DGT</v>
      </c>
      <c r="AC588" s="64" t="str">
        <f>IFERROR(__xludf.DUMMYFUNCTION("""COMPUTED_VALUE"""),"OPERATIVO PMT")</f>
        <v>OPERATIVO PMT</v>
      </c>
      <c r="AD588" s="64" t="str">
        <f>IFERROR(__xludf.DUMMYFUNCTION("""COMPUTED_VALUE"""),"APOYO A DIGEF")</f>
        <v>APOYO A DIGEF</v>
      </c>
      <c r="AE588" s="64" t="str">
        <f>IFERROR(__xludf.DUMMYFUNCTION("""COMPUTED_VALUE"""),"OPERATIVO PNC TRANSITO")</f>
        <v>OPERATIVO PNC TRANSITO</v>
      </c>
      <c r="AF588" s="64" t="str">
        <f>IFERROR(__xludf.DUMMYFUNCTION("""COMPUTED_VALUE"""),"SOBRECARGA ")</f>
        <v>SOBRECARGA </v>
      </c>
      <c r="AG588" s="64" t="str">
        <f>IFERROR(__xludf.DUMMYFUNCTION("""COMPUTED_VALUE"""),"OPERATIVO EN CONJUNTO")</f>
        <v>OPERATIVO EN CONJUNTO</v>
      </c>
      <c r="AH588" s="64" t="str">
        <f>IFERROR(__xludf.DUMMYFUNCTION("""COMPUTED_VALUE"""),"PUESTO DE ATENCION AL USUARIO")</f>
        <v>PUESTO DE ATENCION AL USUARIO</v>
      </c>
      <c r="AI588" s="64" t="str">
        <f>IFERROR(__xludf.DUMMYFUNCTION("""COMPUTED_VALUE"""),"INCENDIO EN RUTA")</f>
        <v>INCENDIO EN RUTA</v>
      </c>
      <c r="AJ588" s="64" t="str">
        <f>IFERROR(__xludf.DUMMYFUNCTION("""COMPUTED_VALUE"""),"APOYO ANTORCHA ")</f>
        <v>APOYO ANTORCHA </v>
      </c>
    </row>
    <row r="589">
      <c r="B589" s="64"/>
      <c r="C589" s="64" t="str">
        <f>IFERROR(__xludf.DUMMYFUNCTION(" TRANSPOSE( unique ( QUERY(DATOPRO,""select Col2 where Col1 = '""&amp;B589&amp;""'"")))"),"")</f>
        <v/>
      </c>
    </row>
    <row r="590">
      <c r="B590" s="64" t="s">
        <v>38</v>
      </c>
      <c r="C590" s="64" t="str">
        <f>IFERROR(__xludf.DUMMYFUNCTION(" TRANSPOSE( unique ( QUERY(DATOPRO,""select Col2 where Col1 = '""&amp;B590&amp;""'"")))"),"ATAQUE ARMADO")</f>
        <v>ATAQUE ARMADO</v>
      </c>
      <c r="D590" s="64" t="str">
        <f>IFERROR(__xludf.DUMMYFUNCTION("""COMPUTED_VALUE"""),"DESBALANCE DE CARGA")</f>
        <v>DESBALANCE DE CARGA</v>
      </c>
      <c r="E590" s="64" t="str">
        <f>IFERROR(__xludf.DUMMYFUNCTION("""COMPUTED_VALUE"""),"PERSONA FALLECIDA")</f>
        <v>PERSONA FALLECIDA</v>
      </c>
      <c r="F590" s="64" t="str">
        <f>IFERROR(__xludf.DUMMYFUNCTION("""COMPUTED_VALUE"""),"DESPRENDIMIENTO DE NEUMATICO")</f>
        <v>DESPRENDIMIENTO DE NEUMATICO</v>
      </c>
      <c r="G590" s="64" t="str">
        <f>IFERROR(__xludf.DUMMYFUNCTION("""COMPUTED_VALUE"""),"SALIDA DE PISTA")</f>
        <v>SALIDA DE PISTA</v>
      </c>
      <c r="H590" s="64" t="str">
        <f>IFERROR(__xludf.DUMMYFUNCTION("""COMPUTED_VALUE"""),"DESPRENDIMIENTO DE CONTENEDOR")</f>
        <v>DESPRENDIMIENTO DE CONTENEDOR</v>
      </c>
      <c r="I590" s="64" t="str">
        <f>IFERROR(__xludf.DUMMYFUNCTION("""COMPUTED_VALUE"""),"CAÍDA DE CARGA")</f>
        <v>CAÍDA DE CARGA</v>
      </c>
      <c r="J590" s="64" t="str">
        <f>IFERROR(__xludf.DUMMYFUNCTION("""COMPUTED_VALUE"""),"CHOQUE")</f>
        <v>CHOQUE</v>
      </c>
      <c r="K590" s="64" t="str">
        <f>IFERROR(__xludf.DUMMYFUNCTION("""COMPUTED_VALUE"""),"COLISIÓN")</f>
        <v>COLISIÓN</v>
      </c>
      <c r="L590" s="64" t="str">
        <f>IFERROR(__xludf.DUMMYFUNCTION("""COMPUTED_VALUE"""),"COLISIÓN MÚLTIPLE")</f>
        <v>COLISIÓN MÚLTIPLE</v>
      </c>
      <c r="M590" s="64" t="str">
        <f>IFERROR(__xludf.DUMMYFUNCTION("""COMPUTED_VALUE"""),"DERRAPE")</f>
        <v>DERRAPE</v>
      </c>
      <c r="N590" s="64" t="str">
        <f>IFERROR(__xludf.DUMMYFUNCTION("""COMPUTED_VALUE"""),"VEHÍCULO INCENDIADO")</f>
        <v>VEHÍCULO INCENDIADO</v>
      </c>
      <c r="O590" s="64" t="str">
        <f>IFERROR(__xludf.DUMMYFUNCTION("""COMPUTED_VALUE"""),"VUELCO")</f>
        <v>VUELCO</v>
      </c>
      <c r="P590" s="64" t="str">
        <f>IFERROR(__xludf.DUMMYFUNCTION("""COMPUTED_VALUE"""),"DESPRENDIMIENTO")</f>
        <v>DESPRENDIMIENTO</v>
      </c>
      <c r="Q590" s="64" t="str">
        <f>IFERROR(__xludf.DUMMYFUNCTION("""COMPUTED_VALUE"""),"CAÍDA DE ÁRBOL")</f>
        <v>CAÍDA DE ÁRBOL</v>
      </c>
      <c r="R590" s="64" t="str">
        <f>IFERROR(__xludf.DUMMYFUNCTION("""COMPUTED_VALUE"""),"DESPRENDIMIENTO DE EJE")</f>
        <v>DESPRENDIMIENTO DE EJE</v>
      </c>
      <c r="S590" s="64" t="str">
        <f>IFERROR(__xludf.DUMMYFUNCTION("""COMPUTED_VALUE"""),"PERSONA ATROPELLADA")</f>
        <v>PERSONA ATROPELLADA</v>
      </c>
    </row>
    <row r="591">
      <c r="B591" s="64" t="s">
        <v>54</v>
      </c>
      <c r="C591" s="64" t="str">
        <f>IFERROR(__xludf.DUMMYFUNCTION(" TRANSPOSE( unique ( QUERY(DATOPRO,""select Col2 where Col1 = '""&amp;B591&amp;""'"")))"),"PINCHAZO")</f>
        <v>PINCHAZO</v>
      </c>
      <c r="D591" s="64" t="str">
        <f>IFERROR(__xludf.DUMMYFUNCTION("""COMPUTED_VALUE"""),"TRABAJOS DE CARRETERA")</f>
        <v>TRABAJOS DE CARRETERA</v>
      </c>
      <c r="E591" s="64" t="str">
        <f>IFERROR(__xludf.DUMMYFUNCTION("""COMPUTED_VALUE"""),"CONSIGNACIÓN")</f>
        <v>CONSIGNACIÓN</v>
      </c>
      <c r="F591" s="64" t="str">
        <f>IFERROR(__xludf.DUMMYFUNCTION("""COMPUTED_VALUE"""),"DERRAME")</f>
        <v>DERRAME</v>
      </c>
      <c r="G591" s="64" t="str">
        <f>IFERROR(__xludf.DUMMYFUNCTION("""COMPUTED_VALUE"""),"CALENTAMIENTO")</f>
        <v>CALENTAMIENTO</v>
      </c>
      <c r="H591" s="64" t="str">
        <f>IFERROR(__xludf.DUMMYFUNCTION("""COMPUTED_VALUE"""),"ESCOLTANDO")</f>
        <v>ESCOLTANDO</v>
      </c>
      <c r="I591" s="64" t="str">
        <f>IFERROR(__xludf.DUMMYFUNCTION("""COMPUTED_VALUE"""),"FALTA DE COMBUSTIBLE")</f>
        <v>FALTA DE COMBUSTIBLE</v>
      </c>
      <c r="J591" s="64" t="str">
        <f>IFERROR(__xludf.DUMMYFUNCTION("""COMPUTED_VALUE"""),"DESPERFECTOS MECÁNICOS")</f>
        <v>DESPERFECTOS MECÁNICOS</v>
      </c>
      <c r="K591" s="64" t="str">
        <f>IFERROR(__xludf.DUMMYFUNCTION("""COMPUTED_VALUE"""),"LLAMADA DE ATENCIÓN")</f>
        <v>LLAMADA DE ATENCIÓN</v>
      </c>
      <c r="L591" s="64" t="str">
        <f>IFERROR(__xludf.DUMMYFUNCTION("""COMPUTED_VALUE"""),"OPERATIVOS")</f>
        <v>OPERATIVOS</v>
      </c>
      <c r="M591" s="64" t="str">
        <f>IFERROR(__xludf.DUMMYFUNCTION("""COMPUTED_VALUE"""),"SANCIÓN")</f>
        <v>SANCIÓN</v>
      </c>
      <c r="N591" s="64" t="str">
        <f>IFERROR(__xludf.DUMMYFUNCTION("""COMPUTED_VALUE"""),"SISTEMA ELECTRICO")</f>
        <v>SISTEMA ELECTRICO</v>
      </c>
      <c r="O591" s="64" t="str">
        <f>IFERROR(__xludf.DUMMYFUNCTION("""COMPUTED_VALUE"""),"ASISTENCIA AL USUARIO")</f>
        <v>ASISTENCIA AL USUARIO</v>
      </c>
      <c r="P591" s="64" t="str">
        <f>IFERROR(__xludf.DUMMYFUNCTION("""COMPUTED_VALUE"""),"DOBLE REMOLQUE")</f>
        <v>DOBLE REMOLQUE</v>
      </c>
      <c r="Q591" s="64" t="str">
        <f>IFERROR(__xludf.DUMMYFUNCTION("""COMPUTED_VALUE"""),"SINAPRESE")</f>
        <v>SINAPRESE</v>
      </c>
      <c r="R591" s="64" t="str">
        <f>IFERROR(__xludf.DUMMYFUNCTION("""COMPUTED_VALUE"""),"APOYO ATLETISMO")</f>
        <v>APOYO ATLETISMO</v>
      </c>
      <c r="S591" s="64" t="str">
        <f>IFERROR(__xludf.DUMMYFUNCTION("""COMPUTED_VALUE"""),"APOYO A CICLISMO")</f>
        <v>APOYO A CICLISMO</v>
      </c>
      <c r="T591" s="64" t="str">
        <f>IFERROR(__xludf.DUMMYFUNCTION("""COMPUTED_VALUE"""),"DESCARGA DE BATERÍA")</f>
        <v>DESCARGA DE BATERÍA</v>
      </c>
      <c r="U591" s="64" t="str">
        <f>IFERROR(__xludf.DUMMYFUNCTION("""COMPUTED_VALUE"""),"PROBLEMAS DE SALUD")</f>
        <v>PROBLEMAS DE SALUD</v>
      </c>
      <c r="V591" s="64" t="str">
        <f>IFERROR(__xludf.DUMMYFUNCTION("""COMPUTED_VALUE"""),"OLVIDO LA LLAVE")</f>
        <v>OLVIDO LA LLAVE</v>
      </c>
      <c r="W591" s="64" t="str">
        <f>IFERROR(__xludf.DUMMYFUNCTION("""COMPUTED_VALUE"""),"CARGA SOBREDIMENSIONADA")</f>
        <v>CARGA SOBREDIMENSIONADA</v>
      </c>
      <c r="X591" s="64" t="str">
        <f>IFERROR(__xludf.DUMMYFUNCTION("""COMPUTED_VALUE"""),"VEHÍCULO ABANDONADO")</f>
        <v>VEHÍCULO ABANDONADO</v>
      </c>
      <c r="Y591" s="64" t="str">
        <f>IFERROR(__xludf.DUMMYFUNCTION("""COMPUTED_VALUE"""),"DESPRENDIMIENTO")</f>
        <v>DESPRENDIMIENTO</v>
      </c>
      <c r="Z591" s="64" t="str">
        <f>IFERROR(__xludf.DUMMYFUNCTION("""COMPUTED_VALUE"""),"CAÍDA DE POSTE")</f>
        <v>CAÍDA DE POSTE</v>
      </c>
      <c r="AA591" s="64" t="str">
        <f>IFERROR(__xludf.DUMMYFUNCTION("""COMPUTED_VALUE"""),"CAÍDA DE RAMA")</f>
        <v>CAÍDA DE RAMA</v>
      </c>
      <c r="AB591" s="64" t="str">
        <f>IFERROR(__xludf.DUMMYFUNCTION("""COMPUTED_VALUE"""),"OPERATIVO DGT")</f>
        <v>OPERATIVO DGT</v>
      </c>
      <c r="AC591" s="64" t="str">
        <f>IFERROR(__xludf.DUMMYFUNCTION("""COMPUTED_VALUE"""),"OPERATIVO PMT")</f>
        <v>OPERATIVO PMT</v>
      </c>
      <c r="AD591" s="64" t="str">
        <f>IFERROR(__xludf.DUMMYFUNCTION("""COMPUTED_VALUE"""),"APOYO A DIGEF")</f>
        <v>APOYO A DIGEF</v>
      </c>
      <c r="AE591" s="64" t="str">
        <f>IFERROR(__xludf.DUMMYFUNCTION("""COMPUTED_VALUE"""),"OPERATIVO PNC TRANSITO")</f>
        <v>OPERATIVO PNC TRANSITO</v>
      </c>
      <c r="AF591" s="64" t="str">
        <f>IFERROR(__xludf.DUMMYFUNCTION("""COMPUTED_VALUE"""),"SOBRECARGA ")</f>
        <v>SOBRECARGA </v>
      </c>
      <c r="AG591" s="64" t="str">
        <f>IFERROR(__xludf.DUMMYFUNCTION("""COMPUTED_VALUE"""),"OPERATIVO EN CONJUNTO")</f>
        <v>OPERATIVO EN CONJUNTO</v>
      </c>
      <c r="AH591" s="64" t="str">
        <f>IFERROR(__xludf.DUMMYFUNCTION("""COMPUTED_VALUE"""),"PUESTO DE ATENCION AL USUARIO")</f>
        <v>PUESTO DE ATENCION AL USUARIO</v>
      </c>
      <c r="AI591" s="64" t="str">
        <f>IFERROR(__xludf.DUMMYFUNCTION("""COMPUTED_VALUE"""),"INCENDIO EN RUTA")</f>
        <v>INCENDIO EN RUTA</v>
      </c>
      <c r="AJ591" s="64" t="str">
        <f>IFERROR(__xludf.DUMMYFUNCTION("""COMPUTED_VALUE"""),"APOYO ANTORCHA ")</f>
        <v>APOYO ANTORCHA </v>
      </c>
    </row>
    <row r="592">
      <c r="B592" s="64" t="s">
        <v>54</v>
      </c>
      <c r="C592" s="64" t="str">
        <f>IFERROR(__xludf.DUMMYFUNCTION(" TRANSPOSE( unique ( QUERY(DATOPRO,""select Col2 where Col1 = '""&amp;B592&amp;""'"")))"),"PINCHAZO")</f>
        <v>PINCHAZO</v>
      </c>
      <c r="D592" s="64" t="str">
        <f>IFERROR(__xludf.DUMMYFUNCTION("""COMPUTED_VALUE"""),"TRABAJOS DE CARRETERA")</f>
        <v>TRABAJOS DE CARRETERA</v>
      </c>
      <c r="E592" s="64" t="str">
        <f>IFERROR(__xludf.DUMMYFUNCTION("""COMPUTED_VALUE"""),"CONSIGNACIÓN")</f>
        <v>CONSIGNACIÓN</v>
      </c>
      <c r="F592" s="64" t="str">
        <f>IFERROR(__xludf.DUMMYFUNCTION("""COMPUTED_VALUE"""),"DERRAME")</f>
        <v>DERRAME</v>
      </c>
      <c r="G592" s="64" t="str">
        <f>IFERROR(__xludf.DUMMYFUNCTION("""COMPUTED_VALUE"""),"CALENTAMIENTO")</f>
        <v>CALENTAMIENTO</v>
      </c>
      <c r="H592" s="64" t="str">
        <f>IFERROR(__xludf.DUMMYFUNCTION("""COMPUTED_VALUE"""),"ESCOLTANDO")</f>
        <v>ESCOLTANDO</v>
      </c>
      <c r="I592" s="64" t="str">
        <f>IFERROR(__xludf.DUMMYFUNCTION("""COMPUTED_VALUE"""),"FALTA DE COMBUSTIBLE")</f>
        <v>FALTA DE COMBUSTIBLE</v>
      </c>
      <c r="J592" s="64" t="str">
        <f>IFERROR(__xludf.DUMMYFUNCTION("""COMPUTED_VALUE"""),"DESPERFECTOS MECÁNICOS")</f>
        <v>DESPERFECTOS MECÁNICOS</v>
      </c>
      <c r="K592" s="64" t="str">
        <f>IFERROR(__xludf.DUMMYFUNCTION("""COMPUTED_VALUE"""),"LLAMADA DE ATENCIÓN")</f>
        <v>LLAMADA DE ATENCIÓN</v>
      </c>
      <c r="L592" s="64" t="str">
        <f>IFERROR(__xludf.DUMMYFUNCTION("""COMPUTED_VALUE"""),"OPERATIVOS")</f>
        <v>OPERATIVOS</v>
      </c>
      <c r="M592" s="64" t="str">
        <f>IFERROR(__xludf.DUMMYFUNCTION("""COMPUTED_VALUE"""),"SANCIÓN")</f>
        <v>SANCIÓN</v>
      </c>
      <c r="N592" s="64" t="str">
        <f>IFERROR(__xludf.DUMMYFUNCTION("""COMPUTED_VALUE"""),"SISTEMA ELECTRICO")</f>
        <v>SISTEMA ELECTRICO</v>
      </c>
      <c r="O592" s="64" t="str">
        <f>IFERROR(__xludf.DUMMYFUNCTION("""COMPUTED_VALUE"""),"ASISTENCIA AL USUARIO")</f>
        <v>ASISTENCIA AL USUARIO</v>
      </c>
      <c r="P592" s="64" t="str">
        <f>IFERROR(__xludf.DUMMYFUNCTION("""COMPUTED_VALUE"""),"DOBLE REMOLQUE")</f>
        <v>DOBLE REMOLQUE</v>
      </c>
      <c r="Q592" s="64" t="str">
        <f>IFERROR(__xludf.DUMMYFUNCTION("""COMPUTED_VALUE"""),"SINAPRESE")</f>
        <v>SINAPRESE</v>
      </c>
      <c r="R592" s="64" t="str">
        <f>IFERROR(__xludf.DUMMYFUNCTION("""COMPUTED_VALUE"""),"APOYO ATLETISMO")</f>
        <v>APOYO ATLETISMO</v>
      </c>
      <c r="S592" s="64" t="str">
        <f>IFERROR(__xludf.DUMMYFUNCTION("""COMPUTED_VALUE"""),"APOYO A CICLISMO")</f>
        <v>APOYO A CICLISMO</v>
      </c>
      <c r="T592" s="64" t="str">
        <f>IFERROR(__xludf.DUMMYFUNCTION("""COMPUTED_VALUE"""),"DESCARGA DE BATERÍA")</f>
        <v>DESCARGA DE BATERÍA</v>
      </c>
      <c r="U592" s="64" t="str">
        <f>IFERROR(__xludf.DUMMYFUNCTION("""COMPUTED_VALUE"""),"PROBLEMAS DE SALUD")</f>
        <v>PROBLEMAS DE SALUD</v>
      </c>
      <c r="V592" s="64" t="str">
        <f>IFERROR(__xludf.DUMMYFUNCTION("""COMPUTED_VALUE"""),"OLVIDO LA LLAVE")</f>
        <v>OLVIDO LA LLAVE</v>
      </c>
      <c r="W592" s="64" t="str">
        <f>IFERROR(__xludf.DUMMYFUNCTION("""COMPUTED_VALUE"""),"CARGA SOBREDIMENSIONADA")</f>
        <v>CARGA SOBREDIMENSIONADA</v>
      </c>
      <c r="X592" s="64" t="str">
        <f>IFERROR(__xludf.DUMMYFUNCTION("""COMPUTED_VALUE"""),"VEHÍCULO ABANDONADO")</f>
        <v>VEHÍCULO ABANDONADO</v>
      </c>
      <c r="Y592" s="64" t="str">
        <f>IFERROR(__xludf.DUMMYFUNCTION("""COMPUTED_VALUE"""),"DESPRENDIMIENTO")</f>
        <v>DESPRENDIMIENTO</v>
      </c>
      <c r="Z592" s="64" t="str">
        <f>IFERROR(__xludf.DUMMYFUNCTION("""COMPUTED_VALUE"""),"CAÍDA DE POSTE")</f>
        <v>CAÍDA DE POSTE</v>
      </c>
      <c r="AA592" s="64" t="str">
        <f>IFERROR(__xludf.DUMMYFUNCTION("""COMPUTED_VALUE"""),"CAÍDA DE RAMA")</f>
        <v>CAÍDA DE RAMA</v>
      </c>
      <c r="AB592" s="64" t="str">
        <f>IFERROR(__xludf.DUMMYFUNCTION("""COMPUTED_VALUE"""),"OPERATIVO DGT")</f>
        <v>OPERATIVO DGT</v>
      </c>
      <c r="AC592" s="64" t="str">
        <f>IFERROR(__xludf.DUMMYFUNCTION("""COMPUTED_VALUE"""),"OPERATIVO PMT")</f>
        <v>OPERATIVO PMT</v>
      </c>
      <c r="AD592" s="64" t="str">
        <f>IFERROR(__xludf.DUMMYFUNCTION("""COMPUTED_VALUE"""),"APOYO A DIGEF")</f>
        <v>APOYO A DIGEF</v>
      </c>
      <c r="AE592" s="64" t="str">
        <f>IFERROR(__xludf.DUMMYFUNCTION("""COMPUTED_VALUE"""),"OPERATIVO PNC TRANSITO")</f>
        <v>OPERATIVO PNC TRANSITO</v>
      </c>
      <c r="AF592" s="64" t="str">
        <f>IFERROR(__xludf.DUMMYFUNCTION("""COMPUTED_VALUE"""),"SOBRECARGA ")</f>
        <v>SOBRECARGA </v>
      </c>
      <c r="AG592" s="64" t="str">
        <f>IFERROR(__xludf.DUMMYFUNCTION("""COMPUTED_VALUE"""),"OPERATIVO EN CONJUNTO")</f>
        <v>OPERATIVO EN CONJUNTO</v>
      </c>
      <c r="AH592" s="64" t="str">
        <f>IFERROR(__xludf.DUMMYFUNCTION("""COMPUTED_VALUE"""),"PUESTO DE ATENCION AL USUARIO")</f>
        <v>PUESTO DE ATENCION AL USUARIO</v>
      </c>
      <c r="AI592" s="64" t="str">
        <f>IFERROR(__xludf.DUMMYFUNCTION("""COMPUTED_VALUE"""),"INCENDIO EN RUTA")</f>
        <v>INCENDIO EN RUTA</v>
      </c>
      <c r="AJ592" s="64" t="str">
        <f>IFERROR(__xludf.DUMMYFUNCTION("""COMPUTED_VALUE"""),"APOYO ANTORCHA ")</f>
        <v>APOYO ANTORCHA </v>
      </c>
    </row>
    <row r="593">
      <c r="B593" s="64"/>
      <c r="C593" s="64" t="str">
        <f>IFERROR(__xludf.DUMMYFUNCTION(" TRANSPOSE( unique ( QUERY(DATOPRO,""select Col2 where Col1 = '""&amp;B593&amp;""'"")))"),"")</f>
        <v/>
      </c>
    </row>
    <row r="594">
      <c r="B594" s="64"/>
      <c r="C594" s="64" t="str">
        <f>IFERROR(__xludf.DUMMYFUNCTION(" TRANSPOSE( unique ( QUERY(DATOPRO,""select Col2 where Col1 = '""&amp;B594&amp;""'"")))"),"")</f>
        <v/>
      </c>
    </row>
    <row r="595">
      <c r="B595" s="64" t="s">
        <v>38</v>
      </c>
      <c r="C595" s="64" t="str">
        <f>IFERROR(__xludf.DUMMYFUNCTION(" TRANSPOSE( unique ( QUERY(DATOPRO,""select Col2 where Col1 = '""&amp;B595&amp;""'"")))"),"ATAQUE ARMADO")</f>
        <v>ATAQUE ARMADO</v>
      </c>
      <c r="D595" s="64" t="str">
        <f>IFERROR(__xludf.DUMMYFUNCTION("""COMPUTED_VALUE"""),"DESBALANCE DE CARGA")</f>
        <v>DESBALANCE DE CARGA</v>
      </c>
      <c r="E595" s="64" t="str">
        <f>IFERROR(__xludf.DUMMYFUNCTION("""COMPUTED_VALUE"""),"PERSONA FALLECIDA")</f>
        <v>PERSONA FALLECIDA</v>
      </c>
      <c r="F595" s="64" t="str">
        <f>IFERROR(__xludf.DUMMYFUNCTION("""COMPUTED_VALUE"""),"DESPRENDIMIENTO DE NEUMATICO")</f>
        <v>DESPRENDIMIENTO DE NEUMATICO</v>
      </c>
      <c r="G595" s="64" t="str">
        <f>IFERROR(__xludf.DUMMYFUNCTION("""COMPUTED_VALUE"""),"SALIDA DE PISTA")</f>
        <v>SALIDA DE PISTA</v>
      </c>
      <c r="H595" s="64" t="str">
        <f>IFERROR(__xludf.DUMMYFUNCTION("""COMPUTED_VALUE"""),"DESPRENDIMIENTO DE CONTENEDOR")</f>
        <v>DESPRENDIMIENTO DE CONTENEDOR</v>
      </c>
      <c r="I595" s="64" t="str">
        <f>IFERROR(__xludf.DUMMYFUNCTION("""COMPUTED_VALUE"""),"CAÍDA DE CARGA")</f>
        <v>CAÍDA DE CARGA</v>
      </c>
      <c r="J595" s="64" t="str">
        <f>IFERROR(__xludf.DUMMYFUNCTION("""COMPUTED_VALUE"""),"CHOQUE")</f>
        <v>CHOQUE</v>
      </c>
      <c r="K595" s="64" t="str">
        <f>IFERROR(__xludf.DUMMYFUNCTION("""COMPUTED_VALUE"""),"COLISIÓN")</f>
        <v>COLISIÓN</v>
      </c>
      <c r="L595" s="64" t="str">
        <f>IFERROR(__xludf.DUMMYFUNCTION("""COMPUTED_VALUE"""),"COLISIÓN MÚLTIPLE")</f>
        <v>COLISIÓN MÚLTIPLE</v>
      </c>
      <c r="M595" s="64" t="str">
        <f>IFERROR(__xludf.DUMMYFUNCTION("""COMPUTED_VALUE"""),"DERRAPE")</f>
        <v>DERRAPE</v>
      </c>
      <c r="N595" s="64" t="str">
        <f>IFERROR(__xludf.DUMMYFUNCTION("""COMPUTED_VALUE"""),"VEHÍCULO INCENDIADO")</f>
        <v>VEHÍCULO INCENDIADO</v>
      </c>
      <c r="O595" s="64" t="str">
        <f>IFERROR(__xludf.DUMMYFUNCTION("""COMPUTED_VALUE"""),"VUELCO")</f>
        <v>VUELCO</v>
      </c>
      <c r="P595" s="64" t="str">
        <f>IFERROR(__xludf.DUMMYFUNCTION("""COMPUTED_VALUE"""),"DESPRENDIMIENTO")</f>
        <v>DESPRENDIMIENTO</v>
      </c>
      <c r="Q595" s="64" t="str">
        <f>IFERROR(__xludf.DUMMYFUNCTION("""COMPUTED_VALUE"""),"CAÍDA DE ÁRBOL")</f>
        <v>CAÍDA DE ÁRBOL</v>
      </c>
      <c r="R595" s="64" t="str">
        <f>IFERROR(__xludf.DUMMYFUNCTION("""COMPUTED_VALUE"""),"DESPRENDIMIENTO DE EJE")</f>
        <v>DESPRENDIMIENTO DE EJE</v>
      </c>
      <c r="S595" s="64" t="str">
        <f>IFERROR(__xludf.DUMMYFUNCTION("""COMPUTED_VALUE"""),"PERSONA ATROPELLADA")</f>
        <v>PERSONA ATROPELLADA</v>
      </c>
    </row>
    <row r="596">
      <c r="B596" s="64"/>
      <c r="C596" s="64" t="str">
        <f>IFERROR(__xludf.DUMMYFUNCTION(" TRANSPOSE( unique ( QUERY(DATOPRO,""select Col2 where Col1 = '""&amp;B596&amp;""'"")))"),"")</f>
        <v/>
      </c>
    </row>
    <row r="597">
      <c r="B597" s="64" t="s">
        <v>38</v>
      </c>
      <c r="C597" s="64" t="str">
        <f>IFERROR(__xludf.DUMMYFUNCTION(" TRANSPOSE( unique ( QUERY(DATOPRO,""select Col2 where Col1 = '""&amp;B597&amp;""'"")))"),"ATAQUE ARMADO")</f>
        <v>ATAQUE ARMADO</v>
      </c>
      <c r="D597" s="64" t="str">
        <f>IFERROR(__xludf.DUMMYFUNCTION("""COMPUTED_VALUE"""),"DESBALANCE DE CARGA")</f>
        <v>DESBALANCE DE CARGA</v>
      </c>
      <c r="E597" s="64" t="str">
        <f>IFERROR(__xludf.DUMMYFUNCTION("""COMPUTED_VALUE"""),"PERSONA FALLECIDA")</f>
        <v>PERSONA FALLECIDA</v>
      </c>
      <c r="F597" s="64" t="str">
        <f>IFERROR(__xludf.DUMMYFUNCTION("""COMPUTED_VALUE"""),"DESPRENDIMIENTO DE NEUMATICO")</f>
        <v>DESPRENDIMIENTO DE NEUMATICO</v>
      </c>
      <c r="G597" s="64" t="str">
        <f>IFERROR(__xludf.DUMMYFUNCTION("""COMPUTED_VALUE"""),"SALIDA DE PISTA")</f>
        <v>SALIDA DE PISTA</v>
      </c>
      <c r="H597" s="64" t="str">
        <f>IFERROR(__xludf.DUMMYFUNCTION("""COMPUTED_VALUE"""),"DESPRENDIMIENTO DE CONTENEDOR")</f>
        <v>DESPRENDIMIENTO DE CONTENEDOR</v>
      </c>
      <c r="I597" s="64" t="str">
        <f>IFERROR(__xludf.DUMMYFUNCTION("""COMPUTED_VALUE"""),"CAÍDA DE CARGA")</f>
        <v>CAÍDA DE CARGA</v>
      </c>
      <c r="J597" s="64" t="str">
        <f>IFERROR(__xludf.DUMMYFUNCTION("""COMPUTED_VALUE"""),"CHOQUE")</f>
        <v>CHOQUE</v>
      </c>
      <c r="K597" s="64" t="str">
        <f>IFERROR(__xludf.DUMMYFUNCTION("""COMPUTED_VALUE"""),"COLISIÓN")</f>
        <v>COLISIÓN</v>
      </c>
      <c r="L597" s="64" t="str">
        <f>IFERROR(__xludf.DUMMYFUNCTION("""COMPUTED_VALUE"""),"COLISIÓN MÚLTIPLE")</f>
        <v>COLISIÓN MÚLTIPLE</v>
      </c>
      <c r="M597" s="64" t="str">
        <f>IFERROR(__xludf.DUMMYFUNCTION("""COMPUTED_VALUE"""),"DERRAPE")</f>
        <v>DERRAPE</v>
      </c>
      <c r="N597" s="64" t="str">
        <f>IFERROR(__xludf.DUMMYFUNCTION("""COMPUTED_VALUE"""),"VEHÍCULO INCENDIADO")</f>
        <v>VEHÍCULO INCENDIADO</v>
      </c>
      <c r="O597" s="64" t="str">
        <f>IFERROR(__xludf.DUMMYFUNCTION("""COMPUTED_VALUE"""),"VUELCO")</f>
        <v>VUELCO</v>
      </c>
      <c r="P597" s="64" t="str">
        <f>IFERROR(__xludf.DUMMYFUNCTION("""COMPUTED_VALUE"""),"DESPRENDIMIENTO")</f>
        <v>DESPRENDIMIENTO</v>
      </c>
      <c r="Q597" s="64" t="str">
        <f>IFERROR(__xludf.DUMMYFUNCTION("""COMPUTED_VALUE"""),"CAÍDA DE ÁRBOL")</f>
        <v>CAÍDA DE ÁRBOL</v>
      </c>
      <c r="R597" s="64" t="str">
        <f>IFERROR(__xludf.DUMMYFUNCTION("""COMPUTED_VALUE"""),"DESPRENDIMIENTO DE EJE")</f>
        <v>DESPRENDIMIENTO DE EJE</v>
      </c>
      <c r="S597" s="64" t="str">
        <f>IFERROR(__xludf.DUMMYFUNCTION("""COMPUTED_VALUE"""),"PERSONA ATROPELLADA")</f>
        <v>PERSONA ATROPELLADA</v>
      </c>
    </row>
    <row r="598">
      <c r="B598" s="64" t="s">
        <v>54</v>
      </c>
      <c r="C598" s="64" t="str">
        <f>IFERROR(__xludf.DUMMYFUNCTION(" TRANSPOSE( unique ( QUERY(DATOPRO,""select Col2 where Col1 = '""&amp;B598&amp;""'"")))"),"PINCHAZO")</f>
        <v>PINCHAZO</v>
      </c>
      <c r="D598" s="64" t="str">
        <f>IFERROR(__xludf.DUMMYFUNCTION("""COMPUTED_VALUE"""),"TRABAJOS DE CARRETERA")</f>
        <v>TRABAJOS DE CARRETERA</v>
      </c>
      <c r="E598" s="64" t="str">
        <f>IFERROR(__xludf.DUMMYFUNCTION("""COMPUTED_VALUE"""),"CONSIGNACIÓN")</f>
        <v>CONSIGNACIÓN</v>
      </c>
      <c r="F598" s="64" t="str">
        <f>IFERROR(__xludf.DUMMYFUNCTION("""COMPUTED_VALUE"""),"DERRAME")</f>
        <v>DERRAME</v>
      </c>
      <c r="G598" s="64" t="str">
        <f>IFERROR(__xludf.DUMMYFUNCTION("""COMPUTED_VALUE"""),"CALENTAMIENTO")</f>
        <v>CALENTAMIENTO</v>
      </c>
      <c r="H598" s="64" t="str">
        <f>IFERROR(__xludf.DUMMYFUNCTION("""COMPUTED_VALUE"""),"ESCOLTANDO")</f>
        <v>ESCOLTANDO</v>
      </c>
      <c r="I598" s="64" t="str">
        <f>IFERROR(__xludf.DUMMYFUNCTION("""COMPUTED_VALUE"""),"FALTA DE COMBUSTIBLE")</f>
        <v>FALTA DE COMBUSTIBLE</v>
      </c>
      <c r="J598" s="64" t="str">
        <f>IFERROR(__xludf.DUMMYFUNCTION("""COMPUTED_VALUE"""),"DESPERFECTOS MECÁNICOS")</f>
        <v>DESPERFECTOS MECÁNICOS</v>
      </c>
      <c r="K598" s="64" t="str">
        <f>IFERROR(__xludf.DUMMYFUNCTION("""COMPUTED_VALUE"""),"LLAMADA DE ATENCIÓN")</f>
        <v>LLAMADA DE ATENCIÓN</v>
      </c>
      <c r="L598" s="64" t="str">
        <f>IFERROR(__xludf.DUMMYFUNCTION("""COMPUTED_VALUE"""),"OPERATIVOS")</f>
        <v>OPERATIVOS</v>
      </c>
      <c r="M598" s="64" t="str">
        <f>IFERROR(__xludf.DUMMYFUNCTION("""COMPUTED_VALUE"""),"SANCIÓN")</f>
        <v>SANCIÓN</v>
      </c>
      <c r="N598" s="64" t="str">
        <f>IFERROR(__xludf.DUMMYFUNCTION("""COMPUTED_VALUE"""),"SISTEMA ELECTRICO")</f>
        <v>SISTEMA ELECTRICO</v>
      </c>
      <c r="O598" s="64" t="str">
        <f>IFERROR(__xludf.DUMMYFUNCTION("""COMPUTED_VALUE"""),"ASISTENCIA AL USUARIO")</f>
        <v>ASISTENCIA AL USUARIO</v>
      </c>
      <c r="P598" s="64" t="str">
        <f>IFERROR(__xludf.DUMMYFUNCTION("""COMPUTED_VALUE"""),"DOBLE REMOLQUE")</f>
        <v>DOBLE REMOLQUE</v>
      </c>
      <c r="Q598" s="64" t="str">
        <f>IFERROR(__xludf.DUMMYFUNCTION("""COMPUTED_VALUE"""),"SINAPRESE")</f>
        <v>SINAPRESE</v>
      </c>
      <c r="R598" s="64" t="str">
        <f>IFERROR(__xludf.DUMMYFUNCTION("""COMPUTED_VALUE"""),"APOYO ATLETISMO")</f>
        <v>APOYO ATLETISMO</v>
      </c>
      <c r="S598" s="64" t="str">
        <f>IFERROR(__xludf.DUMMYFUNCTION("""COMPUTED_VALUE"""),"APOYO A CICLISMO")</f>
        <v>APOYO A CICLISMO</v>
      </c>
      <c r="T598" s="64" t="str">
        <f>IFERROR(__xludf.DUMMYFUNCTION("""COMPUTED_VALUE"""),"DESCARGA DE BATERÍA")</f>
        <v>DESCARGA DE BATERÍA</v>
      </c>
      <c r="U598" s="64" t="str">
        <f>IFERROR(__xludf.DUMMYFUNCTION("""COMPUTED_VALUE"""),"PROBLEMAS DE SALUD")</f>
        <v>PROBLEMAS DE SALUD</v>
      </c>
      <c r="V598" s="64" t="str">
        <f>IFERROR(__xludf.DUMMYFUNCTION("""COMPUTED_VALUE"""),"OLVIDO LA LLAVE")</f>
        <v>OLVIDO LA LLAVE</v>
      </c>
      <c r="W598" s="64" t="str">
        <f>IFERROR(__xludf.DUMMYFUNCTION("""COMPUTED_VALUE"""),"CARGA SOBREDIMENSIONADA")</f>
        <v>CARGA SOBREDIMENSIONADA</v>
      </c>
      <c r="X598" s="64" t="str">
        <f>IFERROR(__xludf.DUMMYFUNCTION("""COMPUTED_VALUE"""),"VEHÍCULO ABANDONADO")</f>
        <v>VEHÍCULO ABANDONADO</v>
      </c>
      <c r="Y598" s="64" t="str">
        <f>IFERROR(__xludf.DUMMYFUNCTION("""COMPUTED_VALUE"""),"DESPRENDIMIENTO")</f>
        <v>DESPRENDIMIENTO</v>
      </c>
      <c r="Z598" s="64" t="str">
        <f>IFERROR(__xludf.DUMMYFUNCTION("""COMPUTED_VALUE"""),"CAÍDA DE POSTE")</f>
        <v>CAÍDA DE POSTE</v>
      </c>
      <c r="AA598" s="64" t="str">
        <f>IFERROR(__xludf.DUMMYFUNCTION("""COMPUTED_VALUE"""),"CAÍDA DE RAMA")</f>
        <v>CAÍDA DE RAMA</v>
      </c>
      <c r="AB598" s="64" t="str">
        <f>IFERROR(__xludf.DUMMYFUNCTION("""COMPUTED_VALUE"""),"OPERATIVO DGT")</f>
        <v>OPERATIVO DGT</v>
      </c>
      <c r="AC598" s="64" t="str">
        <f>IFERROR(__xludf.DUMMYFUNCTION("""COMPUTED_VALUE"""),"OPERATIVO PMT")</f>
        <v>OPERATIVO PMT</v>
      </c>
      <c r="AD598" s="64" t="str">
        <f>IFERROR(__xludf.DUMMYFUNCTION("""COMPUTED_VALUE"""),"APOYO A DIGEF")</f>
        <v>APOYO A DIGEF</v>
      </c>
      <c r="AE598" s="64" t="str">
        <f>IFERROR(__xludf.DUMMYFUNCTION("""COMPUTED_VALUE"""),"OPERATIVO PNC TRANSITO")</f>
        <v>OPERATIVO PNC TRANSITO</v>
      </c>
      <c r="AF598" s="64" t="str">
        <f>IFERROR(__xludf.DUMMYFUNCTION("""COMPUTED_VALUE"""),"SOBRECARGA ")</f>
        <v>SOBRECARGA </v>
      </c>
      <c r="AG598" s="64" t="str">
        <f>IFERROR(__xludf.DUMMYFUNCTION("""COMPUTED_VALUE"""),"OPERATIVO EN CONJUNTO")</f>
        <v>OPERATIVO EN CONJUNTO</v>
      </c>
      <c r="AH598" s="64" t="str">
        <f>IFERROR(__xludf.DUMMYFUNCTION("""COMPUTED_VALUE"""),"PUESTO DE ATENCION AL USUARIO")</f>
        <v>PUESTO DE ATENCION AL USUARIO</v>
      </c>
      <c r="AI598" s="64" t="str">
        <f>IFERROR(__xludf.DUMMYFUNCTION("""COMPUTED_VALUE"""),"INCENDIO EN RUTA")</f>
        <v>INCENDIO EN RUTA</v>
      </c>
      <c r="AJ598" s="64" t="str">
        <f>IFERROR(__xludf.DUMMYFUNCTION("""COMPUTED_VALUE"""),"APOYO ANTORCHA ")</f>
        <v>APOYO ANTORCHA </v>
      </c>
    </row>
    <row r="599">
      <c r="B599" s="64" t="s">
        <v>54</v>
      </c>
      <c r="C599" s="64" t="str">
        <f>IFERROR(__xludf.DUMMYFUNCTION(" TRANSPOSE( unique ( QUERY(DATOPRO,""select Col2 where Col1 = '""&amp;B599&amp;""'"")))"),"PINCHAZO")</f>
        <v>PINCHAZO</v>
      </c>
      <c r="D599" s="64" t="str">
        <f>IFERROR(__xludf.DUMMYFUNCTION("""COMPUTED_VALUE"""),"TRABAJOS DE CARRETERA")</f>
        <v>TRABAJOS DE CARRETERA</v>
      </c>
      <c r="E599" s="64" t="str">
        <f>IFERROR(__xludf.DUMMYFUNCTION("""COMPUTED_VALUE"""),"CONSIGNACIÓN")</f>
        <v>CONSIGNACIÓN</v>
      </c>
      <c r="F599" s="64" t="str">
        <f>IFERROR(__xludf.DUMMYFUNCTION("""COMPUTED_VALUE"""),"DERRAME")</f>
        <v>DERRAME</v>
      </c>
      <c r="G599" s="64" t="str">
        <f>IFERROR(__xludf.DUMMYFUNCTION("""COMPUTED_VALUE"""),"CALENTAMIENTO")</f>
        <v>CALENTAMIENTO</v>
      </c>
      <c r="H599" s="64" t="str">
        <f>IFERROR(__xludf.DUMMYFUNCTION("""COMPUTED_VALUE"""),"ESCOLTANDO")</f>
        <v>ESCOLTANDO</v>
      </c>
      <c r="I599" s="64" t="str">
        <f>IFERROR(__xludf.DUMMYFUNCTION("""COMPUTED_VALUE"""),"FALTA DE COMBUSTIBLE")</f>
        <v>FALTA DE COMBUSTIBLE</v>
      </c>
      <c r="J599" s="64" t="str">
        <f>IFERROR(__xludf.DUMMYFUNCTION("""COMPUTED_VALUE"""),"DESPERFECTOS MECÁNICOS")</f>
        <v>DESPERFECTOS MECÁNICOS</v>
      </c>
      <c r="K599" s="64" t="str">
        <f>IFERROR(__xludf.DUMMYFUNCTION("""COMPUTED_VALUE"""),"LLAMADA DE ATENCIÓN")</f>
        <v>LLAMADA DE ATENCIÓN</v>
      </c>
      <c r="L599" s="64" t="str">
        <f>IFERROR(__xludf.DUMMYFUNCTION("""COMPUTED_VALUE"""),"OPERATIVOS")</f>
        <v>OPERATIVOS</v>
      </c>
      <c r="M599" s="64" t="str">
        <f>IFERROR(__xludf.DUMMYFUNCTION("""COMPUTED_VALUE"""),"SANCIÓN")</f>
        <v>SANCIÓN</v>
      </c>
      <c r="N599" s="64" t="str">
        <f>IFERROR(__xludf.DUMMYFUNCTION("""COMPUTED_VALUE"""),"SISTEMA ELECTRICO")</f>
        <v>SISTEMA ELECTRICO</v>
      </c>
      <c r="O599" s="64" t="str">
        <f>IFERROR(__xludf.DUMMYFUNCTION("""COMPUTED_VALUE"""),"ASISTENCIA AL USUARIO")</f>
        <v>ASISTENCIA AL USUARIO</v>
      </c>
      <c r="P599" s="64" t="str">
        <f>IFERROR(__xludf.DUMMYFUNCTION("""COMPUTED_VALUE"""),"DOBLE REMOLQUE")</f>
        <v>DOBLE REMOLQUE</v>
      </c>
      <c r="Q599" s="64" t="str">
        <f>IFERROR(__xludf.DUMMYFUNCTION("""COMPUTED_VALUE"""),"SINAPRESE")</f>
        <v>SINAPRESE</v>
      </c>
      <c r="R599" s="64" t="str">
        <f>IFERROR(__xludf.DUMMYFUNCTION("""COMPUTED_VALUE"""),"APOYO ATLETISMO")</f>
        <v>APOYO ATLETISMO</v>
      </c>
      <c r="S599" s="64" t="str">
        <f>IFERROR(__xludf.DUMMYFUNCTION("""COMPUTED_VALUE"""),"APOYO A CICLISMO")</f>
        <v>APOYO A CICLISMO</v>
      </c>
      <c r="T599" s="64" t="str">
        <f>IFERROR(__xludf.DUMMYFUNCTION("""COMPUTED_VALUE"""),"DESCARGA DE BATERÍA")</f>
        <v>DESCARGA DE BATERÍA</v>
      </c>
      <c r="U599" s="64" t="str">
        <f>IFERROR(__xludf.DUMMYFUNCTION("""COMPUTED_VALUE"""),"PROBLEMAS DE SALUD")</f>
        <v>PROBLEMAS DE SALUD</v>
      </c>
      <c r="V599" s="64" t="str">
        <f>IFERROR(__xludf.DUMMYFUNCTION("""COMPUTED_VALUE"""),"OLVIDO LA LLAVE")</f>
        <v>OLVIDO LA LLAVE</v>
      </c>
      <c r="W599" s="64" t="str">
        <f>IFERROR(__xludf.DUMMYFUNCTION("""COMPUTED_VALUE"""),"CARGA SOBREDIMENSIONADA")</f>
        <v>CARGA SOBREDIMENSIONADA</v>
      </c>
      <c r="X599" s="64" t="str">
        <f>IFERROR(__xludf.DUMMYFUNCTION("""COMPUTED_VALUE"""),"VEHÍCULO ABANDONADO")</f>
        <v>VEHÍCULO ABANDONADO</v>
      </c>
      <c r="Y599" s="64" t="str">
        <f>IFERROR(__xludf.DUMMYFUNCTION("""COMPUTED_VALUE"""),"DESPRENDIMIENTO")</f>
        <v>DESPRENDIMIENTO</v>
      </c>
      <c r="Z599" s="64" t="str">
        <f>IFERROR(__xludf.DUMMYFUNCTION("""COMPUTED_VALUE"""),"CAÍDA DE POSTE")</f>
        <v>CAÍDA DE POSTE</v>
      </c>
      <c r="AA599" s="64" t="str">
        <f>IFERROR(__xludf.DUMMYFUNCTION("""COMPUTED_VALUE"""),"CAÍDA DE RAMA")</f>
        <v>CAÍDA DE RAMA</v>
      </c>
      <c r="AB599" s="64" t="str">
        <f>IFERROR(__xludf.DUMMYFUNCTION("""COMPUTED_VALUE"""),"OPERATIVO DGT")</f>
        <v>OPERATIVO DGT</v>
      </c>
      <c r="AC599" s="64" t="str">
        <f>IFERROR(__xludf.DUMMYFUNCTION("""COMPUTED_VALUE"""),"OPERATIVO PMT")</f>
        <v>OPERATIVO PMT</v>
      </c>
      <c r="AD599" s="64" t="str">
        <f>IFERROR(__xludf.DUMMYFUNCTION("""COMPUTED_VALUE"""),"APOYO A DIGEF")</f>
        <v>APOYO A DIGEF</v>
      </c>
      <c r="AE599" s="64" t="str">
        <f>IFERROR(__xludf.DUMMYFUNCTION("""COMPUTED_VALUE"""),"OPERATIVO PNC TRANSITO")</f>
        <v>OPERATIVO PNC TRANSITO</v>
      </c>
      <c r="AF599" s="64" t="str">
        <f>IFERROR(__xludf.DUMMYFUNCTION("""COMPUTED_VALUE"""),"SOBRECARGA ")</f>
        <v>SOBRECARGA </v>
      </c>
      <c r="AG599" s="64" t="str">
        <f>IFERROR(__xludf.DUMMYFUNCTION("""COMPUTED_VALUE"""),"OPERATIVO EN CONJUNTO")</f>
        <v>OPERATIVO EN CONJUNTO</v>
      </c>
      <c r="AH599" s="64" t="str">
        <f>IFERROR(__xludf.DUMMYFUNCTION("""COMPUTED_VALUE"""),"PUESTO DE ATENCION AL USUARIO")</f>
        <v>PUESTO DE ATENCION AL USUARIO</v>
      </c>
      <c r="AI599" s="64" t="str">
        <f>IFERROR(__xludf.DUMMYFUNCTION("""COMPUTED_VALUE"""),"INCENDIO EN RUTA")</f>
        <v>INCENDIO EN RUTA</v>
      </c>
      <c r="AJ599" s="64" t="str">
        <f>IFERROR(__xludf.DUMMYFUNCTION("""COMPUTED_VALUE"""),"APOYO ANTORCHA ")</f>
        <v>APOYO ANTORCHA </v>
      </c>
    </row>
    <row r="600">
      <c r="B600" s="64" t="s">
        <v>54</v>
      </c>
      <c r="C600" s="64" t="str">
        <f>IFERROR(__xludf.DUMMYFUNCTION(" TRANSPOSE( unique ( QUERY(DATOPRO,""select Col2 where Col1 = '""&amp;B600&amp;""'"")))"),"PINCHAZO")</f>
        <v>PINCHAZO</v>
      </c>
      <c r="D600" s="64" t="str">
        <f>IFERROR(__xludf.DUMMYFUNCTION("""COMPUTED_VALUE"""),"TRABAJOS DE CARRETERA")</f>
        <v>TRABAJOS DE CARRETERA</v>
      </c>
      <c r="E600" s="64" t="str">
        <f>IFERROR(__xludf.DUMMYFUNCTION("""COMPUTED_VALUE"""),"CONSIGNACIÓN")</f>
        <v>CONSIGNACIÓN</v>
      </c>
      <c r="F600" s="64" t="str">
        <f>IFERROR(__xludf.DUMMYFUNCTION("""COMPUTED_VALUE"""),"DERRAME")</f>
        <v>DERRAME</v>
      </c>
      <c r="G600" s="64" t="str">
        <f>IFERROR(__xludf.DUMMYFUNCTION("""COMPUTED_VALUE"""),"CALENTAMIENTO")</f>
        <v>CALENTAMIENTO</v>
      </c>
      <c r="H600" s="64" t="str">
        <f>IFERROR(__xludf.DUMMYFUNCTION("""COMPUTED_VALUE"""),"ESCOLTANDO")</f>
        <v>ESCOLTANDO</v>
      </c>
      <c r="I600" s="64" t="str">
        <f>IFERROR(__xludf.DUMMYFUNCTION("""COMPUTED_VALUE"""),"FALTA DE COMBUSTIBLE")</f>
        <v>FALTA DE COMBUSTIBLE</v>
      </c>
      <c r="J600" s="64" t="str">
        <f>IFERROR(__xludf.DUMMYFUNCTION("""COMPUTED_VALUE"""),"DESPERFECTOS MECÁNICOS")</f>
        <v>DESPERFECTOS MECÁNICOS</v>
      </c>
      <c r="K600" s="64" t="str">
        <f>IFERROR(__xludf.DUMMYFUNCTION("""COMPUTED_VALUE"""),"LLAMADA DE ATENCIÓN")</f>
        <v>LLAMADA DE ATENCIÓN</v>
      </c>
      <c r="L600" s="64" t="str">
        <f>IFERROR(__xludf.DUMMYFUNCTION("""COMPUTED_VALUE"""),"OPERATIVOS")</f>
        <v>OPERATIVOS</v>
      </c>
      <c r="M600" s="64" t="str">
        <f>IFERROR(__xludf.DUMMYFUNCTION("""COMPUTED_VALUE"""),"SANCIÓN")</f>
        <v>SANCIÓN</v>
      </c>
      <c r="N600" s="64" t="str">
        <f>IFERROR(__xludf.DUMMYFUNCTION("""COMPUTED_VALUE"""),"SISTEMA ELECTRICO")</f>
        <v>SISTEMA ELECTRICO</v>
      </c>
      <c r="O600" s="64" t="str">
        <f>IFERROR(__xludf.DUMMYFUNCTION("""COMPUTED_VALUE"""),"ASISTENCIA AL USUARIO")</f>
        <v>ASISTENCIA AL USUARIO</v>
      </c>
      <c r="P600" s="64" t="str">
        <f>IFERROR(__xludf.DUMMYFUNCTION("""COMPUTED_VALUE"""),"DOBLE REMOLQUE")</f>
        <v>DOBLE REMOLQUE</v>
      </c>
      <c r="Q600" s="64" t="str">
        <f>IFERROR(__xludf.DUMMYFUNCTION("""COMPUTED_VALUE"""),"SINAPRESE")</f>
        <v>SINAPRESE</v>
      </c>
      <c r="R600" s="64" t="str">
        <f>IFERROR(__xludf.DUMMYFUNCTION("""COMPUTED_VALUE"""),"APOYO ATLETISMO")</f>
        <v>APOYO ATLETISMO</v>
      </c>
      <c r="S600" s="64" t="str">
        <f>IFERROR(__xludf.DUMMYFUNCTION("""COMPUTED_VALUE"""),"APOYO A CICLISMO")</f>
        <v>APOYO A CICLISMO</v>
      </c>
      <c r="T600" s="64" t="str">
        <f>IFERROR(__xludf.DUMMYFUNCTION("""COMPUTED_VALUE"""),"DESCARGA DE BATERÍA")</f>
        <v>DESCARGA DE BATERÍA</v>
      </c>
      <c r="U600" s="64" t="str">
        <f>IFERROR(__xludf.DUMMYFUNCTION("""COMPUTED_VALUE"""),"PROBLEMAS DE SALUD")</f>
        <v>PROBLEMAS DE SALUD</v>
      </c>
      <c r="V600" s="64" t="str">
        <f>IFERROR(__xludf.DUMMYFUNCTION("""COMPUTED_VALUE"""),"OLVIDO LA LLAVE")</f>
        <v>OLVIDO LA LLAVE</v>
      </c>
      <c r="W600" s="64" t="str">
        <f>IFERROR(__xludf.DUMMYFUNCTION("""COMPUTED_VALUE"""),"CARGA SOBREDIMENSIONADA")</f>
        <v>CARGA SOBREDIMENSIONADA</v>
      </c>
      <c r="X600" s="64" t="str">
        <f>IFERROR(__xludf.DUMMYFUNCTION("""COMPUTED_VALUE"""),"VEHÍCULO ABANDONADO")</f>
        <v>VEHÍCULO ABANDONADO</v>
      </c>
      <c r="Y600" s="64" t="str">
        <f>IFERROR(__xludf.DUMMYFUNCTION("""COMPUTED_VALUE"""),"DESPRENDIMIENTO")</f>
        <v>DESPRENDIMIENTO</v>
      </c>
      <c r="Z600" s="64" t="str">
        <f>IFERROR(__xludf.DUMMYFUNCTION("""COMPUTED_VALUE"""),"CAÍDA DE POSTE")</f>
        <v>CAÍDA DE POSTE</v>
      </c>
      <c r="AA600" s="64" t="str">
        <f>IFERROR(__xludf.DUMMYFUNCTION("""COMPUTED_VALUE"""),"CAÍDA DE RAMA")</f>
        <v>CAÍDA DE RAMA</v>
      </c>
      <c r="AB600" s="64" t="str">
        <f>IFERROR(__xludf.DUMMYFUNCTION("""COMPUTED_VALUE"""),"OPERATIVO DGT")</f>
        <v>OPERATIVO DGT</v>
      </c>
      <c r="AC600" s="64" t="str">
        <f>IFERROR(__xludf.DUMMYFUNCTION("""COMPUTED_VALUE"""),"OPERATIVO PMT")</f>
        <v>OPERATIVO PMT</v>
      </c>
      <c r="AD600" s="64" t="str">
        <f>IFERROR(__xludf.DUMMYFUNCTION("""COMPUTED_VALUE"""),"APOYO A DIGEF")</f>
        <v>APOYO A DIGEF</v>
      </c>
      <c r="AE600" s="64" t="str">
        <f>IFERROR(__xludf.DUMMYFUNCTION("""COMPUTED_VALUE"""),"OPERATIVO PNC TRANSITO")</f>
        <v>OPERATIVO PNC TRANSITO</v>
      </c>
      <c r="AF600" s="64" t="str">
        <f>IFERROR(__xludf.DUMMYFUNCTION("""COMPUTED_VALUE"""),"SOBRECARGA ")</f>
        <v>SOBRECARGA </v>
      </c>
      <c r="AG600" s="64" t="str">
        <f>IFERROR(__xludf.DUMMYFUNCTION("""COMPUTED_VALUE"""),"OPERATIVO EN CONJUNTO")</f>
        <v>OPERATIVO EN CONJUNTO</v>
      </c>
      <c r="AH600" s="64" t="str">
        <f>IFERROR(__xludf.DUMMYFUNCTION("""COMPUTED_VALUE"""),"PUESTO DE ATENCION AL USUARIO")</f>
        <v>PUESTO DE ATENCION AL USUARIO</v>
      </c>
      <c r="AI600" s="64" t="str">
        <f>IFERROR(__xludf.DUMMYFUNCTION("""COMPUTED_VALUE"""),"INCENDIO EN RUTA")</f>
        <v>INCENDIO EN RUTA</v>
      </c>
      <c r="AJ600" s="64" t="str">
        <f>IFERROR(__xludf.DUMMYFUNCTION("""COMPUTED_VALUE"""),"APOYO ANTORCHA ")</f>
        <v>APOYO ANTORCHA </v>
      </c>
    </row>
    <row r="601">
      <c r="B601" s="64" t="s">
        <v>54</v>
      </c>
      <c r="C601" s="64" t="str">
        <f>IFERROR(__xludf.DUMMYFUNCTION(" TRANSPOSE( unique ( QUERY(DATOPRO,""select Col2 where Col1 = '""&amp;B601&amp;""'"")))"),"PINCHAZO")</f>
        <v>PINCHAZO</v>
      </c>
      <c r="D601" s="64" t="str">
        <f>IFERROR(__xludf.DUMMYFUNCTION("""COMPUTED_VALUE"""),"TRABAJOS DE CARRETERA")</f>
        <v>TRABAJOS DE CARRETERA</v>
      </c>
      <c r="E601" s="64" t="str">
        <f>IFERROR(__xludf.DUMMYFUNCTION("""COMPUTED_VALUE"""),"CONSIGNACIÓN")</f>
        <v>CONSIGNACIÓN</v>
      </c>
      <c r="F601" s="64" t="str">
        <f>IFERROR(__xludf.DUMMYFUNCTION("""COMPUTED_VALUE"""),"DERRAME")</f>
        <v>DERRAME</v>
      </c>
      <c r="G601" s="64" t="str">
        <f>IFERROR(__xludf.DUMMYFUNCTION("""COMPUTED_VALUE"""),"CALENTAMIENTO")</f>
        <v>CALENTAMIENTO</v>
      </c>
      <c r="H601" s="64" t="str">
        <f>IFERROR(__xludf.DUMMYFUNCTION("""COMPUTED_VALUE"""),"ESCOLTANDO")</f>
        <v>ESCOLTANDO</v>
      </c>
      <c r="I601" s="64" t="str">
        <f>IFERROR(__xludf.DUMMYFUNCTION("""COMPUTED_VALUE"""),"FALTA DE COMBUSTIBLE")</f>
        <v>FALTA DE COMBUSTIBLE</v>
      </c>
      <c r="J601" s="64" t="str">
        <f>IFERROR(__xludf.DUMMYFUNCTION("""COMPUTED_VALUE"""),"DESPERFECTOS MECÁNICOS")</f>
        <v>DESPERFECTOS MECÁNICOS</v>
      </c>
      <c r="K601" s="64" t="str">
        <f>IFERROR(__xludf.DUMMYFUNCTION("""COMPUTED_VALUE"""),"LLAMADA DE ATENCIÓN")</f>
        <v>LLAMADA DE ATENCIÓN</v>
      </c>
      <c r="L601" s="64" t="str">
        <f>IFERROR(__xludf.DUMMYFUNCTION("""COMPUTED_VALUE"""),"OPERATIVOS")</f>
        <v>OPERATIVOS</v>
      </c>
      <c r="M601" s="64" t="str">
        <f>IFERROR(__xludf.DUMMYFUNCTION("""COMPUTED_VALUE"""),"SANCIÓN")</f>
        <v>SANCIÓN</v>
      </c>
      <c r="N601" s="64" t="str">
        <f>IFERROR(__xludf.DUMMYFUNCTION("""COMPUTED_VALUE"""),"SISTEMA ELECTRICO")</f>
        <v>SISTEMA ELECTRICO</v>
      </c>
      <c r="O601" s="64" t="str">
        <f>IFERROR(__xludf.DUMMYFUNCTION("""COMPUTED_VALUE"""),"ASISTENCIA AL USUARIO")</f>
        <v>ASISTENCIA AL USUARIO</v>
      </c>
      <c r="P601" s="64" t="str">
        <f>IFERROR(__xludf.DUMMYFUNCTION("""COMPUTED_VALUE"""),"DOBLE REMOLQUE")</f>
        <v>DOBLE REMOLQUE</v>
      </c>
      <c r="Q601" s="64" t="str">
        <f>IFERROR(__xludf.DUMMYFUNCTION("""COMPUTED_VALUE"""),"SINAPRESE")</f>
        <v>SINAPRESE</v>
      </c>
      <c r="R601" s="64" t="str">
        <f>IFERROR(__xludf.DUMMYFUNCTION("""COMPUTED_VALUE"""),"APOYO ATLETISMO")</f>
        <v>APOYO ATLETISMO</v>
      </c>
      <c r="S601" s="64" t="str">
        <f>IFERROR(__xludf.DUMMYFUNCTION("""COMPUTED_VALUE"""),"APOYO A CICLISMO")</f>
        <v>APOYO A CICLISMO</v>
      </c>
      <c r="T601" s="64" t="str">
        <f>IFERROR(__xludf.DUMMYFUNCTION("""COMPUTED_VALUE"""),"DESCARGA DE BATERÍA")</f>
        <v>DESCARGA DE BATERÍA</v>
      </c>
      <c r="U601" s="64" t="str">
        <f>IFERROR(__xludf.DUMMYFUNCTION("""COMPUTED_VALUE"""),"PROBLEMAS DE SALUD")</f>
        <v>PROBLEMAS DE SALUD</v>
      </c>
      <c r="V601" s="64" t="str">
        <f>IFERROR(__xludf.DUMMYFUNCTION("""COMPUTED_VALUE"""),"OLVIDO LA LLAVE")</f>
        <v>OLVIDO LA LLAVE</v>
      </c>
      <c r="W601" s="64" t="str">
        <f>IFERROR(__xludf.DUMMYFUNCTION("""COMPUTED_VALUE"""),"CARGA SOBREDIMENSIONADA")</f>
        <v>CARGA SOBREDIMENSIONADA</v>
      </c>
      <c r="X601" s="64" t="str">
        <f>IFERROR(__xludf.DUMMYFUNCTION("""COMPUTED_VALUE"""),"VEHÍCULO ABANDONADO")</f>
        <v>VEHÍCULO ABANDONADO</v>
      </c>
      <c r="Y601" s="64" t="str">
        <f>IFERROR(__xludf.DUMMYFUNCTION("""COMPUTED_VALUE"""),"DESPRENDIMIENTO")</f>
        <v>DESPRENDIMIENTO</v>
      </c>
      <c r="Z601" s="64" t="str">
        <f>IFERROR(__xludf.DUMMYFUNCTION("""COMPUTED_VALUE"""),"CAÍDA DE POSTE")</f>
        <v>CAÍDA DE POSTE</v>
      </c>
      <c r="AA601" s="64" t="str">
        <f>IFERROR(__xludf.DUMMYFUNCTION("""COMPUTED_VALUE"""),"CAÍDA DE RAMA")</f>
        <v>CAÍDA DE RAMA</v>
      </c>
      <c r="AB601" s="64" t="str">
        <f>IFERROR(__xludf.DUMMYFUNCTION("""COMPUTED_VALUE"""),"OPERATIVO DGT")</f>
        <v>OPERATIVO DGT</v>
      </c>
      <c r="AC601" s="64" t="str">
        <f>IFERROR(__xludf.DUMMYFUNCTION("""COMPUTED_VALUE"""),"OPERATIVO PMT")</f>
        <v>OPERATIVO PMT</v>
      </c>
      <c r="AD601" s="64" t="str">
        <f>IFERROR(__xludf.DUMMYFUNCTION("""COMPUTED_VALUE"""),"APOYO A DIGEF")</f>
        <v>APOYO A DIGEF</v>
      </c>
      <c r="AE601" s="64" t="str">
        <f>IFERROR(__xludf.DUMMYFUNCTION("""COMPUTED_VALUE"""),"OPERATIVO PNC TRANSITO")</f>
        <v>OPERATIVO PNC TRANSITO</v>
      </c>
      <c r="AF601" s="64" t="str">
        <f>IFERROR(__xludf.DUMMYFUNCTION("""COMPUTED_VALUE"""),"SOBRECARGA ")</f>
        <v>SOBRECARGA </v>
      </c>
      <c r="AG601" s="64" t="str">
        <f>IFERROR(__xludf.DUMMYFUNCTION("""COMPUTED_VALUE"""),"OPERATIVO EN CONJUNTO")</f>
        <v>OPERATIVO EN CONJUNTO</v>
      </c>
      <c r="AH601" s="64" t="str">
        <f>IFERROR(__xludf.DUMMYFUNCTION("""COMPUTED_VALUE"""),"PUESTO DE ATENCION AL USUARIO")</f>
        <v>PUESTO DE ATENCION AL USUARIO</v>
      </c>
      <c r="AI601" s="64" t="str">
        <f>IFERROR(__xludf.DUMMYFUNCTION("""COMPUTED_VALUE"""),"INCENDIO EN RUTA")</f>
        <v>INCENDIO EN RUTA</v>
      </c>
      <c r="AJ601" s="64" t="str">
        <f>IFERROR(__xludf.DUMMYFUNCTION("""COMPUTED_VALUE"""),"APOYO ANTORCHA ")</f>
        <v>APOYO ANTORCHA </v>
      </c>
    </row>
    <row r="602">
      <c r="B602" s="64" t="s">
        <v>54</v>
      </c>
      <c r="C602" s="64" t="str">
        <f>IFERROR(__xludf.DUMMYFUNCTION(" TRANSPOSE( unique ( QUERY(DATOPRO,""select Col2 where Col1 = '""&amp;B602&amp;""'"")))"),"PINCHAZO")</f>
        <v>PINCHAZO</v>
      </c>
      <c r="D602" s="64" t="str">
        <f>IFERROR(__xludf.DUMMYFUNCTION("""COMPUTED_VALUE"""),"TRABAJOS DE CARRETERA")</f>
        <v>TRABAJOS DE CARRETERA</v>
      </c>
      <c r="E602" s="64" t="str">
        <f>IFERROR(__xludf.DUMMYFUNCTION("""COMPUTED_VALUE"""),"CONSIGNACIÓN")</f>
        <v>CONSIGNACIÓN</v>
      </c>
      <c r="F602" s="64" t="str">
        <f>IFERROR(__xludf.DUMMYFUNCTION("""COMPUTED_VALUE"""),"DERRAME")</f>
        <v>DERRAME</v>
      </c>
      <c r="G602" s="64" t="str">
        <f>IFERROR(__xludf.DUMMYFUNCTION("""COMPUTED_VALUE"""),"CALENTAMIENTO")</f>
        <v>CALENTAMIENTO</v>
      </c>
      <c r="H602" s="64" t="str">
        <f>IFERROR(__xludf.DUMMYFUNCTION("""COMPUTED_VALUE"""),"ESCOLTANDO")</f>
        <v>ESCOLTANDO</v>
      </c>
      <c r="I602" s="64" t="str">
        <f>IFERROR(__xludf.DUMMYFUNCTION("""COMPUTED_VALUE"""),"FALTA DE COMBUSTIBLE")</f>
        <v>FALTA DE COMBUSTIBLE</v>
      </c>
      <c r="J602" s="64" t="str">
        <f>IFERROR(__xludf.DUMMYFUNCTION("""COMPUTED_VALUE"""),"DESPERFECTOS MECÁNICOS")</f>
        <v>DESPERFECTOS MECÁNICOS</v>
      </c>
      <c r="K602" s="64" t="str">
        <f>IFERROR(__xludf.DUMMYFUNCTION("""COMPUTED_VALUE"""),"LLAMADA DE ATENCIÓN")</f>
        <v>LLAMADA DE ATENCIÓN</v>
      </c>
      <c r="L602" s="64" t="str">
        <f>IFERROR(__xludf.DUMMYFUNCTION("""COMPUTED_VALUE"""),"OPERATIVOS")</f>
        <v>OPERATIVOS</v>
      </c>
      <c r="M602" s="64" t="str">
        <f>IFERROR(__xludf.DUMMYFUNCTION("""COMPUTED_VALUE"""),"SANCIÓN")</f>
        <v>SANCIÓN</v>
      </c>
      <c r="N602" s="64" t="str">
        <f>IFERROR(__xludf.DUMMYFUNCTION("""COMPUTED_VALUE"""),"SISTEMA ELECTRICO")</f>
        <v>SISTEMA ELECTRICO</v>
      </c>
      <c r="O602" s="64" t="str">
        <f>IFERROR(__xludf.DUMMYFUNCTION("""COMPUTED_VALUE"""),"ASISTENCIA AL USUARIO")</f>
        <v>ASISTENCIA AL USUARIO</v>
      </c>
      <c r="P602" s="64" t="str">
        <f>IFERROR(__xludf.DUMMYFUNCTION("""COMPUTED_VALUE"""),"DOBLE REMOLQUE")</f>
        <v>DOBLE REMOLQUE</v>
      </c>
      <c r="Q602" s="64" t="str">
        <f>IFERROR(__xludf.DUMMYFUNCTION("""COMPUTED_VALUE"""),"SINAPRESE")</f>
        <v>SINAPRESE</v>
      </c>
      <c r="R602" s="64" t="str">
        <f>IFERROR(__xludf.DUMMYFUNCTION("""COMPUTED_VALUE"""),"APOYO ATLETISMO")</f>
        <v>APOYO ATLETISMO</v>
      </c>
      <c r="S602" s="64" t="str">
        <f>IFERROR(__xludf.DUMMYFUNCTION("""COMPUTED_VALUE"""),"APOYO A CICLISMO")</f>
        <v>APOYO A CICLISMO</v>
      </c>
      <c r="T602" s="64" t="str">
        <f>IFERROR(__xludf.DUMMYFUNCTION("""COMPUTED_VALUE"""),"DESCARGA DE BATERÍA")</f>
        <v>DESCARGA DE BATERÍA</v>
      </c>
      <c r="U602" s="64" t="str">
        <f>IFERROR(__xludf.DUMMYFUNCTION("""COMPUTED_VALUE"""),"PROBLEMAS DE SALUD")</f>
        <v>PROBLEMAS DE SALUD</v>
      </c>
      <c r="V602" s="64" t="str">
        <f>IFERROR(__xludf.DUMMYFUNCTION("""COMPUTED_VALUE"""),"OLVIDO LA LLAVE")</f>
        <v>OLVIDO LA LLAVE</v>
      </c>
      <c r="W602" s="64" t="str">
        <f>IFERROR(__xludf.DUMMYFUNCTION("""COMPUTED_VALUE"""),"CARGA SOBREDIMENSIONADA")</f>
        <v>CARGA SOBREDIMENSIONADA</v>
      </c>
      <c r="X602" s="64" t="str">
        <f>IFERROR(__xludf.DUMMYFUNCTION("""COMPUTED_VALUE"""),"VEHÍCULO ABANDONADO")</f>
        <v>VEHÍCULO ABANDONADO</v>
      </c>
      <c r="Y602" s="64" t="str">
        <f>IFERROR(__xludf.DUMMYFUNCTION("""COMPUTED_VALUE"""),"DESPRENDIMIENTO")</f>
        <v>DESPRENDIMIENTO</v>
      </c>
      <c r="Z602" s="64" t="str">
        <f>IFERROR(__xludf.DUMMYFUNCTION("""COMPUTED_VALUE"""),"CAÍDA DE POSTE")</f>
        <v>CAÍDA DE POSTE</v>
      </c>
      <c r="AA602" s="64" t="str">
        <f>IFERROR(__xludf.DUMMYFUNCTION("""COMPUTED_VALUE"""),"CAÍDA DE RAMA")</f>
        <v>CAÍDA DE RAMA</v>
      </c>
      <c r="AB602" s="64" t="str">
        <f>IFERROR(__xludf.DUMMYFUNCTION("""COMPUTED_VALUE"""),"OPERATIVO DGT")</f>
        <v>OPERATIVO DGT</v>
      </c>
      <c r="AC602" s="64" t="str">
        <f>IFERROR(__xludf.DUMMYFUNCTION("""COMPUTED_VALUE"""),"OPERATIVO PMT")</f>
        <v>OPERATIVO PMT</v>
      </c>
      <c r="AD602" s="64" t="str">
        <f>IFERROR(__xludf.DUMMYFUNCTION("""COMPUTED_VALUE"""),"APOYO A DIGEF")</f>
        <v>APOYO A DIGEF</v>
      </c>
      <c r="AE602" s="64" t="str">
        <f>IFERROR(__xludf.DUMMYFUNCTION("""COMPUTED_VALUE"""),"OPERATIVO PNC TRANSITO")</f>
        <v>OPERATIVO PNC TRANSITO</v>
      </c>
      <c r="AF602" s="64" t="str">
        <f>IFERROR(__xludf.DUMMYFUNCTION("""COMPUTED_VALUE"""),"SOBRECARGA ")</f>
        <v>SOBRECARGA </v>
      </c>
      <c r="AG602" s="64" t="str">
        <f>IFERROR(__xludf.DUMMYFUNCTION("""COMPUTED_VALUE"""),"OPERATIVO EN CONJUNTO")</f>
        <v>OPERATIVO EN CONJUNTO</v>
      </c>
      <c r="AH602" s="64" t="str">
        <f>IFERROR(__xludf.DUMMYFUNCTION("""COMPUTED_VALUE"""),"PUESTO DE ATENCION AL USUARIO")</f>
        <v>PUESTO DE ATENCION AL USUARIO</v>
      </c>
      <c r="AI602" s="64" t="str">
        <f>IFERROR(__xludf.DUMMYFUNCTION("""COMPUTED_VALUE"""),"INCENDIO EN RUTA")</f>
        <v>INCENDIO EN RUTA</v>
      </c>
      <c r="AJ602" s="64" t="str">
        <f>IFERROR(__xludf.DUMMYFUNCTION("""COMPUTED_VALUE"""),"APOYO ANTORCHA ")</f>
        <v>APOYO ANTORCHA </v>
      </c>
    </row>
    <row r="603">
      <c r="B603" s="64" t="s">
        <v>54</v>
      </c>
      <c r="C603" s="64" t="str">
        <f>IFERROR(__xludf.DUMMYFUNCTION(" TRANSPOSE( unique ( QUERY(DATOPRO,""select Col2 where Col1 = '""&amp;B603&amp;""'"")))"),"PINCHAZO")</f>
        <v>PINCHAZO</v>
      </c>
      <c r="D603" s="64" t="str">
        <f>IFERROR(__xludf.DUMMYFUNCTION("""COMPUTED_VALUE"""),"TRABAJOS DE CARRETERA")</f>
        <v>TRABAJOS DE CARRETERA</v>
      </c>
      <c r="E603" s="64" t="str">
        <f>IFERROR(__xludf.DUMMYFUNCTION("""COMPUTED_VALUE"""),"CONSIGNACIÓN")</f>
        <v>CONSIGNACIÓN</v>
      </c>
      <c r="F603" s="64" t="str">
        <f>IFERROR(__xludf.DUMMYFUNCTION("""COMPUTED_VALUE"""),"DERRAME")</f>
        <v>DERRAME</v>
      </c>
      <c r="G603" s="64" t="str">
        <f>IFERROR(__xludf.DUMMYFUNCTION("""COMPUTED_VALUE"""),"CALENTAMIENTO")</f>
        <v>CALENTAMIENTO</v>
      </c>
      <c r="H603" s="64" t="str">
        <f>IFERROR(__xludf.DUMMYFUNCTION("""COMPUTED_VALUE"""),"ESCOLTANDO")</f>
        <v>ESCOLTANDO</v>
      </c>
      <c r="I603" s="64" t="str">
        <f>IFERROR(__xludf.DUMMYFUNCTION("""COMPUTED_VALUE"""),"FALTA DE COMBUSTIBLE")</f>
        <v>FALTA DE COMBUSTIBLE</v>
      </c>
      <c r="J603" s="64" t="str">
        <f>IFERROR(__xludf.DUMMYFUNCTION("""COMPUTED_VALUE"""),"DESPERFECTOS MECÁNICOS")</f>
        <v>DESPERFECTOS MECÁNICOS</v>
      </c>
      <c r="K603" s="64" t="str">
        <f>IFERROR(__xludf.DUMMYFUNCTION("""COMPUTED_VALUE"""),"LLAMADA DE ATENCIÓN")</f>
        <v>LLAMADA DE ATENCIÓN</v>
      </c>
      <c r="L603" s="64" t="str">
        <f>IFERROR(__xludf.DUMMYFUNCTION("""COMPUTED_VALUE"""),"OPERATIVOS")</f>
        <v>OPERATIVOS</v>
      </c>
      <c r="M603" s="64" t="str">
        <f>IFERROR(__xludf.DUMMYFUNCTION("""COMPUTED_VALUE"""),"SANCIÓN")</f>
        <v>SANCIÓN</v>
      </c>
      <c r="N603" s="64" t="str">
        <f>IFERROR(__xludf.DUMMYFUNCTION("""COMPUTED_VALUE"""),"SISTEMA ELECTRICO")</f>
        <v>SISTEMA ELECTRICO</v>
      </c>
      <c r="O603" s="64" t="str">
        <f>IFERROR(__xludf.DUMMYFUNCTION("""COMPUTED_VALUE"""),"ASISTENCIA AL USUARIO")</f>
        <v>ASISTENCIA AL USUARIO</v>
      </c>
      <c r="P603" s="64" t="str">
        <f>IFERROR(__xludf.DUMMYFUNCTION("""COMPUTED_VALUE"""),"DOBLE REMOLQUE")</f>
        <v>DOBLE REMOLQUE</v>
      </c>
      <c r="Q603" s="64" t="str">
        <f>IFERROR(__xludf.DUMMYFUNCTION("""COMPUTED_VALUE"""),"SINAPRESE")</f>
        <v>SINAPRESE</v>
      </c>
      <c r="R603" s="64" t="str">
        <f>IFERROR(__xludf.DUMMYFUNCTION("""COMPUTED_VALUE"""),"APOYO ATLETISMO")</f>
        <v>APOYO ATLETISMO</v>
      </c>
      <c r="S603" s="64" t="str">
        <f>IFERROR(__xludf.DUMMYFUNCTION("""COMPUTED_VALUE"""),"APOYO A CICLISMO")</f>
        <v>APOYO A CICLISMO</v>
      </c>
      <c r="T603" s="64" t="str">
        <f>IFERROR(__xludf.DUMMYFUNCTION("""COMPUTED_VALUE"""),"DESCARGA DE BATERÍA")</f>
        <v>DESCARGA DE BATERÍA</v>
      </c>
      <c r="U603" s="64" t="str">
        <f>IFERROR(__xludf.DUMMYFUNCTION("""COMPUTED_VALUE"""),"PROBLEMAS DE SALUD")</f>
        <v>PROBLEMAS DE SALUD</v>
      </c>
      <c r="V603" s="64" t="str">
        <f>IFERROR(__xludf.DUMMYFUNCTION("""COMPUTED_VALUE"""),"OLVIDO LA LLAVE")</f>
        <v>OLVIDO LA LLAVE</v>
      </c>
      <c r="W603" s="64" t="str">
        <f>IFERROR(__xludf.DUMMYFUNCTION("""COMPUTED_VALUE"""),"CARGA SOBREDIMENSIONADA")</f>
        <v>CARGA SOBREDIMENSIONADA</v>
      </c>
      <c r="X603" s="64" t="str">
        <f>IFERROR(__xludf.DUMMYFUNCTION("""COMPUTED_VALUE"""),"VEHÍCULO ABANDONADO")</f>
        <v>VEHÍCULO ABANDONADO</v>
      </c>
      <c r="Y603" s="64" t="str">
        <f>IFERROR(__xludf.DUMMYFUNCTION("""COMPUTED_VALUE"""),"DESPRENDIMIENTO")</f>
        <v>DESPRENDIMIENTO</v>
      </c>
      <c r="Z603" s="64" t="str">
        <f>IFERROR(__xludf.DUMMYFUNCTION("""COMPUTED_VALUE"""),"CAÍDA DE POSTE")</f>
        <v>CAÍDA DE POSTE</v>
      </c>
      <c r="AA603" s="64" t="str">
        <f>IFERROR(__xludf.DUMMYFUNCTION("""COMPUTED_VALUE"""),"CAÍDA DE RAMA")</f>
        <v>CAÍDA DE RAMA</v>
      </c>
      <c r="AB603" s="64" t="str">
        <f>IFERROR(__xludf.DUMMYFUNCTION("""COMPUTED_VALUE"""),"OPERATIVO DGT")</f>
        <v>OPERATIVO DGT</v>
      </c>
      <c r="AC603" s="64" t="str">
        <f>IFERROR(__xludf.DUMMYFUNCTION("""COMPUTED_VALUE"""),"OPERATIVO PMT")</f>
        <v>OPERATIVO PMT</v>
      </c>
      <c r="AD603" s="64" t="str">
        <f>IFERROR(__xludf.DUMMYFUNCTION("""COMPUTED_VALUE"""),"APOYO A DIGEF")</f>
        <v>APOYO A DIGEF</v>
      </c>
      <c r="AE603" s="64" t="str">
        <f>IFERROR(__xludf.DUMMYFUNCTION("""COMPUTED_VALUE"""),"OPERATIVO PNC TRANSITO")</f>
        <v>OPERATIVO PNC TRANSITO</v>
      </c>
      <c r="AF603" s="64" t="str">
        <f>IFERROR(__xludf.DUMMYFUNCTION("""COMPUTED_VALUE"""),"SOBRECARGA ")</f>
        <v>SOBRECARGA </v>
      </c>
      <c r="AG603" s="64" t="str">
        <f>IFERROR(__xludf.DUMMYFUNCTION("""COMPUTED_VALUE"""),"OPERATIVO EN CONJUNTO")</f>
        <v>OPERATIVO EN CONJUNTO</v>
      </c>
      <c r="AH603" s="64" t="str">
        <f>IFERROR(__xludf.DUMMYFUNCTION("""COMPUTED_VALUE"""),"PUESTO DE ATENCION AL USUARIO")</f>
        <v>PUESTO DE ATENCION AL USUARIO</v>
      </c>
      <c r="AI603" s="64" t="str">
        <f>IFERROR(__xludf.DUMMYFUNCTION("""COMPUTED_VALUE"""),"INCENDIO EN RUTA")</f>
        <v>INCENDIO EN RUTA</v>
      </c>
      <c r="AJ603" s="64" t="str">
        <f>IFERROR(__xludf.DUMMYFUNCTION("""COMPUTED_VALUE"""),"APOYO ANTORCHA ")</f>
        <v>APOYO ANTORCHA </v>
      </c>
    </row>
    <row r="604">
      <c r="B604" s="64" t="s">
        <v>54</v>
      </c>
      <c r="C604" s="64" t="str">
        <f>IFERROR(__xludf.DUMMYFUNCTION(" TRANSPOSE( unique ( QUERY(DATOPRO,""select Col2 where Col1 = '""&amp;B604&amp;""'"")))"),"PINCHAZO")</f>
        <v>PINCHAZO</v>
      </c>
      <c r="D604" s="64" t="str">
        <f>IFERROR(__xludf.DUMMYFUNCTION("""COMPUTED_VALUE"""),"TRABAJOS DE CARRETERA")</f>
        <v>TRABAJOS DE CARRETERA</v>
      </c>
      <c r="E604" s="64" t="str">
        <f>IFERROR(__xludf.DUMMYFUNCTION("""COMPUTED_VALUE"""),"CONSIGNACIÓN")</f>
        <v>CONSIGNACIÓN</v>
      </c>
      <c r="F604" s="64" t="str">
        <f>IFERROR(__xludf.DUMMYFUNCTION("""COMPUTED_VALUE"""),"DERRAME")</f>
        <v>DERRAME</v>
      </c>
      <c r="G604" s="64" t="str">
        <f>IFERROR(__xludf.DUMMYFUNCTION("""COMPUTED_VALUE"""),"CALENTAMIENTO")</f>
        <v>CALENTAMIENTO</v>
      </c>
      <c r="H604" s="64" t="str">
        <f>IFERROR(__xludf.DUMMYFUNCTION("""COMPUTED_VALUE"""),"ESCOLTANDO")</f>
        <v>ESCOLTANDO</v>
      </c>
      <c r="I604" s="64" t="str">
        <f>IFERROR(__xludf.DUMMYFUNCTION("""COMPUTED_VALUE"""),"FALTA DE COMBUSTIBLE")</f>
        <v>FALTA DE COMBUSTIBLE</v>
      </c>
      <c r="J604" s="64" t="str">
        <f>IFERROR(__xludf.DUMMYFUNCTION("""COMPUTED_VALUE"""),"DESPERFECTOS MECÁNICOS")</f>
        <v>DESPERFECTOS MECÁNICOS</v>
      </c>
      <c r="K604" s="64" t="str">
        <f>IFERROR(__xludf.DUMMYFUNCTION("""COMPUTED_VALUE"""),"LLAMADA DE ATENCIÓN")</f>
        <v>LLAMADA DE ATENCIÓN</v>
      </c>
      <c r="L604" s="64" t="str">
        <f>IFERROR(__xludf.DUMMYFUNCTION("""COMPUTED_VALUE"""),"OPERATIVOS")</f>
        <v>OPERATIVOS</v>
      </c>
      <c r="M604" s="64" t="str">
        <f>IFERROR(__xludf.DUMMYFUNCTION("""COMPUTED_VALUE"""),"SANCIÓN")</f>
        <v>SANCIÓN</v>
      </c>
      <c r="N604" s="64" t="str">
        <f>IFERROR(__xludf.DUMMYFUNCTION("""COMPUTED_VALUE"""),"SISTEMA ELECTRICO")</f>
        <v>SISTEMA ELECTRICO</v>
      </c>
      <c r="O604" s="64" t="str">
        <f>IFERROR(__xludf.DUMMYFUNCTION("""COMPUTED_VALUE"""),"ASISTENCIA AL USUARIO")</f>
        <v>ASISTENCIA AL USUARIO</v>
      </c>
      <c r="P604" s="64" t="str">
        <f>IFERROR(__xludf.DUMMYFUNCTION("""COMPUTED_VALUE"""),"DOBLE REMOLQUE")</f>
        <v>DOBLE REMOLQUE</v>
      </c>
      <c r="Q604" s="64" t="str">
        <f>IFERROR(__xludf.DUMMYFUNCTION("""COMPUTED_VALUE"""),"SINAPRESE")</f>
        <v>SINAPRESE</v>
      </c>
      <c r="R604" s="64" t="str">
        <f>IFERROR(__xludf.DUMMYFUNCTION("""COMPUTED_VALUE"""),"APOYO ATLETISMO")</f>
        <v>APOYO ATLETISMO</v>
      </c>
      <c r="S604" s="64" t="str">
        <f>IFERROR(__xludf.DUMMYFUNCTION("""COMPUTED_VALUE"""),"APOYO A CICLISMO")</f>
        <v>APOYO A CICLISMO</v>
      </c>
      <c r="T604" s="64" t="str">
        <f>IFERROR(__xludf.DUMMYFUNCTION("""COMPUTED_VALUE"""),"DESCARGA DE BATERÍA")</f>
        <v>DESCARGA DE BATERÍA</v>
      </c>
      <c r="U604" s="64" t="str">
        <f>IFERROR(__xludf.DUMMYFUNCTION("""COMPUTED_VALUE"""),"PROBLEMAS DE SALUD")</f>
        <v>PROBLEMAS DE SALUD</v>
      </c>
      <c r="V604" s="64" t="str">
        <f>IFERROR(__xludf.DUMMYFUNCTION("""COMPUTED_VALUE"""),"OLVIDO LA LLAVE")</f>
        <v>OLVIDO LA LLAVE</v>
      </c>
      <c r="W604" s="64" t="str">
        <f>IFERROR(__xludf.DUMMYFUNCTION("""COMPUTED_VALUE"""),"CARGA SOBREDIMENSIONADA")</f>
        <v>CARGA SOBREDIMENSIONADA</v>
      </c>
      <c r="X604" s="64" t="str">
        <f>IFERROR(__xludf.DUMMYFUNCTION("""COMPUTED_VALUE"""),"VEHÍCULO ABANDONADO")</f>
        <v>VEHÍCULO ABANDONADO</v>
      </c>
      <c r="Y604" s="64" t="str">
        <f>IFERROR(__xludf.DUMMYFUNCTION("""COMPUTED_VALUE"""),"DESPRENDIMIENTO")</f>
        <v>DESPRENDIMIENTO</v>
      </c>
      <c r="Z604" s="64" t="str">
        <f>IFERROR(__xludf.DUMMYFUNCTION("""COMPUTED_VALUE"""),"CAÍDA DE POSTE")</f>
        <v>CAÍDA DE POSTE</v>
      </c>
      <c r="AA604" s="64" t="str">
        <f>IFERROR(__xludf.DUMMYFUNCTION("""COMPUTED_VALUE"""),"CAÍDA DE RAMA")</f>
        <v>CAÍDA DE RAMA</v>
      </c>
      <c r="AB604" s="64" t="str">
        <f>IFERROR(__xludf.DUMMYFUNCTION("""COMPUTED_VALUE"""),"OPERATIVO DGT")</f>
        <v>OPERATIVO DGT</v>
      </c>
      <c r="AC604" s="64" t="str">
        <f>IFERROR(__xludf.DUMMYFUNCTION("""COMPUTED_VALUE"""),"OPERATIVO PMT")</f>
        <v>OPERATIVO PMT</v>
      </c>
      <c r="AD604" s="64" t="str">
        <f>IFERROR(__xludf.DUMMYFUNCTION("""COMPUTED_VALUE"""),"APOYO A DIGEF")</f>
        <v>APOYO A DIGEF</v>
      </c>
      <c r="AE604" s="64" t="str">
        <f>IFERROR(__xludf.DUMMYFUNCTION("""COMPUTED_VALUE"""),"OPERATIVO PNC TRANSITO")</f>
        <v>OPERATIVO PNC TRANSITO</v>
      </c>
      <c r="AF604" s="64" t="str">
        <f>IFERROR(__xludf.DUMMYFUNCTION("""COMPUTED_VALUE"""),"SOBRECARGA ")</f>
        <v>SOBRECARGA </v>
      </c>
      <c r="AG604" s="64" t="str">
        <f>IFERROR(__xludf.DUMMYFUNCTION("""COMPUTED_VALUE"""),"OPERATIVO EN CONJUNTO")</f>
        <v>OPERATIVO EN CONJUNTO</v>
      </c>
      <c r="AH604" s="64" t="str">
        <f>IFERROR(__xludf.DUMMYFUNCTION("""COMPUTED_VALUE"""),"PUESTO DE ATENCION AL USUARIO")</f>
        <v>PUESTO DE ATENCION AL USUARIO</v>
      </c>
      <c r="AI604" s="64" t="str">
        <f>IFERROR(__xludf.DUMMYFUNCTION("""COMPUTED_VALUE"""),"INCENDIO EN RUTA")</f>
        <v>INCENDIO EN RUTA</v>
      </c>
      <c r="AJ604" s="64" t="str">
        <f>IFERROR(__xludf.DUMMYFUNCTION("""COMPUTED_VALUE"""),"APOYO ANTORCHA ")</f>
        <v>APOYO ANTORCHA </v>
      </c>
    </row>
    <row r="605">
      <c r="B605" s="64"/>
      <c r="C605" s="64" t="str">
        <f>IFERROR(__xludf.DUMMYFUNCTION(" TRANSPOSE( unique ( QUERY(DATOPRO,""select Col2 where Col1 = '""&amp;B605&amp;""'"")))"),"")</f>
        <v/>
      </c>
    </row>
    <row r="606">
      <c r="B606" s="64"/>
      <c r="C606" s="64" t="str">
        <f>IFERROR(__xludf.DUMMYFUNCTION(" TRANSPOSE( unique ( QUERY(DATOPRO,""select Col2 where Col1 = '""&amp;B606&amp;""'"")))"),"")</f>
        <v/>
      </c>
    </row>
    <row r="607">
      <c r="B607" s="64"/>
      <c r="C607" s="64" t="str">
        <f>IFERROR(__xludf.DUMMYFUNCTION(" TRANSPOSE( unique ( QUERY(DATOPRO,""select Col2 where Col1 = '""&amp;B607&amp;""'"")))"),"")</f>
        <v/>
      </c>
    </row>
    <row r="608">
      <c r="B608" s="64" t="s">
        <v>38</v>
      </c>
      <c r="C608" s="64" t="str">
        <f>IFERROR(__xludf.DUMMYFUNCTION(" TRANSPOSE( unique ( QUERY(DATOPRO,""select Col2 where Col1 = '""&amp;B608&amp;""'"")))"),"ATAQUE ARMADO")</f>
        <v>ATAQUE ARMADO</v>
      </c>
      <c r="D608" s="64" t="str">
        <f>IFERROR(__xludf.DUMMYFUNCTION("""COMPUTED_VALUE"""),"DESBALANCE DE CARGA")</f>
        <v>DESBALANCE DE CARGA</v>
      </c>
      <c r="E608" s="64" t="str">
        <f>IFERROR(__xludf.DUMMYFUNCTION("""COMPUTED_VALUE"""),"PERSONA FALLECIDA")</f>
        <v>PERSONA FALLECIDA</v>
      </c>
      <c r="F608" s="64" t="str">
        <f>IFERROR(__xludf.DUMMYFUNCTION("""COMPUTED_VALUE"""),"DESPRENDIMIENTO DE NEUMATICO")</f>
        <v>DESPRENDIMIENTO DE NEUMATICO</v>
      </c>
      <c r="G608" s="64" t="str">
        <f>IFERROR(__xludf.DUMMYFUNCTION("""COMPUTED_VALUE"""),"SALIDA DE PISTA")</f>
        <v>SALIDA DE PISTA</v>
      </c>
      <c r="H608" s="64" t="str">
        <f>IFERROR(__xludf.DUMMYFUNCTION("""COMPUTED_VALUE"""),"DESPRENDIMIENTO DE CONTENEDOR")</f>
        <v>DESPRENDIMIENTO DE CONTENEDOR</v>
      </c>
      <c r="I608" s="64" t="str">
        <f>IFERROR(__xludf.DUMMYFUNCTION("""COMPUTED_VALUE"""),"CAÍDA DE CARGA")</f>
        <v>CAÍDA DE CARGA</v>
      </c>
      <c r="J608" s="64" t="str">
        <f>IFERROR(__xludf.DUMMYFUNCTION("""COMPUTED_VALUE"""),"CHOQUE")</f>
        <v>CHOQUE</v>
      </c>
      <c r="K608" s="64" t="str">
        <f>IFERROR(__xludf.DUMMYFUNCTION("""COMPUTED_VALUE"""),"COLISIÓN")</f>
        <v>COLISIÓN</v>
      </c>
      <c r="L608" s="64" t="str">
        <f>IFERROR(__xludf.DUMMYFUNCTION("""COMPUTED_VALUE"""),"COLISIÓN MÚLTIPLE")</f>
        <v>COLISIÓN MÚLTIPLE</v>
      </c>
      <c r="M608" s="64" t="str">
        <f>IFERROR(__xludf.DUMMYFUNCTION("""COMPUTED_VALUE"""),"DERRAPE")</f>
        <v>DERRAPE</v>
      </c>
      <c r="N608" s="64" t="str">
        <f>IFERROR(__xludf.DUMMYFUNCTION("""COMPUTED_VALUE"""),"VEHÍCULO INCENDIADO")</f>
        <v>VEHÍCULO INCENDIADO</v>
      </c>
      <c r="O608" s="64" t="str">
        <f>IFERROR(__xludf.DUMMYFUNCTION("""COMPUTED_VALUE"""),"VUELCO")</f>
        <v>VUELCO</v>
      </c>
      <c r="P608" s="64" t="str">
        <f>IFERROR(__xludf.DUMMYFUNCTION("""COMPUTED_VALUE"""),"DESPRENDIMIENTO")</f>
        <v>DESPRENDIMIENTO</v>
      </c>
      <c r="Q608" s="64" t="str">
        <f>IFERROR(__xludf.DUMMYFUNCTION("""COMPUTED_VALUE"""),"CAÍDA DE ÁRBOL")</f>
        <v>CAÍDA DE ÁRBOL</v>
      </c>
      <c r="R608" s="64" t="str">
        <f>IFERROR(__xludf.DUMMYFUNCTION("""COMPUTED_VALUE"""),"DESPRENDIMIENTO DE EJE")</f>
        <v>DESPRENDIMIENTO DE EJE</v>
      </c>
      <c r="S608" s="64" t="str">
        <f>IFERROR(__xludf.DUMMYFUNCTION("""COMPUTED_VALUE"""),"PERSONA ATROPELLADA")</f>
        <v>PERSONA ATROPELLADA</v>
      </c>
    </row>
    <row r="609">
      <c r="B609" s="64" t="s">
        <v>54</v>
      </c>
      <c r="C609" s="64" t="str">
        <f>IFERROR(__xludf.DUMMYFUNCTION(" TRANSPOSE( unique ( QUERY(DATOPRO,""select Col2 where Col1 = '""&amp;B609&amp;""'"")))"),"PINCHAZO")</f>
        <v>PINCHAZO</v>
      </c>
      <c r="D609" s="64" t="str">
        <f>IFERROR(__xludf.DUMMYFUNCTION("""COMPUTED_VALUE"""),"TRABAJOS DE CARRETERA")</f>
        <v>TRABAJOS DE CARRETERA</v>
      </c>
      <c r="E609" s="64" t="str">
        <f>IFERROR(__xludf.DUMMYFUNCTION("""COMPUTED_VALUE"""),"CONSIGNACIÓN")</f>
        <v>CONSIGNACIÓN</v>
      </c>
      <c r="F609" s="64" t="str">
        <f>IFERROR(__xludf.DUMMYFUNCTION("""COMPUTED_VALUE"""),"DERRAME")</f>
        <v>DERRAME</v>
      </c>
      <c r="G609" s="64" t="str">
        <f>IFERROR(__xludf.DUMMYFUNCTION("""COMPUTED_VALUE"""),"CALENTAMIENTO")</f>
        <v>CALENTAMIENTO</v>
      </c>
      <c r="H609" s="64" t="str">
        <f>IFERROR(__xludf.DUMMYFUNCTION("""COMPUTED_VALUE"""),"ESCOLTANDO")</f>
        <v>ESCOLTANDO</v>
      </c>
      <c r="I609" s="64" t="str">
        <f>IFERROR(__xludf.DUMMYFUNCTION("""COMPUTED_VALUE"""),"FALTA DE COMBUSTIBLE")</f>
        <v>FALTA DE COMBUSTIBLE</v>
      </c>
      <c r="J609" s="64" t="str">
        <f>IFERROR(__xludf.DUMMYFUNCTION("""COMPUTED_VALUE"""),"DESPERFECTOS MECÁNICOS")</f>
        <v>DESPERFECTOS MECÁNICOS</v>
      </c>
      <c r="K609" s="64" t="str">
        <f>IFERROR(__xludf.DUMMYFUNCTION("""COMPUTED_VALUE"""),"LLAMADA DE ATENCIÓN")</f>
        <v>LLAMADA DE ATENCIÓN</v>
      </c>
      <c r="L609" s="64" t="str">
        <f>IFERROR(__xludf.DUMMYFUNCTION("""COMPUTED_VALUE"""),"OPERATIVOS")</f>
        <v>OPERATIVOS</v>
      </c>
      <c r="M609" s="64" t="str">
        <f>IFERROR(__xludf.DUMMYFUNCTION("""COMPUTED_VALUE"""),"SANCIÓN")</f>
        <v>SANCIÓN</v>
      </c>
      <c r="N609" s="64" t="str">
        <f>IFERROR(__xludf.DUMMYFUNCTION("""COMPUTED_VALUE"""),"SISTEMA ELECTRICO")</f>
        <v>SISTEMA ELECTRICO</v>
      </c>
      <c r="O609" s="64" t="str">
        <f>IFERROR(__xludf.DUMMYFUNCTION("""COMPUTED_VALUE"""),"ASISTENCIA AL USUARIO")</f>
        <v>ASISTENCIA AL USUARIO</v>
      </c>
      <c r="P609" s="64" t="str">
        <f>IFERROR(__xludf.DUMMYFUNCTION("""COMPUTED_VALUE"""),"DOBLE REMOLQUE")</f>
        <v>DOBLE REMOLQUE</v>
      </c>
      <c r="Q609" s="64" t="str">
        <f>IFERROR(__xludf.DUMMYFUNCTION("""COMPUTED_VALUE"""),"SINAPRESE")</f>
        <v>SINAPRESE</v>
      </c>
      <c r="R609" s="64" t="str">
        <f>IFERROR(__xludf.DUMMYFUNCTION("""COMPUTED_VALUE"""),"APOYO ATLETISMO")</f>
        <v>APOYO ATLETISMO</v>
      </c>
      <c r="S609" s="64" t="str">
        <f>IFERROR(__xludf.DUMMYFUNCTION("""COMPUTED_VALUE"""),"APOYO A CICLISMO")</f>
        <v>APOYO A CICLISMO</v>
      </c>
      <c r="T609" s="64" t="str">
        <f>IFERROR(__xludf.DUMMYFUNCTION("""COMPUTED_VALUE"""),"DESCARGA DE BATERÍA")</f>
        <v>DESCARGA DE BATERÍA</v>
      </c>
      <c r="U609" s="64" t="str">
        <f>IFERROR(__xludf.DUMMYFUNCTION("""COMPUTED_VALUE"""),"PROBLEMAS DE SALUD")</f>
        <v>PROBLEMAS DE SALUD</v>
      </c>
      <c r="V609" s="64" t="str">
        <f>IFERROR(__xludf.DUMMYFUNCTION("""COMPUTED_VALUE"""),"OLVIDO LA LLAVE")</f>
        <v>OLVIDO LA LLAVE</v>
      </c>
      <c r="W609" s="64" t="str">
        <f>IFERROR(__xludf.DUMMYFUNCTION("""COMPUTED_VALUE"""),"CARGA SOBREDIMENSIONADA")</f>
        <v>CARGA SOBREDIMENSIONADA</v>
      </c>
      <c r="X609" s="64" t="str">
        <f>IFERROR(__xludf.DUMMYFUNCTION("""COMPUTED_VALUE"""),"VEHÍCULO ABANDONADO")</f>
        <v>VEHÍCULO ABANDONADO</v>
      </c>
      <c r="Y609" s="64" t="str">
        <f>IFERROR(__xludf.DUMMYFUNCTION("""COMPUTED_VALUE"""),"DESPRENDIMIENTO")</f>
        <v>DESPRENDIMIENTO</v>
      </c>
      <c r="Z609" s="64" t="str">
        <f>IFERROR(__xludf.DUMMYFUNCTION("""COMPUTED_VALUE"""),"CAÍDA DE POSTE")</f>
        <v>CAÍDA DE POSTE</v>
      </c>
      <c r="AA609" s="64" t="str">
        <f>IFERROR(__xludf.DUMMYFUNCTION("""COMPUTED_VALUE"""),"CAÍDA DE RAMA")</f>
        <v>CAÍDA DE RAMA</v>
      </c>
      <c r="AB609" s="64" t="str">
        <f>IFERROR(__xludf.DUMMYFUNCTION("""COMPUTED_VALUE"""),"OPERATIVO DGT")</f>
        <v>OPERATIVO DGT</v>
      </c>
      <c r="AC609" s="64" t="str">
        <f>IFERROR(__xludf.DUMMYFUNCTION("""COMPUTED_VALUE"""),"OPERATIVO PMT")</f>
        <v>OPERATIVO PMT</v>
      </c>
      <c r="AD609" s="64" t="str">
        <f>IFERROR(__xludf.DUMMYFUNCTION("""COMPUTED_VALUE"""),"APOYO A DIGEF")</f>
        <v>APOYO A DIGEF</v>
      </c>
      <c r="AE609" s="64" t="str">
        <f>IFERROR(__xludf.DUMMYFUNCTION("""COMPUTED_VALUE"""),"OPERATIVO PNC TRANSITO")</f>
        <v>OPERATIVO PNC TRANSITO</v>
      </c>
      <c r="AF609" s="64" t="str">
        <f>IFERROR(__xludf.DUMMYFUNCTION("""COMPUTED_VALUE"""),"SOBRECARGA ")</f>
        <v>SOBRECARGA </v>
      </c>
      <c r="AG609" s="64" t="str">
        <f>IFERROR(__xludf.DUMMYFUNCTION("""COMPUTED_VALUE"""),"OPERATIVO EN CONJUNTO")</f>
        <v>OPERATIVO EN CONJUNTO</v>
      </c>
      <c r="AH609" s="64" t="str">
        <f>IFERROR(__xludf.DUMMYFUNCTION("""COMPUTED_VALUE"""),"PUESTO DE ATENCION AL USUARIO")</f>
        <v>PUESTO DE ATENCION AL USUARIO</v>
      </c>
      <c r="AI609" s="64" t="str">
        <f>IFERROR(__xludf.DUMMYFUNCTION("""COMPUTED_VALUE"""),"INCENDIO EN RUTA")</f>
        <v>INCENDIO EN RUTA</v>
      </c>
      <c r="AJ609" s="64" t="str">
        <f>IFERROR(__xludf.DUMMYFUNCTION("""COMPUTED_VALUE"""),"APOYO ANTORCHA ")</f>
        <v>APOYO ANTORCHA </v>
      </c>
    </row>
    <row r="610">
      <c r="B610" s="64" t="s">
        <v>38</v>
      </c>
      <c r="C610" s="64" t="str">
        <f>IFERROR(__xludf.DUMMYFUNCTION(" TRANSPOSE( unique ( QUERY(DATOPRO,""select Col2 where Col1 = '""&amp;B610&amp;""'"")))"),"ATAQUE ARMADO")</f>
        <v>ATAQUE ARMADO</v>
      </c>
      <c r="D610" s="64" t="str">
        <f>IFERROR(__xludf.DUMMYFUNCTION("""COMPUTED_VALUE"""),"DESBALANCE DE CARGA")</f>
        <v>DESBALANCE DE CARGA</v>
      </c>
      <c r="E610" s="64" t="str">
        <f>IFERROR(__xludf.DUMMYFUNCTION("""COMPUTED_VALUE"""),"PERSONA FALLECIDA")</f>
        <v>PERSONA FALLECIDA</v>
      </c>
      <c r="F610" s="64" t="str">
        <f>IFERROR(__xludf.DUMMYFUNCTION("""COMPUTED_VALUE"""),"DESPRENDIMIENTO DE NEUMATICO")</f>
        <v>DESPRENDIMIENTO DE NEUMATICO</v>
      </c>
      <c r="G610" s="64" t="str">
        <f>IFERROR(__xludf.DUMMYFUNCTION("""COMPUTED_VALUE"""),"SALIDA DE PISTA")</f>
        <v>SALIDA DE PISTA</v>
      </c>
      <c r="H610" s="64" t="str">
        <f>IFERROR(__xludf.DUMMYFUNCTION("""COMPUTED_VALUE"""),"DESPRENDIMIENTO DE CONTENEDOR")</f>
        <v>DESPRENDIMIENTO DE CONTENEDOR</v>
      </c>
      <c r="I610" s="64" t="str">
        <f>IFERROR(__xludf.DUMMYFUNCTION("""COMPUTED_VALUE"""),"CAÍDA DE CARGA")</f>
        <v>CAÍDA DE CARGA</v>
      </c>
      <c r="J610" s="64" t="str">
        <f>IFERROR(__xludf.DUMMYFUNCTION("""COMPUTED_VALUE"""),"CHOQUE")</f>
        <v>CHOQUE</v>
      </c>
      <c r="K610" s="64" t="str">
        <f>IFERROR(__xludf.DUMMYFUNCTION("""COMPUTED_VALUE"""),"COLISIÓN")</f>
        <v>COLISIÓN</v>
      </c>
      <c r="L610" s="64" t="str">
        <f>IFERROR(__xludf.DUMMYFUNCTION("""COMPUTED_VALUE"""),"COLISIÓN MÚLTIPLE")</f>
        <v>COLISIÓN MÚLTIPLE</v>
      </c>
      <c r="M610" s="64" t="str">
        <f>IFERROR(__xludf.DUMMYFUNCTION("""COMPUTED_VALUE"""),"DERRAPE")</f>
        <v>DERRAPE</v>
      </c>
      <c r="N610" s="64" t="str">
        <f>IFERROR(__xludf.DUMMYFUNCTION("""COMPUTED_VALUE"""),"VEHÍCULO INCENDIADO")</f>
        <v>VEHÍCULO INCENDIADO</v>
      </c>
      <c r="O610" s="64" t="str">
        <f>IFERROR(__xludf.DUMMYFUNCTION("""COMPUTED_VALUE"""),"VUELCO")</f>
        <v>VUELCO</v>
      </c>
      <c r="P610" s="64" t="str">
        <f>IFERROR(__xludf.DUMMYFUNCTION("""COMPUTED_VALUE"""),"DESPRENDIMIENTO")</f>
        <v>DESPRENDIMIENTO</v>
      </c>
      <c r="Q610" s="64" t="str">
        <f>IFERROR(__xludf.DUMMYFUNCTION("""COMPUTED_VALUE"""),"CAÍDA DE ÁRBOL")</f>
        <v>CAÍDA DE ÁRBOL</v>
      </c>
      <c r="R610" s="64" t="str">
        <f>IFERROR(__xludf.DUMMYFUNCTION("""COMPUTED_VALUE"""),"DESPRENDIMIENTO DE EJE")</f>
        <v>DESPRENDIMIENTO DE EJE</v>
      </c>
      <c r="S610" s="64" t="str">
        <f>IFERROR(__xludf.DUMMYFUNCTION("""COMPUTED_VALUE"""),"PERSONA ATROPELLADA")</f>
        <v>PERSONA ATROPELLADA</v>
      </c>
    </row>
    <row r="611">
      <c r="B611" s="64" t="s">
        <v>54</v>
      </c>
      <c r="C611" s="64" t="str">
        <f>IFERROR(__xludf.DUMMYFUNCTION(" TRANSPOSE( unique ( QUERY(DATOPRO,""select Col2 where Col1 = '""&amp;B611&amp;""'"")))"),"PINCHAZO")</f>
        <v>PINCHAZO</v>
      </c>
      <c r="D611" s="64" t="str">
        <f>IFERROR(__xludf.DUMMYFUNCTION("""COMPUTED_VALUE"""),"TRABAJOS DE CARRETERA")</f>
        <v>TRABAJOS DE CARRETERA</v>
      </c>
      <c r="E611" s="64" t="str">
        <f>IFERROR(__xludf.DUMMYFUNCTION("""COMPUTED_VALUE"""),"CONSIGNACIÓN")</f>
        <v>CONSIGNACIÓN</v>
      </c>
      <c r="F611" s="64" t="str">
        <f>IFERROR(__xludf.DUMMYFUNCTION("""COMPUTED_VALUE"""),"DERRAME")</f>
        <v>DERRAME</v>
      </c>
      <c r="G611" s="64" t="str">
        <f>IFERROR(__xludf.DUMMYFUNCTION("""COMPUTED_VALUE"""),"CALENTAMIENTO")</f>
        <v>CALENTAMIENTO</v>
      </c>
      <c r="H611" s="64" t="str">
        <f>IFERROR(__xludf.DUMMYFUNCTION("""COMPUTED_VALUE"""),"ESCOLTANDO")</f>
        <v>ESCOLTANDO</v>
      </c>
      <c r="I611" s="64" t="str">
        <f>IFERROR(__xludf.DUMMYFUNCTION("""COMPUTED_VALUE"""),"FALTA DE COMBUSTIBLE")</f>
        <v>FALTA DE COMBUSTIBLE</v>
      </c>
      <c r="J611" s="64" t="str">
        <f>IFERROR(__xludf.DUMMYFUNCTION("""COMPUTED_VALUE"""),"DESPERFECTOS MECÁNICOS")</f>
        <v>DESPERFECTOS MECÁNICOS</v>
      </c>
      <c r="K611" s="64" t="str">
        <f>IFERROR(__xludf.DUMMYFUNCTION("""COMPUTED_VALUE"""),"LLAMADA DE ATENCIÓN")</f>
        <v>LLAMADA DE ATENCIÓN</v>
      </c>
      <c r="L611" s="64" t="str">
        <f>IFERROR(__xludf.DUMMYFUNCTION("""COMPUTED_VALUE"""),"OPERATIVOS")</f>
        <v>OPERATIVOS</v>
      </c>
      <c r="M611" s="64" t="str">
        <f>IFERROR(__xludf.DUMMYFUNCTION("""COMPUTED_VALUE"""),"SANCIÓN")</f>
        <v>SANCIÓN</v>
      </c>
      <c r="N611" s="64" t="str">
        <f>IFERROR(__xludf.DUMMYFUNCTION("""COMPUTED_VALUE"""),"SISTEMA ELECTRICO")</f>
        <v>SISTEMA ELECTRICO</v>
      </c>
      <c r="O611" s="64" t="str">
        <f>IFERROR(__xludf.DUMMYFUNCTION("""COMPUTED_VALUE"""),"ASISTENCIA AL USUARIO")</f>
        <v>ASISTENCIA AL USUARIO</v>
      </c>
      <c r="P611" s="64" t="str">
        <f>IFERROR(__xludf.DUMMYFUNCTION("""COMPUTED_VALUE"""),"DOBLE REMOLQUE")</f>
        <v>DOBLE REMOLQUE</v>
      </c>
      <c r="Q611" s="64" t="str">
        <f>IFERROR(__xludf.DUMMYFUNCTION("""COMPUTED_VALUE"""),"SINAPRESE")</f>
        <v>SINAPRESE</v>
      </c>
      <c r="R611" s="64" t="str">
        <f>IFERROR(__xludf.DUMMYFUNCTION("""COMPUTED_VALUE"""),"APOYO ATLETISMO")</f>
        <v>APOYO ATLETISMO</v>
      </c>
      <c r="S611" s="64" t="str">
        <f>IFERROR(__xludf.DUMMYFUNCTION("""COMPUTED_VALUE"""),"APOYO A CICLISMO")</f>
        <v>APOYO A CICLISMO</v>
      </c>
      <c r="T611" s="64" t="str">
        <f>IFERROR(__xludf.DUMMYFUNCTION("""COMPUTED_VALUE"""),"DESCARGA DE BATERÍA")</f>
        <v>DESCARGA DE BATERÍA</v>
      </c>
      <c r="U611" s="64" t="str">
        <f>IFERROR(__xludf.DUMMYFUNCTION("""COMPUTED_VALUE"""),"PROBLEMAS DE SALUD")</f>
        <v>PROBLEMAS DE SALUD</v>
      </c>
      <c r="V611" s="64" t="str">
        <f>IFERROR(__xludf.DUMMYFUNCTION("""COMPUTED_VALUE"""),"OLVIDO LA LLAVE")</f>
        <v>OLVIDO LA LLAVE</v>
      </c>
      <c r="W611" s="64" t="str">
        <f>IFERROR(__xludf.DUMMYFUNCTION("""COMPUTED_VALUE"""),"CARGA SOBREDIMENSIONADA")</f>
        <v>CARGA SOBREDIMENSIONADA</v>
      </c>
      <c r="X611" s="64" t="str">
        <f>IFERROR(__xludf.DUMMYFUNCTION("""COMPUTED_VALUE"""),"VEHÍCULO ABANDONADO")</f>
        <v>VEHÍCULO ABANDONADO</v>
      </c>
      <c r="Y611" s="64" t="str">
        <f>IFERROR(__xludf.DUMMYFUNCTION("""COMPUTED_VALUE"""),"DESPRENDIMIENTO")</f>
        <v>DESPRENDIMIENTO</v>
      </c>
      <c r="Z611" s="64" t="str">
        <f>IFERROR(__xludf.DUMMYFUNCTION("""COMPUTED_VALUE"""),"CAÍDA DE POSTE")</f>
        <v>CAÍDA DE POSTE</v>
      </c>
      <c r="AA611" s="64" t="str">
        <f>IFERROR(__xludf.DUMMYFUNCTION("""COMPUTED_VALUE"""),"CAÍDA DE RAMA")</f>
        <v>CAÍDA DE RAMA</v>
      </c>
      <c r="AB611" s="64" t="str">
        <f>IFERROR(__xludf.DUMMYFUNCTION("""COMPUTED_VALUE"""),"OPERATIVO DGT")</f>
        <v>OPERATIVO DGT</v>
      </c>
      <c r="AC611" s="64" t="str">
        <f>IFERROR(__xludf.DUMMYFUNCTION("""COMPUTED_VALUE"""),"OPERATIVO PMT")</f>
        <v>OPERATIVO PMT</v>
      </c>
      <c r="AD611" s="64" t="str">
        <f>IFERROR(__xludf.DUMMYFUNCTION("""COMPUTED_VALUE"""),"APOYO A DIGEF")</f>
        <v>APOYO A DIGEF</v>
      </c>
      <c r="AE611" s="64" t="str">
        <f>IFERROR(__xludf.DUMMYFUNCTION("""COMPUTED_VALUE"""),"OPERATIVO PNC TRANSITO")</f>
        <v>OPERATIVO PNC TRANSITO</v>
      </c>
      <c r="AF611" s="64" t="str">
        <f>IFERROR(__xludf.DUMMYFUNCTION("""COMPUTED_VALUE"""),"SOBRECARGA ")</f>
        <v>SOBRECARGA </v>
      </c>
      <c r="AG611" s="64" t="str">
        <f>IFERROR(__xludf.DUMMYFUNCTION("""COMPUTED_VALUE"""),"OPERATIVO EN CONJUNTO")</f>
        <v>OPERATIVO EN CONJUNTO</v>
      </c>
      <c r="AH611" s="64" t="str">
        <f>IFERROR(__xludf.DUMMYFUNCTION("""COMPUTED_VALUE"""),"PUESTO DE ATENCION AL USUARIO")</f>
        <v>PUESTO DE ATENCION AL USUARIO</v>
      </c>
      <c r="AI611" s="64" t="str">
        <f>IFERROR(__xludf.DUMMYFUNCTION("""COMPUTED_VALUE"""),"INCENDIO EN RUTA")</f>
        <v>INCENDIO EN RUTA</v>
      </c>
      <c r="AJ611" s="64" t="str">
        <f>IFERROR(__xludf.DUMMYFUNCTION("""COMPUTED_VALUE"""),"APOYO ANTORCHA ")</f>
        <v>APOYO ANTORCHA </v>
      </c>
    </row>
    <row r="612">
      <c r="B612" s="64"/>
      <c r="C612" s="64" t="str">
        <f>IFERROR(__xludf.DUMMYFUNCTION(" TRANSPOSE( unique ( QUERY(DATOPRO,""select Col2 where Col1 = '""&amp;B612&amp;""'"")))"),"")</f>
        <v/>
      </c>
    </row>
    <row r="613">
      <c r="B613" s="64" t="s">
        <v>38</v>
      </c>
      <c r="C613" s="64" t="str">
        <f>IFERROR(__xludf.DUMMYFUNCTION(" TRANSPOSE( unique ( QUERY(DATOPRO,""select Col2 where Col1 = '""&amp;B613&amp;""'"")))"),"ATAQUE ARMADO")</f>
        <v>ATAQUE ARMADO</v>
      </c>
      <c r="D613" s="64" t="str">
        <f>IFERROR(__xludf.DUMMYFUNCTION("""COMPUTED_VALUE"""),"DESBALANCE DE CARGA")</f>
        <v>DESBALANCE DE CARGA</v>
      </c>
      <c r="E613" s="64" t="str">
        <f>IFERROR(__xludf.DUMMYFUNCTION("""COMPUTED_VALUE"""),"PERSONA FALLECIDA")</f>
        <v>PERSONA FALLECIDA</v>
      </c>
      <c r="F613" s="64" t="str">
        <f>IFERROR(__xludf.DUMMYFUNCTION("""COMPUTED_VALUE"""),"DESPRENDIMIENTO DE NEUMATICO")</f>
        <v>DESPRENDIMIENTO DE NEUMATICO</v>
      </c>
      <c r="G613" s="64" t="str">
        <f>IFERROR(__xludf.DUMMYFUNCTION("""COMPUTED_VALUE"""),"SALIDA DE PISTA")</f>
        <v>SALIDA DE PISTA</v>
      </c>
      <c r="H613" s="64" t="str">
        <f>IFERROR(__xludf.DUMMYFUNCTION("""COMPUTED_VALUE"""),"DESPRENDIMIENTO DE CONTENEDOR")</f>
        <v>DESPRENDIMIENTO DE CONTENEDOR</v>
      </c>
      <c r="I613" s="64" t="str">
        <f>IFERROR(__xludf.DUMMYFUNCTION("""COMPUTED_VALUE"""),"CAÍDA DE CARGA")</f>
        <v>CAÍDA DE CARGA</v>
      </c>
      <c r="J613" s="64" t="str">
        <f>IFERROR(__xludf.DUMMYFUNCTION("""COMPUTED_VALUE"""),"CHOQUE")</f>
        <v>CHOQUE</v>
      </c>
      <c r="K613" s="64" t="str">
        <f>IFERROR(__xludf.DUMMYFUNCTION("""COMPUTED_VALUE"""),"COLISIÓN")</f>
        <v>COLISIÓN</v>
      </c>
      <c r="L613" s="64" t="str">
        <f>IFERROR(__xludf.DUMMYFUNCTION("""COMPUTED_VALUE"""),"COLISIÓN MÚLTIPLE")</f>
        <v>COLISIÓN MÚLTIPLE</v>
      </c>
      <c r="M613" s="64" t="str">
        <f>IFERROR(__xludf.DUMMYFUNCTION("""COMPUTED_VALUE"""),"DERRAPE")</f>
        <v>DERRAPE</v>
      </c>
      <c r="N613" s="64" t="str">
        <f>IFERROR(__xludf.DUMMYFUNCTION("""COMPUTED_VALUE"""),"VEHÍCULO INCENDIADO")</f>
        <v>VEHÍCULO INCENDIADO</v>
      </c>
      <c r="O613" s="64" t="str">
        <f>IFERROR(__xludf.DUMMYFUNCTION("""COMPUTED_VALUE"""),"VUELCO")</f>
        <v>VUELCO</v>
      </c>
      <c r="P613" s="64" t="str">
        <f>IFERROR(__xludf.DUMMYFUNCTION("""COMPUTED_VALUE"""),"DESPRENDIMIENTO")</f>
        <v>DESPRENDIMIENTO</v>
      </c>
      <c r="Q613" s="64" t="str">
        <f>IFERROR(__xludf.DUMMYFUNCTION("""COMPUTED_VALUE"""),"CAÍDA DE ÁRBOL")</f>
        <v>CAÍDA DE ÁRBOL</v>
      </c>
      <c r="R613" s="64" t="str">
        <f>IFERROR(__xludf.DUMMYFUNCTION("""COMPUTED_VALUE"""),"DESPRENDIMIENTO DE EJE")</f>
        <v>DESPRENDIMIENTO DE EJE</v>
      </c>
      <c r="S613" s="64" t="str">
        <f>IFERROR(__xludf.DUMMYFUNCTION("""COMPUTED_VALUE"""),"PERSONA ATROPELLADA")</f>
        <v>PERSONA ATROPELLADA</v>
      </c>
    </row>
    <row r="614">
      <c r="B614" s="64" t="s">
        <v>54</v>
      </c>
      <c r="C614" s="64" t="str">
        <f>IFERROR(__xludf.DUMMYFUNCTION(" TRANSPOSE( unique ( QUERY(DATOPRO,""select Col2 where Col1 = '""&amp;B614&amp;""'"")))"),"PINCHAZO")</f>
        <v>PINCHAZO</v>
      </c>
      <c r="D614" s="64" t="str">
        <f>IFERROR(__xludf.DUMMYFUNCTION("""COMPUTED_VALUE"""),"TRABAJOS DE CARRETERA")</f>
        <v>TRABAJOS DE CARRETERA</v>
      </c>
      <c r="E614" s="64" t="str">
        <f>IFERROR(__xludf.DUMMYFUNCTION("""COMPUTED_VALUE"""),"CONSIGNACIÓN")</f>
        <v>CONSIGNACIÓN</v>
      </c>
      <c r="F614" s="64" t="str">
        <f>IFERROR(__xludf.DUMMYFUNCTION("""COMPUTED_VALUE"""),"DERRAME")</f>
        <v>DERRAME</v>
      </c>
      <c r="G614" s="64" t="str">
        <f>IFERROR(__xludf.DUMMYFUNCTION("""COMPUTED_VALUE"""),"CALENTAMIENTO")</f>
        <v>CALENTAMIENTO</v>
      </c>
      <c r="H614" s="64" t="str">
        <f>IFERROR(__xludf.DUMMYFUNCTION("""COMPUTED_VALUE"""),"ESCOLTANDO")</f>
        <v>ESCOLTANDO</v>
      </c>
      <c r="I614" s="64" t="str">
        <f>IFERROR(__xludf.DUMMYFUNCTION("""COMPUTED_VALUE"""),"FALTA DE COMBUSTIBLE")</f>
        <v>FALTA DE COMBUSTIBLE</v>
      </c>
      <c r="J614" s="64" t="str">
        <f>IFERROR(__xludf.DUMMYFUNCTION("""COMPUTED_VALUE"""),"DESPERFECTOS MECÁNICOS")</f>
        <v>DESPERFECTOS MECÁNICOS</v>
      </c>
      <c r="K614" s="64" t="str">
        <f>IFERROR(__xludf.DUMMYFUNCTION("""COMPUTED_VALUE"""),"LLAMADA DE ATENCIÓN")</f>
        <v>LLAMADA DE ATENCIÓN</v>
      </c>
      <c r="L614" s="64" t="str">
        <f>IFERROR(__xludf.DUMMYFUNCTION("""COMPUTED_VALUE"""),"OPERATIVOS")</f>
        <v>OPERATIVOS</v>
      </c>
      <c r="M614" s="64" t="str">
        <f>IFERROR(__xludf.DUMMYFUNCTION("""COMPUTED_VALUE"""),"SANCIÓN")</f>
        <v>SANCIÓN</v>
      </c>
      <c r="N614" s="64" t="str">
        <f>IFERROR(__xludf.DUMMYFUNCTION("""COMPUTED_VALUE"""),"SISTEMA ELECTRICO")</f>
        <v>SISTEMA ELECTRICO</v>
      </c>
      <c r="O614" s="64" t="str">
        <f>IFERROR(__xludf.DUMMYFUNCTION("""COMPUTED_VALUE"""),"ASISTENCIA AL USUARIO")</f>
        <v>ASISTENCIA AL USUARIO</v>
      </c>
      <c r="P614" s="64" t="str">
        <f>IFERROR(__xludf.DUMMYFUNCTION("""COMPUTED_VALUE"""),"DOBLE REMOLQUE")</f>
        <v>DOBLE REMOLQUE</v>
      </c>
      <c r="Q614" s="64" t="str">
        <f>IFERROR(__xludf.DUMMYFUNCTION("""COMPUTED_VALUE"""),"SINAPRESE")</f>
        <v>SINAPRESE</v>
      </c>
      <c r="R614" s="64" t="str">
        <f>IFERROR(__xludf.DUMMYFUNCTION("""COMPUTED_VALUE"""),"APOYO ATLETISMO")</f>
        <v>APOYO ATLETISMO</v>
      </c>
      <c r="S614" s="64" t="str">
        <f>IFERROR(__xludf.DUMMYFUNCTION("""COMPUTED_VALUE"""),"APOYO A CICLISMO")</f>
        <v>APOYO A CICLISMO</v>
      </c>
      <c r="T614" s="64" t="str">
        <f>IFERROR(__xludf.DUMMYFUNCTION("""COMPUTED_VALUE"""),"DESCARGA DE BATERÍA")</f>
        <v>DESCARGA DE BATERÍA</v>
      </c>
      <c r="U614" s="64" t="str">
        <f>IFERROR(__xludf.DUMMYFUNCTION("""COMPUTED_VALUE"""),"PROBLEMAS DE SALUD")</f>
        <v>PROBLEMAS DE SALUD</v>
      </c>
      <c r="V614" s="64" t="str">
        <f>IFERROR(__xludf.DUMMYFUNCTION("""COMPUTED_VALUE"""),"OLVIDO LA LLAVE")</f>
        <v>OLVIDO LA LLAVE</v>
      </c>
      <c r="W614" s="64" t="str">
        <f>IFERROR(__xludf.DUMMYFUNCTION("""COMPUTED_VALUE"""),"CARGA SOBREDIMENSIONADA")</f>
        <v>CARGA SOBREDIMENSIONADA</v>
      </c>
      <c r="X614" s="64" t="str">
        <f>IFERROR(__xludf.DUMMYFUNCTION("""COMPUTED_VALUE"""),"VEHÍCULO ABANDONADO")</f>
        <v>VEHÍCULO ABANDONADO</v>
      </c>
      <c r="Y614" s="64" t="str">
        <f>IFERROR(__xludf.DUMMYFUNCTION("""COMPUTED_VALUE"""),"DESPRENDIMIENTO")</f>
        <v>DESPRENDIMIENTO</v>
      </c>
      <c r="Z614" s="64" t="str">
        <f>IFERROR(__xludf.DUMMYFUNCTION("""COMPUTED_VALUE"""),"CAÍDA DE POSTE")</f>
        <v>CAÍDA DE POSTE</v>
      </c>
      <c r="AA614" s="64" t="str">
        <f>IFERROR(__xludf.DUMMYFUNCTION("""COMPUTED_VALUE"""),"CAÍDA DE RAMA")</f>
        <v>CAÍDA DE RAMA</v>
      </c>
      <c r="AB614" s="64" t="str">
        <f>IFERROR(__xludf.DUMMYFUNCTION("""COMPUTED_VALUE"""),"OPERATIVO DGT")</f>
        <v>OPERATIVO DGT</v>
      </c>
      <c r="AC614" s="64" t="str">
        <f>IFERROR(__xludf.DUMMYFUNCTION("""COMPUTED_VALUE"""),"OPERATIVO PMT")</f>
        <v>OPERATIVO PMT</v>
      </c>
      <c r="AD614" s="64" t="str">
        <f>IFERROR(__xludf.DUMMYFUNCTION("""COMPUTED_VALUE"""),"APOYO A DIGEF")</f>
        <v>APOYO A DIGEF</v>
      </c>
      <c r="AE614" s="64" t="str">
        <f>IFERROR(__xludf.DUMMYFUNCTION("""COMPUTED_VALUE"""),"OPERATIVO PNC TRANSITO")</f>
        <v>OPERATIVO PNC TRANSITO</v>
      </c>
      <c r="AF614" s="64" t="str">
        <f>IFERROR(__xludf.DUMMYFUNCTION("""COMPUTED_VALUE"""),"SOBRECARGA ")</f>
        <v>SOBRECARGA </v>
      </c>
      <c r="AG614" s="64" t="str">
        <f>IFERROR(__xludf.DUMMYFUNCTION("""COMPUTED_VALUE"""),"OPERATIVO EN CONJUNTO")</f>
        <v>OPERATIVO EN CONJUNTO</v>
      </c>
      <c r="AH614" s="64" t="str">
        <f>IFERROR(__xludf.DUMMYFUNCTION("""COMPUTED_VALUE"""),"PUESTO DE ATENCION AL USUARIO")</f>
        <v>PUESTO DE ATENCION AL USUARIO</v>
      </c>
      <c r="AI614" s="64" t="str">
        <f>IFERROR(__xludf.DUMMYFUNCTION("""COMPUTED_VALUE"""),"INCENDIO EN RUTA")</f>
        <v>INCENDIO EN RUTA</v>
      </c>
      <c r="AJ614" s="64" t="str">
        <f>IFERROR(__xludf.DUMMYFUNCTION("""COMPUTED_VALUE"""),"APOYO ANTORCHA ")</f>
        <v>APOYO ANTORCHA </v>
      </c>
    </row>
    <row r="615">
      <c r="B615" s="64" t="s">
        <v>54</v>
      </c>
      <c r="C615" s="64" t="str">
        <f>IFERROR(__xludf.DUMMYFUNCTION(" TRANSPOSE( unique ( QUERY(DATOPRO,""select Col2 where Col1 = '""&amp;B615&amp;""'"")))"),"PINCHAZO")</f>
        <v>PINCHAZO</v>
      </c>
      <c r="D615" s="64" t="str">
        <f>IFERROR(__xludf.DUMMYFUNCTION("""COMPUTED_VALUE"""),"TRABAJOS DE CARRETERA")</f>
        <v>TRABAJOS DE CARRETERA</v>
      </c>
      <c r="E615" s="64" t="str">
        <f>IFERROR(__xludf.DUMMYFUNCTION("""COMPUTED_VALUE"""),"CONSIGNACIÓN")</f>
        <v>CONSIGNACIÓN</v>
      </c>
      <c r="F615" s="64" t="str">
        <f>IFERROR(__xludf.DUMMYFUNCTION("""COMPUTED_VALUE"""),"DERRAME")</f>
        <v>DERRAME</v>
      </c>
      <c r="G615" s="64" t="str">
        <f>IFERROR(__xludf.DUMMYFUNCTION("""COMPUTED_VALUE"""),"CALENTAMIENTO")</f>
        <v>CALENTAMIENTO</v>
      </c>
      <c r="H615" s="64" t="str">
        <f>IFERROR(__xludf.DUMMYFUNCTION("""COMPUTED_VALUE"""),"ESCOLTANDO")</f>
        <v>ESCOLTANDO</v>
      </c>
      <c r="I615" s="64" t="str">
        <f>IFERROR(__xludf.DUMMYFUNCTION("""COMPUTED_VALUE"""),"FALTA DE COMBUSTIBLE")</f>
        <v>FALTA DE COMBUSTIBLE</v>
      </c>
      <c r="J615" s="64" t="str">
        <f>IFERROR(__xludf.DUMMYFUNCTION("""COMPUTED_VALUE"""),"DESPERFECTOS MECÁNICOS")</f>
        <v>DESPERFECTOS MECÁNICOS</v>
      </c>
      <c r="K615" s="64" t="str">
        <f>IFERROR(__xludf.DUMMYFUNCTION("""COMPUTED_VALUE"""),"LLAMADA DE ATENCIÓN")</f>
        <v>LLAMADA DE ATENCIÓN</v>
      </c>
      <c r="L615" s="64" t="str">
        <f>IFERROR(__xludf.DUMMYFUNCTION("""COMPUTED_VALUE"""),"OPERATIVOS")</f>
        <v>OPERATIVOS</v>
      </c>
      <c r="M615" s="64" t="str">
        <f>IFERROR(__xludf.DUMMYFUNCTION("""COMPUTED_VALUE"""),"SANCIÓN")</f>
        <v>SANCIÓN</v>
      </c>
      <c r="N615" s="64" t="str">
        <f>IFERROR(__xludf.DUMMYFUNCTION("""COMPUTED_VALUE"""),"SISTEMA ELECTRICO")</f>
        <v>SISTEMA ELECTRICO</v>
      </c>
      <c r="O615" s="64" t="str">
        <f>IFERROR(__xludf.DUMMYFUNCTION("""COMPUTED_VALUE"""),"ASISTENCIA AL USUARIO")</f>
        <v>ASISTENCIA AL USUARIO</v>
      </c>
      <c r="P615" s="64" t="str">
        <f>IFERROR(__xludf.DUMMYFUNCTION("""COMPUTED_VALUE"""),"DOBLE REMOLQUE")</f>
        <v>DOBLE REMOLQUE</v>
      </c>
      <c r="Q615" s="64" t="str">
        <f>IFERROR(__xludf.DUMMYFUNCTION("""COMPUTED_VALUE"""),"SINAPRESE")</f>
        <v>SINAPRESE</v>
      </c>
      <c r="R615" s="64" t="str">
        <f>IFERROR(__xludf.DUMMYFUNCTION("""COMPUTED_VALUE"""),"APOYO ATLETISMO")</f>
        <v>APOYO ATLETISMO</v>
      </c>
      <c r="S615" s="64" t="str">
        <f>IFERROR(__xludf.DUMMYFUNCTION("""COMPUTED_VALUE"""),"APOYO A CICLISMO")</f>
        <v>APOYO A CICLISMO</v>
      </c>
      <c r="T615" s="64" t="str">
        <f>IFERROR(__xludf.DUMMYFUNCTION("""COMPUTED_VALUE"""),"DESCARGA DE BATERÍA")</f>
        <v>DESCARGA DE BATERÍA</v>
      </c>
      <c r="U615" s="64" t="str">
        <f>IFERROR(__xludf.DUMMYFUNCTION("""COMPUTED_VALUE"""),"PROBLEMAS DE SALUD")</f>
        <v>PROBLEMAS DE SALUD</v>
      </c>
      <c r="V615" s="64" t="str">
        <f>IFERROR(__xludf.DUMMYFUNCTION("""COMPUTED_VALUE"""),"OLVIDO LA LLAVE")</f>
        <v>OLVIDO LA LLAVE</v>
      </c>
      <c r="W615" s="64" t="str">
        <f>IFERROR(__xludf.DUMMYFUNCTION("""COMPUTED_VALUE"""),"CARGA SOBREDIMENSIONADA")</f>
        <v>CARGA SOBREDIMENSIONADA</v>
      </c>
      <c r="X615" s="64" t="str">
        <f>IFERROR(__xludf.DUMMYFUNCTION("""COMPUTED_VALUE"""),"VEHÍCULO ABANDONADO")</f>
        <v>VEHÍCULO ABANDONADO</v>
      </c>
      <c r="Y615" s="64" t="str">
        <f>IFERROR(__xludf.DUMMYFUNCTION("""COMPUTED_VALUE"""),"DESPRENDIMIENTO")</f>
        <v>DESPRENDIMIENTO</v>
      </c>
      <c r="Z615" s="64" t="str">
        <f>IFERROR(__xludf.DUMMYFUNCTION("""COMPUTED_VALUE"""),"CAÍDA DE POSTE")</f>
        <v>CAÍDA DE POSTE</v>
      </c>
      <c r="AA615" s="64" t="str">
        <f>IFERROR(__xludf.DUMMYFUNCTION("""COMPUTED_VALUE"""),"CAÍDA DE RAMA")</f>
        <v>CAÍDA DE RAMA</v>
      </c>
      <c r="AB615" s="64" t="str">
        <f>IFERROR(__xludf.DUMMYFUNCTION("""COMPUTED_VALUE"""),"OPERATIVO DGT")</f>
        <v>OPERATIVO DGT</v>
      </c>
      <c r="AC615" s="64" t="str">
        <f>IFERROR(__xludf.DUMMYFUNCTION("""COMPUTED_VALUE"""),"OPERATIVO PMT")</f>
        <v>OPERATIVO PMT</v>
      </c>
      <c r="AD615" s="64" t="str">
        <f>IFERROR(__xludf.DUMMYFUNCTION("""COMPUTED_VALUE"""),"APOYO A DIGEF")</f>
        <v>APOYO A DIGEF</v>
      </c>
      <c r="AE615" s="64" t="str">
        <f>IFERROR(__xludf.DUMMYFUNCTION("""COMPUTED_VALUE"""),"OPERATIVO PNC TRANSITO")</f>
        <v>OPERATIVO PNC TRANSITO</v>
      </c>
      <c r="AF615" s="64" t="str">
        <f>IFERROR(__xludf.DUMMYFUNCTION("""COMPUTED_VALUE"""),"SOBRECARGA ")</f>
        <v>SOBRECARGA </v>
      </c>
      <c r="AG615" s="64" t="str">
        <f>IFERROR(__xludf.DUMMYFUNCTION("""COMPUTED_VALUE"""),"OPERATIVO EN CONJUNTO")</f>
        <v>OPERATIVO EN CONJUNTO</v>
      </c>
      <c r="AH615" s="64" t="str">
        <f>IFERROR(__xludf.DUMMYFUNCTION("""COMPUTED_VALUE"""),"PUESTO DE ATENCION AL USUARIO")</f>
        <v>PUESTO DE ATENCION AL USUARIO</v>
      </c>
      <c r="AI615" s="64" t="str">
        <f>IFERROR(__xludf.DUMMYFUNCTION("""COMPUTED_VALUE"""),"INCENDIO EN RUTA")</f>
        <v>INCENDIO EN RUTA</v>
      </c>
      <c r="AJ615" s="64" t="str">
        <f>IFERROR(__xludf.DUMMYFUNCTION("""COMPUTED_VALUE"""),"APOYO ANTORCHA ")</f>
        <v>APOYO ANTORCHA </v>
      </c>
    </row>
    <row r="616">
      <c r="B616" s="64"/>
      <c r="C616" s="64" t="str">
        <f>IFERROR(__xludf.DUMMYFUNCTION(" TRANSPOSE( unique ( QUERY(DATOPRO,""select Col2 where Col1 = '""&amp;B616&amp;""'"")))"),"")</f>
        <v/>
      </c>
    </row>
    <row r="617">
      <c r="B617" s="64" t="s">
        <v>38</v>
      </c>
      <c r="C617" s="64" t="str">
        <f>IFERROR(__xludf.DUMMYFUNCTION(" TRANSPOSE( unique ( QUERY(DATOPRO,""select Col2 where Col1 = '""&amp;B617&amp;""'"")))"),"ATAQUE ARMADO")</f>
        <v>ATAQUE ARMADO</v>
      </c>
      <c r="D617" s="64" t="str">
        <f>IFERROR(__xludf.DUMMYFUNCTION("""COMPUTED_VALUE"""),"DESBALANCE DE CARGA")</f>
        <v>DESBALANCE DE CARGA</v>
      </c>
      <c r="E617" s="64" t="str">
        <f>IFERROR(__xludf.DUMMYFUNCTION("""COMPUTED_VALUE"""),"PERSONA FALLECIDA")</f>
        <v>PERSONA FALLECIDA</v>
      </c>
      <c r="F617" s="64" t="str">
        <f>IFERROR(__xludf.DUMMYFUNCTION("""COMPUTED_VALUE"""),"DESPRENDIMIENTO DE NEUMATICO")</f>
        <v>DESPRENDIMIENTO DE NEUMATICO</v>
      </c>
      <c r="G617" s="64" t="str">
        <f>IFERROR(__xludf.DUMMYFUNCTION("""COMPUTED_VALUE"""),"SALIDA DE PISTA")</f>
        <v>SALIDA DE PISTA</v>
      </c>
      <c r="H617" s="64" t="str">
        <f>IFERROR(__xludf.DUMMYFUNCTION("""COMPUTED_VALUE"""),"DESPRENDIMIENTO DE CONTENEDOR")</f>
        <v>DESPRENDIMIENTO DE CONTENEDOR</v>
      </c>
      <c r="I617" s="64" t="str">
        <f>IFERROR(__xludf.DUMMYFUNCTION("""COMPUTED_VALUE"""),"CAÍDA DE CARGA")</f>
        <v>CAÍDA DE CARGA</v>
      </c>
      <c r="J617" s="64" t="str">
        <f>IFERROR(__xludf.DUMMYFUNCTION("""COMPUTED_VALUE"""),"CHOQUE")</f>
        <v>CHOQUE</v>
      </c>
      <c r="K617" s="64" t="str">
        <f>IFERROR(__xludf.DUMMYFUNCTION("""COMPUTED_VALUE"""),"COLISIÓN")</f>
        <v>COLISIÓN</v>
      </c>
      <c r="L617" s="64" t="str">
        <f>IFERROR(__xludf.DUMMYFUNCTION("""COMPUTED_VALUE"""),"COLISIÓN MÚLTIPLE")</f>
        <v>COLISIÓN MÚLTIPLE</v>
      </c>
      <c r="M617" s="64" t="str">
        <f>IFERROR(__xludf.DUMMYFUNCTION("""COMPUTED_VALUE"""),"DERRAPE")</f>
        <v>DERRAPE</v>
      </c>
      <c r="N617" s="64" t="str">
        <f>IFERROR(__xludf.DUMMYFUNCTION("""COMPUTED_VALUE"""),"VEHÍCULO INCENDIADO")</f>
        <v>VEHÍCULO INCENDIADO</v>
      </c>
      <c r="O617" s="64" t="str">
        <f>IFERROR(__xludf.DUMMYFUNCTION("""COMPUTED_VALUE"""),"VUELCO")</f>
        <v>VUELCO</v>
      </c>
      <c r="P617" s="64" t="str">
        <f>IFERROR(__xludf.DUMMYFUNCTION("""COMPUTED_VALUE"""),"DESPRENDIMIENTO")</f>
        <v>DESPRENDIMIENTO</v>
      </c>
      <c r="Q617" s="64" t="str">
        <f>IFERROR(__xludf.DUMMYFUNCTION("""COMPUTED_VALUE"""),"CAÍDA DE ÁRBOL")</f>
        <v>CAÍDA DE ÁRBOL</v>
      </c>
      <c r="R617" s="64" t="str">
        <f>IFERROR(__xludf.DUMMYFUNCTION("""COMPUTED_VALUE"""),"DESPRENDIMIENTO DE EJE")</f>
        <v>DESPRENDIMIENTO DE EJE</v>
      </c>
      <c r="S617" s="64" t="str">
        <f>IFERROR(__xludf.DUMMYFUNCTION("""COMPUTED_VALUE"""),"PERSONA ATROPELLADA")</f>
        <v>PERSONA ATROPELLADA</v>
      </c>
    </row>
    <row r="618">
      <c r="B618" s="64" t="s">
        <v>54</v>
      </c>
      <c r="C618" s="64" t="str">
        <f>IFERROR(__xludf.DUMMYFUNCTION(" TRANSPOSE( unique ( QUERY(DATOPRO,""select Col2 where Col1 = '""&amp;B618&amp;""'"")))"),"PINCHAZO")</f>
        <v>PINCHAZO</v>
      </c>
      <c r="D618" s="64" t="str">
        <f>IFERROR(__xludf.DUMMYFUNCTION("""COMPUTED_VALUE"""),"TRABAJOS DE CARRETERA")</f>
        <v>TRABAJOS DE CARRETERA</v>
      </c>
      <c r="E618" s="64" t="str">
        <f>IFERROR(__xludf.DUMMYFUNCTION("""COMPUTED_VALUE"""),"CONSIGNACIÓN")</f>
        <v>CONSIGNACIÓN</v>
      </c>
      <c r="F618" s="64" t="str">
        <f>IFERROR(__xludf.DUMMYFUNCTION("""COMPUTED_VALUE"""),"DERRAME")</f>
        <v>DERRAME</v>
      </c>
      <c r="G618" s="64" t="str">
        <f>IFERROR(__xludf.DUMMYFUNCTION("""COMPUTED_VALUE"""),"CALENTAMIENTO")</f>
        <v>CALENTAMIENTO</v>
      </c>
      <c r="H618" s="64" t="str">
        <f>IFERROR(__xludf.DUMMYFUNCTION("""COMPUTED_VALUE"""),"ESCOLTANDO")</f>
        <v>ESCOLTANDO</v>
      </c>
      <c r="I618" s="64" t="str">
        <f>IFERROR(__xludf.DUMMYFUNCTION("""COMPUTED_VALUE"""),"FALTA DE COMBUSTIBLE")</f>
        <v>FALTA DE COMBUSTIBLE</v>
      </c>
      <c r="J618" s="64" t="str">
        <f>IFERROR(__xludf.DUMMYFUNCTION("""COMPUTED_VALUE"""),"DESPERFECTOS MECÁNICOS")</f>
        <v>DESPERFECTOS MECÁNICOS</v>
      </c>
      <c r="K618" s="64" t="str">
        <f>IFERROR(__xludf.DUMMYFUNCTION("""COMPUTED_VALUE"""),"LLAMADA DE ATENCIÓN")</f>
        <v>LLAMADA DE ATENCIÓN</v>
      </c>
      <c r="L618" s="64" t="str">
        <f>IFERROR(__xludf.DUMMYFUNCTION("""COMPUTED_VALUE"""),"OPERATIVOS")</f>
        <v>OPERATIVOS</v>
      </c>
      <c r="M618" s="64" t="str">
        <f>IFERROR(__xludf.DUMMYFUNCTION("""COMPUTED_VALUE"""),"SANCIÓN")</f>
        <v>SANCIÓN</v>
      </c>
      <c r="N618" s="64" t="str">
        <f>IFERROR(__xludf.DUMMYFUNCTION("""COMPUTED_VALUE"""),"SISTEMA ELECTRICO")</f>
        <v>SISTEMA ELECTRICO</v>
      </c>
      <c r="O618" s="64" t="str">
        <f>IFERROR(__xludf.DUMMYFUNCTION("""COMPUTED_VALUE"""),"ASISTENCIA AL USUARIO")</f>
        <v>ASISTENCIA AL USUARIO</v>
      </c>
      <c r="P618" s="64" t="str">
        <f>IFERROR(__xludf.DUMMYFUNCTION("""COMPUTED_VALUE"""),"DOBLE REMOLQUE")</f>
        <v>DOBLE REMOLQUE</v>
      </c>
      <c r="Q618" s="64" t="str">
        <f>IFERROR(__xludf.DUMMYFUNCTION("""COMPUTED_VALUE"""),"SINAPRESE")</f>
        <v>SINAPRESE</v>
      </c>
      <c r="R618" s="64" t="str">
        <f>IFERROR(__xludf.DUMMYFUNCTION("""COMPUTED_VALUE"""),"APOYO ATLETISMO")</f>
        <v>APOYO ATLETISMO</v>
      </c>
      <c r="S618" s="64" t="str">
        <f>IFERROR(__xludf.DUMMYFUNCTION("""COMPUTED_VALUE"""),"APOYO A CICLISMO")</f>
        <v>APOYO A CICLISMO</v>
      </c>
      <c r="T618" s="64" t="str">
        <f>IFERROR(__xludf.DUMMYFUNCTION("""COMPUTED_VALUE"""),"DESCARGA DE BATERÍA")</f>
        <v>DESCARGA DE BATERÍA</v>
      </c>
      <c r="U618" s="64" t="str">
        <f>IFERROR(__xludf.DUMMYFUNCTION("""COMPUTED_VALUE"""),"PROBLEMAS DE SALUD")</f>
        <v>PROBLEMAS DE SALUD</v>
      </c>
      <c r="V618" s="64" t="str">
        <f>IFERROR(__xludf.DUMMYFUNCTION("""COMPUTED_VALUE"""),"OLVIDO LA LLAVE")</f>
        <v>OLVIDO LA LLAVE</v>
      </c>
      <c r="W618" s="64" t="str">
        <f>IFERROR(__xludf.DUMMYFUNCTION("""COMPUTED_VALUE"""),"CARGA SOBREDIMENSIONADA")</f>
        <v>CARGA SOBREDIMENSIONADA</v>
      </c>
      <c r="X618" s="64" t="str">
        <f>IFERROR(__xludf.DUMMYFUNCTION("""COMPUTED_VALUE"""),"VEHÍCULO ABANDONADO")</f>
        <v>VEHÍCULO ABANDONADO</v>
      </c>
      <c r="Y618" s="64" t="str">
        <f>IFERROR(__xludf.DUMMYFUNCTION("""COMPUTED_VALUE"""),"DESPRENDIMIENTO")</f>
        <v>DESPRENDIMIENTO</v>
      </c>
      <c r="Z618" s="64" t="str">
        <f>IFERROR(__xludf.DUMMYFUNCTION("""COMPUTED_VALUE"""),"CAÍDA DE POSTE")</f>
        <v>CAÍDA DE POSTE</v>
      </c>
      <c r="AA618" s="64" t="str">
        <f>IFERROR(__xludf.DUMMYFUNCTION("""COMPUTED_VALUE"""),"CAÍDA DE RAMA")</f>
        <v>CAÍDA DE RAMA</v>
      </c>
      <c r="AB618" s="64" t="str">
        <f>IFERROR(__xludf.DUMMYFUNCTION("""COMPUTED_VALUE"""),"OPERATIVO DGT")</f>
        <v>OPERATIVO DGT</v>
      </c>
      <c r="AC618" s="64" t="str">
        <f>IFERROR(__xludf.DUMMYFUNCTION("""COMPUTED_VALUE"""),"OPERATIVO PMT")</f>
        <v>OPERATIVO PMT</v>
      </c>
      <c r="AD618" s="64" t="str">
        <f>IFERROR(__xludf.DUMMYFUNCTION("""COMPUTED_VALUE"""),"APOYO A DIGEF")</f>
        <v>APOYO A DIGEF</v>
      </c>
      <c r="AE618" s="64" t="str">
        <f>IFERROR(__xludf.DUMMYFUNCTION("""COMPUTED_VALUE"""),"OPERATIVO PNC TRANSITO")</f>
        <v>OPERATIVO PNC TRANSITO</v>
      </c>
      <c r="AF618" s="64" t="str">
        <f>IFERROR(__xludf.DUMMYFUNCTION("""COMPUTED_VALUE"""),"SOBRECARGA ")</f>
        <v>SOBRECARGA </v>
      </c>
      <c r="AG618" s="64" t="str">
        <f>IFERROR(__xludf.DUMMYFUNCTION("""COMPUTED_VALUE"""),"OPERATIVO EN CONJUNTO")</f>
        <v>OPERATIVO EN CONJUNTO</v>
      </c>
      <c r="AH618" s="64" t="str">
        <f>IFERROR(__xludf.DUMMYFUNCTION("""COMPUTED_VALUE"""),"PUESTO DE ATENCION AL USUARIO")</f>
        <v>PUESTO DE ATENCION AL USUARIO</v>
      </c>
      <c r="AI618" s="64" t="str">
        <f>IFERROR(__xludf.DUMMYFUNCTION("""COMPUTED_VALUE"""),"INCENDIO EN RUTA")</f>
        <v>INCENDIO EN RUTA</v>
      </c>
      <c r="AJ618" s="64" t="str">
        <f>IFERROR(__xludf.DUMMYFUNCTION("""COMPUTED_VALUE"""),"APOYO ANTORCHA ")</f>
        <v>APOYO ANTORCHA </v>
      </c>
    </row>
    <row r="619">
      <c r="B619" s="64" t="s">
        <v>54</v>
      </c>
      <c r="C619" s="64" t="str">
        <f>IFERROR(__xludf.DUMMYFUNCTION(" TRANSPOSE( unique ( QUERY(DATOPRO,""select Col2 where Col1 = '""&amp;B619&amp;""'"")))"),"PINCHAZO")</f>
        <v>PINCHAZO</v>
      </c>
      <c r="D619" s="64" t="str">
        <f>IFERROR(__xludf.DUMMYFUNCTION("""COMPUTED_VALUE"""),"TRABAJOS DE CARRETERA")</f>
        <v>TRABAJOS DE CARRETERA</v>
      </c>
      <c r="E619" s="64" t="str">
        <f>IFERROR(__xludf.DUMMYFUNCTION("""COMPUTED_VALUE"""),"CONSIGNACIÓN")</f>
        <v>CONSIGNACIÓN</v>
      </c>
      <c r="F619" s="64" t="str">
        <f>IFERROR(__xludf.DUMMYFUNCTION("""COMPUTED_VALUE"""),"DERRAME")</f>
        <v>DERRAME</v>
      </c>
      <c r="G619" s="64" t="str">
        <f>IFERROR(__xludf.DUMMYFUNCTION("""COMPUTED_VALUE"""),"CALENTAMIENTO")</f>
        <v>CALENTAMIENTO</v>
      </c>
      <c r="H619" s="64" t="str">
        <f>IFERROR(__xludf.DUMMYFUNCTION("""COMPUTED_VALUE"""),"ESCOLTANDO")</f>
        <v>ESCOLTANDO</v>
      </c>
      <c r="I619" s="64" t="str">
        <f>IFERROR(__xludf.DUMMYFUNCTION("""COMPUTED_VALUE"""),"FALTA DE COMBUSTIBLE")</f>
        <v>FALTA DE COMBUSTIBLE</v>
      </c>
      <c r="J619" s="64" t="str">
        <f>IFERROR(__xludf.DUMMYFUNCTION("""COMPUTED_VALUE"""),"DESPERFECTOS MECÁNICOS")</f>
        <v>DESPERFECTOS MECÁNICOS</v>
      </c>
      <c r="K619" s="64" t="str">
        <f>IFERROR(__xludf.DUMMYFUNCTION("""COMPUTED_VALUE"""),"LLAMADA DE ATENCIÓN")</f>
        <v>LLAMADA DE ATENCIÓN</v>
      </c>
      <c r="L619" s="64" t="str">
        <f>IFERROR(__xludf.DUMMYFUNCTION("""COMPUTED_VALUE"""),"OPERATIVOS")</f>
        <v>OPERATIVOS</v>
      </c>
      <c r="M619" s="64" t="str">
        <f>IFERROR(__xludf.DUMMYFUNCTION("""COMPUTED_VALUE"""),"SANCIÓN")</f>
        <v>SANCIÓN</v>
      </c>
      <c r="N619" s="64" t="str">
        <f>IFERROR(__xludf.DUMMYFUNCTION("""COMPUTED_VALUE"""),"SISTEMA ELECTRICO")</f>
        <v>SISTEMA ELECTRICO</v>
      </c>
      <c r="O619" s="64" t="str">
        <f>IFERROR(__xludf.DUMMYFUNCTION("""COMPUTED_VALUE"""),"ASISTENCIA AL USUARIO")</f>
        <v>ASISTENCIA AL USUARIO</v>
      </c>
      <c r="P619" s="64" t="str">
        <f>IFERROR(__xludf.DUMMYFUNCTION("""COMPUTED_VALUE"""),"DOBLE REMOLQUE")</f>
        <v>DOBLE REMOLQUE</v>
      </c>
      <c r="Q619" s="64" t="str">
        <f>IFERROR(__xludf.DUMMYFUNCTION("""COMPUTED_VALUE"""),"SINAPRESE")</f>
        <v>SINAPRESE</v>
      </c>
      <c r="R619" s="64" t="str">
        <f>IFERROR(__xludf.DUMMYFUNCTION("""COMPUTED_VALUE"""),"APOYO ATLETISMO")</f>
        <v>APOYO ATLETISMO</v>
      </c>
      <c r="S619" s="64" t="str">
        <f>IFERROR(__xludf.DUMMYFUNCTION("""COMPUTED_VALUE"""),"APOYO A CICLISMO")</f>
        <v>APOYO A CICLISMO</v>
      </c>
      <c r="T619" s="64" t="str">
        <f>IFERROR(__xludf.DUMMYFUNCTION("""COMPUTED_VALUE"""),"DESCARGA DE BATERÍA")</f>
        <v>DESCARGA DE BATERÍA</v>
      </c>
      <c r="U619" s="64" t="str">
        <f>IFERROR(__xludf.DUMMYFUNCTION("""COMPUTED_VALUE"""),"PROBLEMAS DE SALUD")</f>
        <v>PROBLEMAS DE SALUD</v>
      </c>
      <c r="V619" s="64" t="str">
        <f>IFERROR(__xludf.DUMMYFUNCTION("""COMPUTED_VALUE"""),"OLVIDO LA LLAVE")</f>
        <v>OLVIDO LA LLAVE</v>
      </c>
      <c r="W619" s="64" t="str">
        <f>IFERROR(__xludf.DUMMYFUNCTION("""COMPUTED_VALUE"""),"CARGA SOBREDIMENSIONADA")</f>
        <v>CARGA SOBREDIMENSIONADA</v>
      </c>
      <c r="X619" s="64" t="str">
        <f>IFERROR(__xludf.DUMMYFUNCTION("""COMPUTED_VALUE"""),"VEHÍCULO ABANDONADO")</f>
        <v>VEHÍCULO ABANDONADO</v>
      </c>
      <c r="Y619" s="64" t="str">
        <f>IFERROR(__xludf.DUMMYFUNCTION("""COMPUTED_VALUE"""),"DESPRENDIMIENTO")</f>
        <v>DESPRENDIMIENTO</v>
      </c>
      <c r="Z619" s="64" t="str">
        <f>IFERROR(__xludf.DUMMYFUNCTION("""COMPUTED_VALUE"""),"CAÍDA DE POSTE")</f>
        <v>CAÍDA DE POSTE</v>
      </c>
      <c r="AA619" s="64" t="str">
        <f>IFERROR(__xludf.DUMMYFUNCTION("""COMPUTED_VALUE"""),"CAÍDA DE RAMA")</f>
        <v>CAÍDA DE RAMA</v>
      </c>
      <c r="AB619" s="64" t="str">
        <f>IFERROR(__xludf.DUMMYFUNCTION("""COMPUTED_VALUE"""),"OPERATIVO DGT")</f>
        <v>OPERATIVO DGT</v>
      </c>
      <c r="AC619" s="64" t="str">
        <f>IFERROR(__xludf.DUMMYFUNCTION("""COMPUTED_VALUE"""),"OPERATIVO PMT")</f>
        <v>OPERATIVO PMT</v>
      </c>
      <c r="AD619" s="64" t="str">
        <f>IFERROR(__xludf.DUMMYFUNCTION("""COMPUTED_VALUE"""),"APOYO A DIGEF")</f>
        <v>APOYO A DIGEF</v>
      </c>
      <c r="AE619" s="64" t="str">
        <f>IFERROR(__xludf.DUMMYFUNCTION("""COMPUTED_VALUE"""),"OPERATIVO PNC TRANSITO")</f>
        <v>OPERATIVO PNC TRANSITO</v>
      </c>
      <c r="AF619" s="64" t="str">
        <f>IFERROR(__xludf.DUMMYFUNCTION("""COMPUTED_VALUE"""),"SOBRECARGA ")</f>
        <v>SOBRECARGA </v>
      </c>
      <c r="AG619" s="64" t="str">
        <f>IFERROR(__xludf.DUMMYFUNCTION("""COMPUTED_VALUE"""),"OPERATIVO EN CONJUNTO")</f>
        <v>OPERATIVO EN CONJUNTO</v>
      </c>
      <c r="AH619" s="64" t="str">
        <f>IFERROR(__xludf.DUMMYFUNCTION("""COMPUTED_VALUE"""),"PUESTO DE ATENCION AL USUARIO")</f>
        <v>PUESTO DE ATENCION AL USUARIO</v>
      </c>
      <c r="AI619" s="64" t="str">
        <f>IFERROR(__xludf.DUMMYFUNCTION("""COMPUTED_VALUE"""),"INCENDIO EN RUTA")</f>
        <v>INCENDIO EN RUTA</v>
      </c>
      <c r="AJ619" s="64" t="str">
        <f>IFERROR(__xludf.DUMMYFUNCTION("""COMPUTED_VALUE"""),"APOYO ANTORCHA ")</f>
        <v>APOYO ANTORCHA </v>
      </c>
    </row>
    <row r="620">
      <c r="B620" s="64" t="s">
        <v>54</v>
      </c>
      <c r="C620" s="64" t="str">
        <f>IFERROR(__xludf.DUMMYFUNCTION(" TRANSPOSE( unique ( QUERY(DATOPRO,""select Col2 where Col1 = '""&amp;B620&amp;""'"")))"),"PINCHAZO")</f>
        <v>PINCHAZO</v>
      </c>
      <c r="D620" s="64" t="str">
        <f>IFERROR(__xludf.DUMMYFUNCTION("""COMPUTED_VALUE"""),"TRABAJOS DE CARRETERA")</f>
        <v>TRABAJOS DE CARRETERA</v>
      </c>
      <c r="E620" s="64" t="str">
        <f>IFERROR(__xludf.DUMMYFUNCTION("""COMPUTED_VALUE"""),"CONSIGNACIÓN")</f>
        <v>CONSIGNACIÓN</v>
      </c>
      <c r="F620" s="64" t="str">
        <f>IFERROR(__xludf.DUMMYFUNCTION("""COMPUTED_VALUE"""),"DERRAME")</f>
        <v>DERRAME</v>
      </c>
      <c r="G620" s="64" t="str">
        <f>IFERROR(__xludf.DUMMYFUNCTION("""COMPUTED_VALUE"""),"CALENTAMIENTO")</f>
        <v>CALENTAMIENTO</v>
      </c>
      <c r="H620" s="64" t="str">
        <f>IFERROR(__xludf.DUMMYFUNCTION("""COMPUTED_VALUE"""),"ESCOLTANDO")</f>
        <v>ESCOLTANDO</v>
      </c>
      <c r="I620" s="64" t="str">
        <f>IFERROR(__xludf.DUMMYFUNCTION("""COMPUTED_VALUE"""),"FALTA DE COMBUSTIBLE")</f>
        <v>FALTA DE COMBUSTIBLE</v>
      </c>
      <c r="J620" s="64" t="str">
        <f>IFERROR(__xludf.DUMMYFUNCTION("""COMPUTED_VALUE"""),"DESPERFECTOS MECÁNICOS")</f>
        <v>DESPERFECTOS MECÁNICOS</v>
      </c>
      <c r="K620" s="64" t="str">
        <f>IFERROR(__xludf.DUMMYFUNCTION("""COMPUTED_VALUE"""),"LLAMADA DE ATENCIÓN")</f>
        <v>LLAMADA DE ATENCIÓN</v>
      </c>
      <c r="L620" s="64" t="str">
        <f>IFERROR(__xludf.DUMMYFUNCTION("""COMPUTED_VALUE"""),"OPERATIVOS")</f>
        <v>OPERATIVOS</v>
      </c>
      <c r="M620" s="64" t="str">
        <f>IFERROR(__xludf.DUMMYFUNCTION("""COMPUTED_VALUE"""),"SANCIÓN")</f>
        <v>SANCIÓN</v>
      </c>
      <c r="N620" s="64" t="str">
        <f>IFERROR(__xludf.DUMMYFUNCTION("""COMPUTED_VALUE"""),"SISTEMA ELECTRICO")</f>
        <v>SISTEMA ELECTRICO</v>
      </c>
      <c r="O620" s="64" t="str">
        <f>IFERROR(__xludf.DUMMYFUNCTION("""COMPUTED_VALUE"""),"ASISTENCIA AL USUARIO")</f>
        <v>ASISTENCIA AL USUARIO</v>
      </c>
      <c r="P620" s="64" t="str">
        <f>IFERROR(__xludf.DUMMYFUNCTION("""COMPUTED_VALUE"""),"DOBLE REMOLQUE")</f>
        <v>DOBLE REMOLQUE</v>
      </c>
      <c r="Q620" s="64" t="str">
        <f>IFERROR(__xludf.DUMMYFUNCTION("""COMPUTED_VALUE"""),"SINAPRESE")</f>
        <v>SINAPRESE</v>
      </c>
      <c r="R620" s="64" t="str">
        <f>IFERROR(__xludf.DUMMYFUNCTION("""COMPUTED_VALUE"""),"APOYO ATLETISMO")</f>
        <v>APOYO ATLETISMO</v>
      </c>
      <c r="S620" s="64" t="str">
        <f>IFERROR(__xludf.DUMMYFUNCTION("""COMPUTED_VALUE"""),"APOYO A CICLISMO")</f>
        <v>APOYO A CICLISMO</v>
      </c>
      <c r="T620" s="64" t="str">
        <f>IFERROR(__xludf.DUMMYFUNCTION("""COMPUTED_VALUE"""),"DESCARGA DE BATERÍA")</f>
        <v>DESCARGA DE BATERÍA</v>
      </c>
      <c r="U620" s="64" t="str">
        <f>IFERROR(__xludf.DUMMYFUNCTION("""COMPUTED_VALUE"""),"PROBLEMAS DE SALUD")</f>
        <v>PROBLEMAS DE SALUD</v>
      </c>
      <c r="V620" s="64" t="str">
        <f>IFERROR(__xludf.DUMMYFUNCTION("""COMPUTED_VALUE"""),"OLVIDO LA LLAVE")</f>
        <v>OLVIDO LA LLAVE</v>
      </c>
      <c r="W620" s="64" t="str">
        <f>IFERROR(__xludf.DUMMYFUNCTION("""COMPUTED_VALUE"""),"CARGA SOBREDIMENSIONADA")</f>
        <v>CARGA SOBREDIMENSIONADA</v>
      </c>
      <c r="X620" s="64" t="str">
        <f>IFERROR(__xludf.DUMMYFUNCTION("""COMPUTED_VALUE"""),"VEHÍCULO ABANDONADO")</f>
        <v>VEHÍCULO ABANDONADO</v>
      </c>
      <c r="Y620" s="64" t="str">
        <f>IFERROR(__xludf.DUMMYFUNCTION("""COMPUTED_VALUE"""),"DESPRENDIMIENTO")</f>
        <v>DESPRENDIMIENTO</v>
      </c>
      <c r="Z620" s="64" t="str">
        <f>IFERROR(__xludf.DUMMYFUNCTION("""COMPUTED_VALUE"""),"CAÍDA DE POSTE")</f>
        <v>CAÍDA DE POSTE</v>
      </c>
      <c r="AA620" s="64" t="str">
        <f>IFERROR(__xludf.DUMMYFUNCTION("""COMPUTED_VALUE"""),"CAÍDA DE RAMA")</f>
        <v>CAÍDA DE RAMA</v>
      </c>
      <c r="AB620" s="64" t="str">
        <f>IFERROR(__xludf.DUMMYFUNCTION("""COMPUTED_VALUE"""),"OPERATIVO DGT")</f>
        <v>OPERATIVO DGT</v>
      </c>
      <c r="AC620" s="64" t="str">
        <f>IFERROR(__xludf.DUMMYFUNCTION("""COMPUTED_VALUE"""),"OPERATIVO PMT")</f>
        <v>OPERATIVO PMT</v>
      </c>
      <c r="AD620" s="64" t="str">
        <f>IFERROR(__xludf.DUMMYFUNCTION("""COMPUTED_VALUE"""),"APOYO A DIGEF")</f>
        <v>APOYO A DIGEF</v>
      </c>
      <c r="AE620" s="64" t="str">
        <f>IFERROR(__xludf.DUMMYFUNCTION("""COMPUTED_VALUE"""),"OPERATIVO PNC TRANSITO")</f>
        <v>OPERATIVO PNC TRANSITO</v>
      </c>
      <c r="AF620" s="64" t="str">
        <f>IFERROR(__xludf.DUMMYFUNCTION("""COMPUTED_VALUE"""),"SOBRECARGA ")</f>
        <v>SOBRECARGA </v>
      </c>
      <c r="AG620" s="64" t="str">
        <f>IFERROR(__xludf.DUMMYFUNCTION("""COMPUTED_VALUE"""),"OPERATIVO EN CONJUNTO")</f>
        <v>OPERATIVO EN CONJUNTO</v>
      </c>
      <c r="AH620" s="64" t="str">
        <f>IFERROR(__xludf.DUMMYFUNCTION("""COMPUTED_VALUE"""),"PUESTO DE ATENCION AL USUARIO")</f>
        <v>PUESTO DE ATENCION AL USUARIO</v>
      </c>
      <c r="AI620" s="64" t="str">
        <f>IFERROR(__xludf.DUMMYFUNCTION("""COMPUTED_VALUE"""),"INCENDIO EN RUTA")</f>
        <v>INCENDIO EN RUTA</v>
      </c>
      <c r="AJ620" s="64" t="str">
        <f>IFERROR(__xludf.DUMMYFUNCTION("""COMPUTED_VALUE"""),"APOYO ANTORCHA ")</f>
        <v>APOYO ANTORCHA </v>
      </c>
    </row>
    <row r="621">
      <c r="B621" s="64" t="s">
        <v>54</v>
      </c>
      <c r="C621" s="64" t="str">
        <f>IFERROR(__xludf.DUMMYFUNCTION(" TRANSPOSE( unique ( QUERY(DATOPRO,""select Col2 where Col1 = '""&amp;B621&amp;""'"")))"),"PINCHAZO")</f>
        <v>PINCHAZO</v>
      </c>
      <c r="D621" s="64" t="str">
        <f>IFERROR(__xludf.DUMMYFUNCTION("""COMPUTED_VALUE"""),"TRABAJOS DE CARRETERA")</f>
        <v>TRABAJOS DE CARRETERA</v>
      </c>
      <c r="E621" s="64" t="str">
        <f>IFERROR(__xludf.DUMMYFUNCTION("""COMPUTED_VALUE"""),"CONSIGNACIÓN")</f>
        <v>CONSIGNACIÓN</v>
      </c>
      <c r="F621" s="64" t="str">
        <f>IFERROR(__xludf.DUMMYFUNCTION("""COMPUTED_VALUE"""),"DERRAME")</f>
        <v>DERRAME</v>
      </c>
      <c r="G621" s="64" t="str">
        <f>IFERROR(__xludf.DUMMYFUNCTION("""COMPUTED_VALUE"""),"CALENTAMIENTO")</f>
        <v>CALENTAMIENTO</v>
      </c>
      <c r="H621" s="64" t="str">
        <f>IFERROR(__xludf.DUMMYFUNCTION("""COMPUTED_VALUE"""),"ESCOLTANDO")</f>
        <v>ESCOLTANDO</v>
      </c>
      <c r="I621" s="64" t="str">
        <f>IFERROR(__xludf.DUMMYFUNCTION("""COMPUTED_VALUE"""),"FALTA DE COMBUSTIBLE")</f>
        <v>FALTA DE COMBUSTIBLE</v>
      </c>
      <c r="J621" s="64" t="str">
        <f>IFERROR(__xludf.DUMMYFUNCTION("""COMPUTED_VALUE"""),"DESPERFECTOS MECÁNICOS")</f>
        <v>DESPERFECTOS MECÁNICOS</v>
      </c>
      <c r="K621" s="64" t="str">
        <f>IFERROR(__xludf.DUMMYFUNCTION("""COMPUTED_VALUE"""),"LLAMADA DE ATENCIÓN")</f>
        <v>LLAMADA DE ATENCIÓN</v>
      </c>
      <c r="L621" s="64" t="str">
        <f>IFERROR(__xludf.DUMMYFUNCTION("""COMPUTED_VALUE"""),"OPERATIVOS")</f>
        <v>OPERATIVOS</v>
      </c>
      <c r="M621" s="64" t="str">
        <f>IFERROR(__xludf.DUMMYFUNCTION("""COMPUTED_VALUE"""),"SANCIÓN")</f>
        <v>SANCIÓN</v>
      </c>
      <c r="N621" s="64" t="str">
        <f>IFERROR(__xludf.DUMMYFUNCTION("""COMPUTED_VALUE"""),"SISTEMA ELECTRICO")</f>
        <v>SISTEMA ELECTRICO</v>
      </c>
      <c r="O621" s="64" t="str">
        <f>IFERROR(__xludf.DUMMYFUNCTION("""COMPUTED_VALUE"""),"ASISTENCIA AL USUARIO")</f>
        <v>ASISTENCIA AL USUARIO</v>
      </c>
      <c r="P621" s="64" t="str">
        <f>IFERROR(__xludf.DUMMYFUNCTION("""COMPUTED_VALUE"""),"DOBLE REMOLQUE")</f>
        <v>DOBLE REMOLQUE</v>
      </c>
      <c r="Q621" s="64" t="str">
        <f>IFERROR(__xludf.DUMMYFUNCTION("""COMPUTED_VALUE"""),"SINAPRESE")</f>
        <v>SINAPRESE</v>
      </c>
      <c r="R621" s="64" t="str">
        <f>IFERROR(__xludf.DUMMYFUNCTION("""COMPUTED_VALUE"""),"APOYO ATLETISMO")</f>
        <v>APOYO ATLETISMO</v>
      </c>
      <c r="S621" s="64" t="str">
        <f>IFERROR(__xludf.DUMMYFUNCTION("""COMPUTED_VALUE"""),"APOYO A CICLISMO")</f>
        <v>APOYO A CICLISMO</v>
      </c>
      <c r="T621" s="64" t="str">
        <f>IFERROR(__xludf.DUMMYFUNCTION("""COMPUTED_VALUE"""),"DESCARGA DE BATERÍA")</f>
        <v>DESCARGA DE BATERÍA</v>
      </c>
      <c r="U621" s="64" t="str">
        <f>IFERROR(__xludf.DUMMYFUNCTION("""COMPUTED_VALUE"""),"PROBLEMAS DE SALUD")</f>
        <v>PROBLEMAS DE SALUD</v>
      </c>
      <c r="V621" s="64" t="str">
        <f>IFERROR(__xludf.DUMMYFUNCTION("""COMPUTED_VALUE"""),"OLVIDO LA LLAVE")</f>
        <v>OLVIDO LA LLAVE</v>
      </c>
      <c r="W621" s="64" t="str">
        <f>IFERROR(__xludf.DUMMYFUNCTION("""COMPUTED_VALUE"""),"CARGA SOBREDIMENSIONADA")</f>
        <v>CARGA SOBREDIMENSIONADA</v>
      </c>
      <c r="X621" s="64" t="str">
        <f>IFERROR(__xludf.DUMMYFUNCTION("""COMPUTED_VALUE"""),"VEHÍCULO ABANDONADO")</f>
        <v>VEHÍCULO ABANDONADO</v>
      </c>
      <c r="Y621" s="64" t="str">
        <f>IFERROR(__xludf.DUMMYFUNCTION("""COMPUTED_VALUE"""),"DESPRENDIMIENTO")</f>
        <v>DESPRENDIMIENTO</v>
      </c>
      <c r="Z621" s="64" t="str">
        <f>IFERROR(__xludf.DUMMYFUNCTION("""COMPUTED_VALUE"""),"CAÍDA DE POSTE")</f>
        <v>CAÍDA DE POSTE</v>
      </c>
      <c r="AA621" s="64" t="str">
        <f>IFERROR(__xludf.DUMMYFUNCTION("""COMPUTED_VALUE"""),"CAÍDA DE RAMA")</f>
        <v>CAÍDA DE RAMA</v>
      </c>
      <c r="AB621" s="64" t="str">
        <f>IFERROR(__xludf.DUMMYFUNCTION("""COMPUTED_VALUE"""),"OPERATIVO DGT")</f>
        <v>OPERATIVO DGT</v>
      </c>
      <c r="AC621" s="64" t="str">
        <f>IFERROR(__xludf.DUMMYFUNCTION("""COMPUTED_VALUE"""),"OPERATIVO PMT")</f>
        <v>OPERATIVO PMT</v>
      </c>
      <c r="AD621" s="64" t="str">
        <f>IFERROR(__xludf.DUMMYFUNCTION("""COMPUTED_VALUE"""),"APOYO A DIGEF")</f>
        <v>APOYO A DIGEF</v>
      </c>
      <c r="AE621" s="64" t="str">
        <f>IFERROR(__xludf.DUMMYFUNCTION("""COMPUTED_VALUE"""),"OPERATIVO PNC TRANSITO")</f>
        <v>OPERATIVO PNC TRANSITO</v>
      </c>
      <c r="AF621" s="64" t="str">
        <f>IFERROR(__xludf.DUMMYFUNCTION("""COMPUTED_VALUE"""),"SOBRECARGA ")</f>
        <v>SOBRECARGA </v>
      </c>
      <c r="AG621" s="64" t="str">
        <f>IFERROR(__xludf.DUMMYFUNCTION("""COMPUTED_VALUE"""),"OPERATIVO EN CONJUNTO")</f>
        <v>OPERATIVO EN CONJUNTO</v>
      </c>
      <c r="AH621" s="64" t="str">
        <f>IFERROR(__xludf.DUMMYFUNCTION("""COMPUTED_VALUE"""),"PUESTO DE ATENCION AL USUARIO")</f>
        <v>PUESTO DE ATENCION AL USUARIO</v>
      </c>
      <c r="AI621" s="64" t="str">
        <f>IFERROR(__xludf.DUMMYFUNCTION("""COMPUTED_VALUE"""),"INCENDIO EN RUTA")</f>
        <v>INCENDIO EN RUTA</v>
      </c>
      <c r="AJ621" s="64" t="str">
        <f>IFERROR(__xludf.DUMMYFUNCTION("""COMPUTED_VALUE"""),"APOYO ANTORCHA ")</f>
        <v>APOYO ANTORCHA </v>
      </c>
    </row>
    <row r="622">
      <c r="B622" s="64" t="s">
        <v>54</v>
      </c>
      <c r="C622" s="64" t="str">
        <f>IFERROR(__xludf.DUMMYFUNCTION(" TRANSPOSE( unique ( QUERY(DATOPRO,""select Col2 where Col1 = '""&amp;B622&amp;""'"")))"),"PINCHAZO")</f>
        <v>PINCHAZO</v>
      </c>
      <c r="D622" s="64" t="str">
        <f>IFERROR(__xludf.DUMMYFUNCTION("""COMPUTED_VALUE"""),"TRABAJOS DE CARRETERA")</f>
        <v>TRABAJOS DE CARRETERA</v>
      </c>
      <c r="E622" s="64" t="str">
        <f>IFERROR(__xludf.DUMMYFUNCTION("""COMPUTED_VALUE"""),"CONSIGNACIÓN")</f>
        <v>CONSIGNACIÓN</v>
      </c>
      <c r="F622" s="64" t="str">
        <f>IFERROR(__xludf.DUMMYFUNCTION("""COMPUTED_VALUE"""),"DERRAME")</f>
        <v>DERRAME</v>
      </c>
      <c r="G622" s="64" t="str">
        <f>IFERROR(__xludf.DUMMYFUNCTION("""COMPUTED_VALUE"""),"CALENTAMIENTO")</f>
        <v>CALENTAMIENTO</v>
      </c>
      <c r="H622" s="64" t="str">
        <f>IFERROR(__xludf.DUMMYFUNCTION("""COMPUTED_VALUE"""),"ESCOLTANDO")</f>
        <v>ESCOLTANDO</v>
      </c>
      <c r="I622" s="64" t="str">
        <f>IFERROR(__xludf.DUMMYFUNCTION("""COMPUTED_VALUE"""),"FALTA DE COMBUSTIBLE")</f>
        <v>FALTA DE COMBUSTIBLE</v>
      </c>
      <c r="J622" s="64" t="str">
        <f>IFERROR(__xludf.DUMMYFUNCTION("""COMPUTED_VALUE"""),"DESPERFECTOS MECÁNICOS")</f>
        <v>DESPERFECTOS MECÁNICOS</v>
      </c>
      <c r="K622" s="64" t="str">
        <f>IFERROR(__xludf.DUMMYFUNCTION("""COMPUTED_VALUE"""),"LLAMADA DE ATENCIÓN")</f>
        <v>LLAMADA DE ATENCIÓN</v>
      </c>
      <c r="L622" s="64" t="str">
        <f>IFERROR(__xludf.DUMMYFUNCTION("""COMPUTED_VALUE"""),"OPERATIVOS")</f>
        <v>OPERATIVOS</v>
      </c>
      <c r="M622" s="64" t="str">
        <f>IFERROR(__xludf.DUMMYFUNCTION("""COMPUTED_VALUE"""),"SANCIÓN")</f>
        <v>SANCIÓN</v>
      </c>
      <c r="N622" s="64" t="str">
        <f>IFERROR(__xludf.DUMMYFUNCTION("""COMPUTED_VALUE"""),"SISTEMA ELECTRICO")</f>
        <v>SISTEMA ELECTRICO</v>
      </c>
      <c r="O622" s="64" t="str">
        <f>IFERROR(__xludf.DUMMYFUNCTION("""COMPUTED_VALUE"""),"ASISTENCIA AL USUARIO")</f>
        <v>ASISTENCIA AL USUARIO</v>
      </c>
      <c r="P622" s="64" t="str">
        <f>IFERROR(__xludf.DUMMYFUNCTION("""COMPUTED_VALUE"""),"DOBLE REMOLQUE")</f>
        <v>DOBLE REMOLQUE</v>
      </c>
      <c r="Q622" s="64" t="str">
        <f>IFERROR(__xludf.DUMMYFUNCTION("""COMPUTED_VALUE"""),"SINAPRESE")</f>
        <v>SINAPRESE</v>
      </c>
      <c r="R622" s="64" t="str">
        <f>IFERROR(__xludf.DUMMYFUNCTION("""COMPUTED_VALUE"""),"APOYO ATLETISMO")</f>
        <v>APOYO ATLETISMO</v>
      </c>
      <c r="S622" s="64" t="str">
        <f>IFERROR(__xludf.DUMMYFUNCTION("""COMPUTED_VALUE"""),"APOYO A CICLISMO")</f>
        <v>APOYO A CICLISMO</v>
      </c>
      <c r="T622" s="64" t="str">
        <f>IFERROR(__xludf.DUMMYFUNCTION("""COMPUTED_VALUE"""),"DESCARGA DE BATERÍA")</f>
        <v>DESCARGA DE BATERÍA</v>
      </c>
      <c r="U622" s="64" t="str">
        <f>IFERROR(__xludf.DUMMYFUNCTION("""COMPUTED_VALUE"""),"PROBLEMAS DE SALUD")</f>
        <v>PROBLEMAS DE SALUD</v>
      </c>
      <c r="V622" s="64" t="str">
        <f>IFERROR(__xludf.DUMMYFUNCTION("""COMPUTED_VALUE"""),"OLVIDO LA LLAVE")</f>
        <v>OLVIDO LA LLAVE</v>
      </c>
      <c r="W622" s="64" t="str">
        <f>IFERROR(__xludf.DUMMYFUNCTION("""COMPUTED_VALUE"""),"CARGA SOBREDIMENSIONADA")</f>
        <v>CARGA SOBREDIMENSIONADA</v>
      </c>
      <c r="X622" s="64" t="str">
        <f>IFERROR(__xludf.DUMMYFUNCTION("""COMPUTED_VALUE"""),"VEHÍCULO ABANDONADO")</f>
        <v>VEHÍCULO ABANDONADO</v>
      </c>
      <c r="Y622" s="64" t="str">
        <f>IFERROR(__xludf.DUMMYFUNCTION("""COMPUTED_VALUE"""),"DESPRENDIMIENTO")</f>
        <v>DESPRENDIMIENTO</v>
      </c>
      <c r="Z622" s="64" t="str">
        <f>IFERROR(__xludf.DUMMYFUNCTION("""COMPUTED_VALUE"""),"CAÍDA DE POSTE")</f>
        <v>CAÍDA DE POSTE</v>
      </c>
      <c r="AA622" s="64" t="str">
        <f>IFERROR(__xludf.DUMMYFUNCTION("""COMPUTED_VALUE"""),"CAÍDA DE RAMA")</f>
        <v>CAÍDA DE RAMA</v>
      </c>
      <c r="AB622" s="64" t="str">
        <f>IFERROR(__xludf.DUMMYFUNCTION("""COMPUTED_VALUE"""),"OPERATIVO DGT")</f>
        <v>OPERATIVO DGT</v>
      </c>
      <c r="AC622" s="64" t="str">
        <f>IFERROR(__xludf.DUMMYFUNCTION("""COMPUTED_VALUE"""),"OPERATIVO PMT")</f>
        <v>OPERATIVO PMT</v>
      </c>
      <c r="AD622" s="64" t="str">
        <f>IFERROR(__xludf.DUMMYFUNCTION("""COMPUTED_VALUE"""),"APOYO A DIGEF")</f>
        <v>APOYO A DIGEF</v>
      </c>
      <c r="AE622" s="64" t="str">
        <f>IFERROR(__xludf.DUMMYFUNCTION("""COMPUTED_VALUE"""),"OPERATIVO PNC TRANSITO")</f>
        <v>OPERATIVO PNC TRANSITO</v>
      </c>
      <c r="AF622" s="64" t="str">
        <f>IFERROR(__xludf.DUMMYFUNCTION("""COMPUTED_VALUE"""),"SOBRECARGA ")</f>
        <v>SOBRECARGA </v>
      </c>
      <c r="AG622" s="64" t="str">
        <f>IFERROR(__xludf.DUMMYFUNCTION("""COMPUTED_VALUE"""),"OPERATIVO EN CONJUNTO")</f>
        <v>OPERATIVO EN CONJUNTO</v>
      </c>
      <c r="AH622" s="64" t="str">
        <f>IFERROR(__xludf.DUMMYFUNCTION("""COMPUTED_VALUE"""),"PUESTO DE ATENCION AL USUARIO")</f>
        <v>PUESTO DE ATENCION AL USUARIO</v>
      </c>
      <c r="AI622" s="64" t="str">
        <f>IFERROR(__xludf.DUMMYFUNCTION("""COMPUTED_VALUE"""),"INCENDIO EN RUTA")</f>
        <v>INCENDIO EN RUTA</v>
      </c>
      <c r="AJ622" s="64" t="str">
        <f>IFERROR(__xludf.DUMMYFUNCTION("""COMPUTED_VALUE"""),"APOYO ANTORCHA ")</f>
        <v>APOYO ANTORCHA </v>
      </c>
    </row>
    <row r="623">
      <c r="B623" s="64" t="s">
        <v>54</v>
      </c>
      <c r="C623" s="64" t="str">
        <f>IFERROR(__xludf.DUMMYFUNCTION(" TRANSPOSE( unique ( QUERY(DATOPRO,""select Col2 where Col1 = '""&amp;B623&amp;""'"")))"),"PINCHAZO")</f>
        <v>PINCHAZO</v>
      </c>
      <c r="D623" s="64" t="str">
        <f>IFERROR(__xludf.DUMMYFUNCTION("""COMPUTED_VALUE"""),"TRABAJOS DE CARRETERA")</f>
        <v>TRABAJOS DE CARRETERA</v>
      </c>
      <c r="E623" s="64" t="str">
        <f>IFERROR(__xludf.DUMMYFUNCTION("""COMPUTED_VALUE"""),"CONSIGNACIÓN")</f>
        <v>CONSIGNACIÓN</v>
      </c>
      <c r="F623" s="64" t="str">
        <f>IFERROR(__xludf.DUMMYFUNCTION("""COMPUTED_VALUE"""),"DERRAME")</f>
        <v>DERRAME</v>
      </c>
      <c r="G623" s="64" t="str">
        <f>IFERROR(__xludf.DUMMYFUNCTION("""COMPUTED_VALUE"""),"CALENTAMIENTO")</f>
        <v>CALENTAMIENTO</v>
      </c>
      <c r="H623" s="64" t="str">
        <f>IFERROR(__xludf.DUMMYFUNCTION("""COMPUTED_VALUE"""),"ESCOLTANDO")</f>
        <v>ESCOLTANDO</v>
      </c>
      <c r="I623" s="64" t="str">
        <f>IFERROR(__xludf.DUMMYFUNCTION("""COMPUTED_VALUE"""),"FALTA DE COMBUSTIBLE")</f>
        <v>FALTA DE COMBUSTIBLE</v>
      </c>
      <c r="J623" s="64" t="str">
        <f>IFERROR(__xludf.DUMMYFUNCTION("""COMPUTED_VALUE"""),"DESPERFECTOS MECÁNICOS")</f>
        <v>DESPERFECTOS MECÁNICOS</v>
      </c>
      <c r="K623" s="64" t="str">
        <f>IFERROR(__xludf.DUMMYFUNCTION("""COMPUTED_VALUE"""),"LLAMADA DE ATENCIÓN")</f>
        <v>LLAMADA DE ATENCIÓN</v>
      </c>
      <c r="L623" s="64" t="str">
        <f>IFERROR(__xludf.DUMMYFUNCTION("""COMPUTED_VALUE"""),"OPERATIVOS")</f>
        <v>OPERATIVOS</v>
      </c>
      <c r="M623" s="64" t="str">
        <f>IFERROR(__xludf.DUMMYFUNCTION("""COMPUTED_VALUE"""),"SANCIÓN")</f>
        <v>SANCIÓN</v>
      </c>
      <c r="N623" s="64" t="str">
        <f>IFERROR(__xludf.DUMMYFUNCTION("""COMPUTED_VALUE"""),"SISTEMA ELECTRICO")</f>
        <v>SISTEMA ELECTRICO</v>
      </c>
      <c r="O623" s="64" t="str">
        <f>IFERROR(__xludf.DUMMYFUNCTION("""COMPUTED_VALUE"""),"ASISTENCIA AL USUARIO")</f>
        <v>ASISTENCIA AL USUARIO</v>
      </c>
      <c r="P623" s="64" t="str">
        <f>IFERROR(__xludf.DUMMYFUNCTION("""COMPUTED_VALUE"""),"DOBLE REMOLQUE")</f>
        <v>DOBLE REMOLQUE</v>
      </c>
      <c r="Q623" s="64" t="str">
        <f>IFERROR(__xludf.DUMMYFUNCTION("""COMPUTED_VALUE"""),"SINAPRESE")</f>
        <v>SINAPRESE</v>
      </c>
      <c r="R623" s="64" t="str">
        <f>IFERROR(__xludf.DUMMYFUNCTION("""COMPUTED_VALUE"""),"APOYO ATLETISMO")</f>
        <v>APOYO ATLETISMO</v>
      </c>
      <c r="S623" s="64" t="str">
        <f>IFERROR(__xludf.DUMMYFUNCTION("""COMPUTED_VALUE"""),"APOYO A CICLISMO")</f>
        <v>APOYO A CICLISMO</v>
      </c>
      <c r="T623" s="64" t="str">
        <f>IFERROR(__xludf.DUMMYFUNCTION("""COMPUTED_VALUE"""),"DESCARGA DE BATERÍA")</f>
        <v>DESCARGA DE BATERÍA</v>
      </c>
      <c r="U623" s="64" t="str">
        <f>IFERROR(__xludf.DUMMYFUNCTION("""COMPUTED_VALUE"""),"PROBLEMAS DE SALUD")</f>
        <v>PROBLEMAS DE SALUD</v>
      </c>
      <c r="V623" s="64" t="str">
        <f>IFERROR(__xludf.DUMMYFUNCTION("""COMPUTED_VALUE"""),"OLVIDO LA LLAVE")</f>
        <v>OLVIDO LA LLAVE</v>
      </c>
      <c r="W623" s="64" t="str">
        <f>IFERROR(__xludf.DUMMYFUNCTION("""COMPUTED_VALUE"""),"CARGA SOBREDIMENSIONADA")</f>
        <v>CARGA SOBREDIMENSIONADA</v>
      </c>
      <c r="X623" s="64" t="str">
        <f>IFERROR(__xludf.DUMMYFUNCTION("""COMPUTED_VALUE"""),"VEHÍCULO ABANDONADO")</f>
        <v>VEHÍCULO ABANDONADO</v>
      </c>
      <c r="Y623" s="64" t="str">
        <f>IFERROR(__xludf.DUMMYFUNCTION("""COMPUTED_VALUE"""),"DESPRENDIMIENTO")</f>
        <v>DESPRENDIMIENTO</v>
      </c>
      <c r="Z623" s="64" t="str">
        <f>IFERROR(__xludf.DUMMYFUNCTION("""COMPUTED_VALUE"""),"CAÍDA DE POSTE")</f>
        <v>CAÍDA DE POSTE</v>
      </c>
      <c r="AA623" s="64" t="str">
        <f>IFERROR(__xludf.DUMMYFUNCTION("""COMPUTED_VALUE"""),"CAÍDA DE RAMA")</f>
        <v>CAÍDA DE RAMA</v>
      </c>
      <c r="AB623" s="64" t="str">
        <f>IFERROR(__xludf.DUMMYFUNCTION("""COMPUTED_VALUE"""),"OPERATIVO DGT")</f>
        <v>OPERATIVO DGT</v>
      </c>
      <c r="AC623" s="64" t="str">
        <f>IFERROR(__xludf.DUMMYFUNCTION("""COMPUTED_VALUE"""),"OPERATIVO PMT")</f>
        <v>OPERATIVO PMT</v>
      </c>
      <c r="AD623" s="64" t="str">
        <f>IFERROR(__xludf.DUMMYFUNCTION("""COMPUTED_VALUE"""),"APOYO A DIGEF")</f>
        <v>APOYO A DIGEF</v>
      </c>
      <c r="AE623" s="64" t="str">
        <f>IFERROR(__xludf.DUMMYFUNCTION("""COMPUTED_VALUE"""),"OPERATIVO PNC TRANSITO")</f>
        <v>OPERATIVO PNC TRANSITO</v>
      </c>
      <c r="AF623" s="64" t="str">
        <f>IFERROR(__xludf.DUMMYFUNCTION("""COMPUTED_VALUE"""),"SOBRECARGA ")</f>
        <v>SOBRECARGA </v>
      </c>
      <c r="AG623" s="64" t="str">
        <f>IFERROR(__xludf.DUMMYFUNCTION("""COMPUTED_VALUE"""),"OPERATIVO EN CONJUNTO")</f>
        <v>OPERATIVO EN CONJUNTO</v>
      </c>
      <c r="AH623" s="64" t="str">
        <f>IFERROR(__xludf.DUMMYFUNCTION("""COMPUTED_VALUE"""),"PUESTO DE ATENCION AL USUARIO")</f>
        <v>PUESTO DE ATENCION AL USUARIO</v>
      </c>
      <c r="AI623" s="64" t="str">
        <f>IFERROR(__xludf.DUMMYFUNCTION("""COMPUTED_VALUE"""),"INCENDIO EN RUTA")</f>
        <v>INCENDIO EN RUTA</v>
      </c>
      <c r="AJ623" s="64" t="str">
        <f>IFERROR(__xludf.DUMMYFUNCTION("""COMPUTED_VALUE"""),"APOYO ANTORCHA ")</f>
        <v>APOYO ANTORCHA </v>
      </c>
    </row>
    <row r="624">
      <c r="B624" s="64" t="s">
        <v>54</v>
      </c>
      <c r="C624" s="64" t="str">
        <f>IFERROR(__xludf.DUMMYFUNCTION(" TRANSPOSE( unique ( QUERY(DATOPRO,""select Col2 where Col1 = '""&amp;B624&amp;""'"")))"),"PINCHAZO")</f>
        <v>PINCHAZO</v>
      </c>
      <c r="D624" s="64" t="str">
        <f>IFERROR(__xludf.DUMMYFUNCTION("""COMPUTED_VALUE"""),"TRABAJOS DE CARRETERA")</f>
        <v>TRABAJOS DE CARRETERA</v>
      </c>
      <c r="E624" s="64" t="str">
        <f>IFERROR(__xludf.DUMMYFUNCTION("""COMPUTED_VALUE"""),"CONSIGNACIÓN")</f>
        <v>CONSIGNACIÓN</v>
      </c>
      <c r="F624" s="64" t="str">
        <f>IFERROR(__xludf.DUMMYFUNCTION("""COMPUTED_VALUE"""),"DERRAME")</f>
        <v>DERRAME</v>
      </c>
      <c r="G624" s="64" t="str">
        <f>IFERROR(__xludf.DUMMYFUNCTION("""COMPUTED_VALUE"""),"CALENTAMIENTO")</f>
        <v>CALENTAMIENTO</v>
      </c>
      <c r="H624" s="64" t="str">
        <f>IFERROR(__xludf.DUMMYFUNCTION("""COMPUTED_VALUE"""),"ESCOLTANDO")</f>
        <v>ESCOLTANDO</v>
      </c>
      <c r="I624" s="64" t="str">
        <f>IFERROR(__xludf.DUMMYFUNCTION("""COMPUTED_VALUE"""),"FALTA DE COMBUSTIBLE")</f>
        <v>FALTA DE COMBUSTIBLE</v>
      </c>
      <c r="J624" s="64" t="str">
        <f>IFERROR(__xludf.DUMMYFUNCTION("""COMPUTED_VALUE"""),"DESPERFECTOS MECÁNICOS")</f>
        <v>DESPERFECTOS MECÁNICOS</v>
      </c>
      <c r="K624" s="64" t="str">
        <f>IFERROR(__xludf.DUMMYFUNCTION("""COMPUTED_VALUE"""),"LLAMADA DE ATENCIÓN")</f>
        <v>LLAMADA DE ATENCIÓN</v>
      </c>
      <c r="L624" s="64" t="str">
        <f>IFERROR(__xludf.DUMMYFUNCTION("""COMPUTED_VALUE"""),"OPERATIVOS")</f>
        <v>OPERATIVOS</v>
      </c>
      <c r="M624" s="64" t="str">
        <f>IFERROR(__xludf.DUMMYFUNCTION("""COMPUTED_VALUE"""),"SANCIÓN")</f>
        <v>SANCIÓN</v>
      </c>
      <c r="N624" s="64" t="str">
        <f>IFERROR(__xludf.DUMMYFUNCTION("""COMPUTED_VALUE"""),"SISTEMA ELECTRICO")</f>
        <v>SISTEMA ELECTRICO</v>
      </c>
      <c r="O624" s="64" t="str">
        <f>IFERROR(__xludf.DUMMYFUNCTION("""COMPUTED_VALUE"""),"ASISTENCIA AL USUARIO")</f>
        <v>ASISTENCIA AL USUARIO</v>
      </c>
      <c r="P624" s="64" t="str">
        <f>IFERROR(__xludf.DUMMYFUNCTION("""COMPUTED_VALUE"""),"DOBLE REMOLQUE")</f>
        <v>DOBLE REMOLQUE</v>
      </c>
      <c r="Q624" s="64" t="str">
        <f>IFERROR(__xludf.DUMMYFUNCTION("""COMPUTED_VALUE"""),"SINAPRESE")</f>
        <v>SINAPRESE</v>
      </c>
      <c r="R624" s="64" t="str">
        <f>IFERROR(__xludf.DUMMYFUNCTION("""COMPUTED_VALUE"""),"APOYO ATLETISMO")</f>
        <v>APOYO ATLETISMO</v>
      </c>
      <c r="S624" s="64" t="str">
        <f>IFERROR(__xludf.DUMMYFUNCTION("""COMPUTED_VALUE"""),"APOYO A CICLISMO")</f>
        <v>APOYO A CICLISMO</v>
      </c>
      <c r="T624" s="64" t="str">
        <f>IFERROR(__xludf.DUMMYFUNCTION("""COMPUTED_VALUE"""),"DESCARGA DE BATERÍA")</f>
        <v>DESCARGA DE BATERÍA</v>
      </c>
      <c r="U624" s="64" t="str">
        <f>IFERROR(__xludf.DUMMYFUNCTION("""COMPUTED_VALUE"""),"PROBLEMAS DE SALUD")</f>
        <v>PROBLEMAS DE SALUD</v>
      </c>
      <c r="V624" s="64" t="str">
        <f>IFERROR(__xludf.DUMMYFUNCTION("""COMPUTED_VALUE"""),"OLVIDO LA LLAVE")</f>
        <v>OLVIDO LA LLAVE</v>
      </c>
      <c r="W624" s="64" t="str">
        <f>IFERROR(__xludf.DUMMYFUNCTION("""COMPUTED_VALUE"""),"CARGA SOBREDIMENSIONADA")</f>
        <v>CARGA SOBREDIMENSIONADA</v>
      </c>
      <c r="X624" s="64" t="str">
        <f>IFERROR(__xludf.DUMMYFUNCTION("""COMPUTED_VALUE"""),"VEHÍCULO ABANDONADO")</f>
        <v>VEHÍCULO ABANDONADO</v>
      </c>
      <c r="Y624" s="64" t="str">
        <f>IFERROR(__xludf.DUMMYFUNCTION("""COMPUTED_VALUE"""),"DESPRENDIMIENTO")</f>
        <v>DESPRENDIMIENTO</v>
      </c>
      <c r="Z624" s="64" t="str">
        <f>IFERROR(__xludf.DUMMYFUNCTION("""COMPUTED_VALUE"""),"CAÍDA DE POSTE")</f>
        <v>CAÍDA DE POSTE</v>
      </c>
      <c r="AA624" s="64" t="str">
        <f>IFERROR(__xludf.DUMMYFUNCTION("""COMPUTED_VALUE"""),"CAÍDA DE RAMA")</f>
        <v>CAÍDA DE RAMA</v>
      </c>
      <c r="AB624" s="64" t="str">
        <f>IFERROR(__xludf.DUMMYFUNCTION("""COMPUTED_VALUE"""),"OPERATIVO DGT")</f>
        <v>OPERATIVO DGT</v>
      </c>
      <c r="AC624" s="64" t="str">
        <f>IFERROR(__xludf.DUMMYFUNCTION("""COMPUTED_VALUE"""),"OPERATIVO PMT")</f>
        <v>OPERATIVO PMT</v>
      </c>
      <c r="AD624" s="64" t="str">
        <f>IFERROR(__xludf.DUMMYFUNCTION("""COMPUTED_VALUE"""),"APOYO A DIGEF")</f>
        <v>APOYO A DIGEF</v>
      </c>
      <c r="AE624" s="64" t="str">
        <f>IFERROR(__xludf.DUMMYFUNCTION("""COMPUTED_VALUE"""),"OPERATIVO PNC TRANSITO")</f>
        <v>OPERATIVO PNC TRANSITO</v>
      </c>
      <c r="AF624" s="64" t="str">
        <f>IFERROR(__xludf.DUMMYFUNCTION("""COMPUTED_VALUE"""),"SOBRECARGA ")</f>
        <v>SOBRECARGA </v>
      </c>
      <c r="AG624" s="64" t="str">
        <f>IFERROR(__xludf.DUMMYFUNCTION("""COMPUTED_VALUE"""),"OPERATIVO EN CONJUNTO")</f>
        <v>OPERATIVO EN CONJUNTO</v>
      </c>
      <c r="AH624" s="64" t="str">
        <f>IFERROR(__xludf.DUMMYFUNCTION("""COMPUTED_VALUE"""),"PUESTO DE ATENCION AL USUARIO")</f>
        <v>PUESTO DE ATENCION AL USUARIO</v>
      </c>
      <c r="AI624" s="64" t="str">
        <f>IFERROR(__xludf.DUMMYFUNCTION("""COMPUTED_VALUE"""),"INCENDIO EN RUTA")</f>
        <v>INCENDIO EN RUTA</v>
      </c>
      <c r="AJ624" s="64" t="str">
        <f>IFERROR(__xludf.DUMMYFUNCTION("""COMPUTED_VALUE"""),"APOYO ANTORCHA ")</f>
        <v>APOYO ANTORCHA </v>
      </c>
    </row>
    <row r="625">
      <c r="B625" s="64" t="s">
        <v>54</v>
      </c>
      <c r="C625" s="64" t="str">
        <f>IFERROR(__xludf.DUMMYFUNCTION(" TRANSPOSE( unique ( QUERY(DATOPRO,""select Col2 where Col1 = '""&amp;B625&amp;""'"")))"),"PINCHAZO")</f>
        <v>PINCHAZO</v>
      </c>
      <c r="D625" s="64" t="str">
        <f>IFERROR(__xludf.DUMMYFUNCTION("""COMPUTED_VALUE"""),"TRABAJOS DE CARRETERA")</f>
        <v>TRABAJOS DE CARRETERA</v>
      </c>
      <c r="E625" s="64" t="str">
        <f>IFERROR(__xludf.DUMMYFUNCTION("""COMPUTED_VALUE"""),"CONSIGNACIÓN")</f>
        <v>CONSIGNACIÓN</v>
      </c>
      <c r="F625" s="64" t="str">
        <f>IFERROR(__xludf.DUMMYFUNCTION("""COMPUTED_VALUE"""),"DERRAME")</f>
        <v>DERRAME</v>
      </c>
      <c r="G625" s="64" t="str">
        <f>IFERROR(__xludf.DUMMYFUNCTION("""COMPUTED_VALUE"""),"CALENTAMIENTO")</f>
        <v>CALENTAMIENTO</v>
      </c>
      <c r="H625" s="64" t="str">
        <f>IFERROR(__xludf.DUMMYFUNCTION("""COMPUTED_VALUE"""),"ESCOLTANDO")</f>
        <v>ESCOLTANDO</v>
      </c>
      <c r="I625" s="64" t="str">
        <f>IFERROR(__xludf.DUMMYFUNCTION("""COMPUTED_VALUE"""),"FALTA DE COMBUSTIBLE")</f>
        <v>FALTA DE COMBUSTIBLE</v>
      </c>
      <c r="J625" s="64" t="str">
        <f>IFERROR(__xludf.DUMMYFUNCTION("""COMPUTED_VALUE"""),"DESPERFECTOS MECÁNICOS")</f>
        <v>DESPERFECTOS MECÁNICOS</v>
      </c>
      <c r="K625" s="64" t="str">
        <f>IFERROR(__xludf.DUMMYFUNCTION("""COMPUTED_VALUE"""),"LLAMADA DE ATENCIÓN")</f>
        <v>LLAMADA DE ATENCIÓN</v>
      </c>
      <c r="L625" s="64" t="str">
        <f>IFERROR(__xludf.DUMMYFUNCTION("""COMPUTED_VALUE"""),"OPERATIVOS")</f>
        <v>OPERATIVOS</v>
      </c>
      <c r="M625" s="64" t="str">
        <f>IFERROR(__xludf.DUMMYFUNCTION("""COMPUTED_VALUE"""),"SANCIÓN")</f>
        <v>SANCIÓN</v>
      </c>
      <c r="N625" s="64" t="str">
        <f>IFERROR(__xludf.DUMMYFUNCTION("""COMPUTED_VALUE"""),"SISTEMA ELECTRICO")</f>
        <v>SISTEMA ELECTRICO</v>
      </c>
      <c r="O625" s="64" t="str">
        <f>IFERROR(__xludf.DUMMYFUNCTION("""COMPUTED_VALUE"""),"ASISTENCIA AL USUARIO")</f>
        <v>ASISTENCIA AL USUARIO</v>
      </c>
      <c r="P625" s="64" t="str">
        <f>IFERROR(__xludf.DUMMYFUNCTION("""COMPUTED_VALUE"""),"DOBLE REMOLQUE")</f>
        <v>DOBLE REMOLQUE</v>
      </c>
      <c r="Q625" s="64" t="str">
        <f>IFERROR(__xludf.DUMMYFUNCTION("""COMPUTED_VALUE"""),"SINAPRESE")</f>
        <v>SINAPRESE</v>
      </c>
      <c r="R625" s="64" t="str">
        <f>IFERROR(__xludf.DUMMYFUNCTION("""COMPUTED_VALUE"""),"APOYO ATLETISMO")</f>
        <v>APOYO ATLETISMO</v>
      </c>
      <c r="S625" s="64" t="str">
        <f>IFERROR(__xludf.DUMMYFUNCTION("""COMPUTED_VALUE"""),"APOYO A CICLISMO")</f>
        <v>APOYO A CICLISMO</v>
      </c>
      <c r="T625" s="64" t="str">
        <f>IFERROR(__xludf.DUMMYFUNCTION("""COMPUTED_VALUE"""),"DESCARGA DE BATERÍA")</f>
        <v>DESCARGA DE BATERÍA</v>
      </c>
      <c r="U625" s="64" t="str">
        <f>IFERROR(__xludf.DUMMYFUNCTION("""COMPUTED_VALUE"""),"PROBLEMAS DE SALUD")</f>
        <v>PROBLEMAS DE SALUD</v>
      </c>
      <c r="V625" s="64" t="str">
        <f>IFERROR(__xludf.DUMMYFUNCTION("""COMPUTED_VALUE"""),"OLVIDO LA LLAVE")</f>
        <v>OLVIDO LA LLAVE</v>
      </c>
      <c r="W625" s="64" t="str">
        <f>IFERROR(__xludf.DUMMYFUNCTION("""COMPUTED_VALUE"""),"CARGA SOBREDIMENSIONADA")</f>
        <v>CARGA SOBREDIMENSIONADA</v>
      </c>
      <c r="X625" s="64" t="str">
        <f>IFERROR(__xludf.DUMMYFUNCTION("""COMPUTED_VALUE"""),"VEHÍCULO ABANDONADO")</f>
        <v>VEHÍCULO ABANDONADO</v>
      </c>
      <c r="Y625" s="64" t="str">
        <f>IFERROR(__xludf.DUMMYFUNCTION("""COMPUTED_VALUE"""),"DESPRENDIMIENTO")</f>
        <v>DESPRENDIMIENTO</v>
      </c>
      <c r="Z625" s="64" t="str">
        <f>IFERROR(__xludf.DUMMYFUNCTION("""COMPUTED_VALUE"""),"CAÍDA DE POSTE")</f>
        <v>CAÍDA DE POSTE</v>
      </c>
      <c r="AA625" s="64" t="str">
        <f>IFERROR(__xludf.DUMMYFUNCTION("""COMPUTED_VALUE"""),"CAÍDA DE RAMA")</f>
        <v>CAÍDA DE RAMA</v>
      </c>
      <c r="AB625" s="64" t="str">
        <f>IFERROR(__xludf.DUMMYFUNCTION("""COMPUTED_VALUE"""),"OPERATIVO DGT")</f>
        <v>OPERATIVO DGT</v>
      </c>
      <c r="AC625" s="64" t="str">
        <f>IFERROR(__xludf.DUMMYFUNCTION("""COMPUTED_VALUE"""),"OPERATIVO PMT")</f>
        <v>OPERATIVO PMT</v>
      </c>
      <c r="AD625" s="64" t="str">
        <f>IFERROR(__xludf.DUMMYFUNCTION("""COMPUTED_VALUE"""),"APOYO A DIGEF")</f>
        <v>APOYO A DIGEF</v>
      </c>
      <c r="AE625" s="64" t="str">
        <f>IFERROR(__xludf.DUMMYFUNCTION("""COMPUTED_VALUE"""),"OPERATIVO PNC TRANSITO")</f>
        <v>OPERATIVO PNC TRANSITO</v>
      </c>
      <c r="AF625" s="64" t="str">
        <f>IFERROR(__xludf.DUMMYFUNCTION("""COMPUTED_VALUE"""),"SOBRECARGA ")</f>
        <v>SOBRECARGA </v>
      </c>
      <c r="AG625" s="64" t="str">
        <f>IFERROR(__xludf.DUMMYFUNCTION("""COMPUTED_VALUE"""),"OPERATIVO EN CONJUNTO")</f>
        <v>OPERATIVO EN CONJUNTO</v>
      </c>
      <c r="AH625" s="64" t="str">
        <f>IFERROR(__xludf.DUMMYFUNCTION("""COMPUTED_VALUE"""),"PUESTO DE ATENCION AL USUARIO")</f>
        <v>PUESTO DE ATENCION AL USUARIO</v>
      </c>
      <c r="AI625" s="64" t="str">
        <f>IFERROR(__xludf.DUMMYFUNCTION("""COMPUTED_VALUE"""),"INCENDIO EN RUTA")</f>
        <v>INCENDIO EN RUTA</v>
      </c>
      <c r="AJ625" s="64" t="str">
        <f>IFERROR(__xludf.DUMMYFUNCTION("""COMPUTED_VALUE"""),"APOYO ANTORCHA ")</f>
        <v>APOYO ANTORCHA </v>
      </c>
    </row>
    <row r="626">
      <c r="B626" s="64" t="s">
        <v>54</v>
      </c>
      <c r="C626" s="64" t="str">
        <f>IFERROR(__xludf.DUMMYFUNCTION(" TRANSPOSE( unique ( QUERY(DATOPRO,""select Col2 where Col1 = '""&amp;B626&amp;""'"")))"),"PINCHAZO")</f>
        <v>PINCHAZO</v>
      </c>
      <c r="D626" s="64" t="str">
        <f>IFERROR(__xludf.DUMMYFUNCTION("""COMPUTED_VALUE"""),"TRABAJOS DE CARRETERA")</f>
        <v>TRABAJOS DE CARRETERA</v>
      </c>
      <c r="E626" s="64" t="str">
        <f>IFERROR(__xludf.DUMMYFUNCTION("""COMPUTED_VALUE"""),"CONSIGNACIÓN")</f>
        <v>CONSIGNACIÓN</v>
      </c>
      <c r="F626" s="64" t="str">
        <f>IFERROR(__xludf.DUMMYFUNCTION("""COMPUTED_VALUE"""),"DERRAME")</f>
        <v>DERRAME</v>
      </c>
      <c r="G626" s="64" t="str">
        <f>IFERROR(__xludf.DUMMYFUNCTION("""COMPUTED_VALUE"""),"CALENTAMIENTO")</f>
        <v>CALENTAMIENTO</v>
      </c>
      <c r="H626" s="64" t="str">
        <f>IFERROR(__xludf.DUMMYFUNCTION("""COMPUTED_VALUE"""),"ESCOLTANDO")</f>
        <v>ESCOLTANDO</v>
      </c>
      <c r="I626" s="64" t="str">
        <f>IFERROR(__xludf.DUMMYFUNCTION("""COMPUTED_VALUE"""),"FALTA DE COMBUSTIBLE")</f>
        <v>FALTA DE COMBUSTIBLE</v>
      </c>
      <c r="J626" s="64" t="str">
        <f>IFERROR(__xludf.DUMMYFUNCTION("""COMPUTED_VALUE"""),"DESPERFECTOS MECÁNICOS")</f>
        <v>DESPERFECTOS MECÁNICOS</v>
      </c>
      <c r="K626" s="64" t="str">
        <f>IFERROR(__xludf.DUMMYFUNCTION("""COMPUTED_VALUE"""),"LLAMADA DE ATENCIÓN")</f>
        <v>LLAMADA DE ATENCIÓN</v>
      </c>
      <c r="L626" s="64" t="str">
        <f>IFERROR(__xludf.DUMMYFUNCTION("""COMPUTED_VALUE"""),"OPERATIVOS")</f>
        <v>OPERATIVOS</v>
      </c>
      <c r="M626" s="64" t="str">
        <f>IFERROR(__xludf.DUMMYFUNCTION("""COMPUTED_VALUE"""),"SANCIÓN")</f>
        <v>SANCIÓN</v>
      </c>
      <c r="N626" s="64" t="str">
        <f>IFERROR(__xludf.DUMMYFUNCTION("""COMPUTED_VALUE"""),"SISTEMA ELECTRICO")</f>
        <v>SISTEMA ELECTRICO</v>
      </c>
      <c r="O626" s="64" t="str">
        <f>IFERROR(__xludf.DUMMYFUNCTION("""COMPUTED_VALUE"""),"ASISTENCIA AL USUARIO")</f>
        <v>ASISTENCIA AL USUARIO</v>
      </c>
      <c r="P626" s="64" t="str">
        <f>IFERROR(__xludf.DUMMYFUNCTION("""COMPUTED_VALUE"""),"DOBLE REMOLQUE")</f>
        <v>DOBLE REMOLQUE</v>
      </c>
      <c r="Q626" s="64" t="str">
        <f>IFERROR(__xludf.DUMMYFUNCTION("""COMPUTED_VALUE"""),"SINAPRESE")</f>
        <v>SINAPRESE</v>
      </c>
      <c r="R626" s="64" t="str">
        <f>IFERROR(__xludf.DUMMYFUNCTION("""COMPUTED_VALUE"""),"APOYO ATLETISMO")</f>
        <v>APOYO ATLETISMO</v>
      </c>
      <c r="S626" s="64" t="str">
        <f>IFERROR(__xludf.DUMMYFUNCTION("""COMPUTED_VALUE"""),"APOYO A CICLISMO")</f>
        <v>APOYO A CICLISMO</v>
      </c>
      <c r="T626" s="64" t="str">
        <f>IFERROR(__xludf.DUMMYFUNCTION("""COMPUTED_VALUE"""),"DESCARGA DE BATERÍA")</f>
        <v>DESCARGA DE BATERÍA</v>
      </c>
      <c r="U626" s="64" t="str">
        <f>IFERROR(__xludf.DUMMYFUNCTION("""COMPUTED_VALUE"""),"PROBLEMAS DE SALUD")</f>
        <v>PROBLEMAS DE SALUD</v>
      </c>
      <c r="V626" s="64" t="str">
        <f>IFERROR(__xludf.DUMMYFUNCTION("""COMPUTED_VALUE"""),"OLVIDO LA LLAVE")</f>
        <v>OLVIDO LA LLAVE</v>
      </c>
      <c r="W626" s="64" t="str">
        <f>IFERROR(__xludf.DUMMYFUNCTION("""COMPUTED_VALUE"""),"CARGA SOBREDIMENSIONADA")</f>
        <v>CARGA SOBREDIMENSIONADA</v>
      </c>
      <c r="X626" s="64" t="str">
        <f>IFERROR(__xludf.DUMMYFUNCTION("""COMPUTED_VALUE"""),"VEHÍCULO ABANDONADO")</f>
        <v>VEHÍCULO ABANDONADO</v>
      </c>
      <c r="Y626" s="64" t="str">
        <f>IFERROR(__xludf.DUMMYFUNCTION("""COMPUTED_VALUE"""),"DESPRENDIMIENTO")</f>
        <v>DESPRENDIMIENTO</v>
      </c>
      <c r="Z626" s="64" t="str">
        <f>IFERROR(__xludf.DUMMYFUNCTION("""COMPUTED_VALUE"""),"CAÍDA DE POSTE")</f>
        <v>CAÍDA DE POSTE</v>
      </c>
      <c r="AA626" s="64" t="str">
        <f>IFERROR(__xludf.DUMMYFUNCTION("""COMPUTED_VALUE"""),"CAÍDA DE RAMA")</f>
        <v>CAÍDA DE RAMA</v>
      </c>
      <c r="AB626" s="64" t="str">
        <f>IFERROR(__xludf.DUMMYFUNCTION("""COMPUTED_VALUE"""),"OPERATIVO DGT")</f>
        <v>OPERATIVO DGT</v>
      </c>
      <c r="AC626" s="64" t="str">
        <f>IFERROR(__xludf.DUMMYFUNCTION("""COMPUTED_VALUE"""),"OPERATIVO PMT")</f>
        <v>OPERATIVO PMT</v>
      </c>
      <c r="AD626" s="64" t="str">
        <f>IFERROR(__xludf.DUMMYFUNCTION("""COMPUTED_VALUE"""),"APOYO A DIGEF")</f>
        <v>APOYO A DIGEF</v>
      </c>
      <c r="AE626" s="64" t="str">
        <f>IFERROR(__xludf.DUMMYFUNCTION("""COMPUTED_VALUE"""),"OPERATIVO PNC TRANSITO")</f>
        <v>OPERATIVO PNC TRANSITO</v>
      </c>
      <c r="AF626" s="64" t="str">
        <f>IFERROR(__xludf.DUMMYFUNCTION("""COMPUTED_VALUE"""),"SOBRECARGA ")</f>
        <v>SOBRECARGA </v>
      </c>
      <c r="AG626" s="64" t="str">
        <f>IFERROR(__xludf.DUMMYFUNCTION("""COMPUTED_VALUE"""),"OPERATIVO EN CONJUNTO")</f>
        <v>OPERATIVO EN CONJUNTO</v>
      </c>
      <c r="AH626" s="64" t="str">
        <f>IFERROR(__xludf.DUMMYFUNCTION("""COMPUTED_VALUE"""),"PUESTO DE ATENCION AL USUARIO")</f>
        <v>PUESTO DE ATENCION AL USUARIO</v>
      </c>
      <c r="AI626" s="64" t="str">
        <f>IFERROR(__xludf.DUMMYFUNCTION("""COMPUTED_VALUE"""),"INCENDIO EN RUTA")</f>
        <v>INCENDIO EN RUTA</v>
      </c>
      <c r="AJ626" s="64" t="str">
        <f>IFERROR(__xludf.DUMMYFUNCTION("""COMPUTED_VALUE"""),"APOYO ANTORCHA ")</f>
        <v>APOYO ANTORCHA </v>
      </c>
    </row>
    <row r="627">
      <c r="B627" s="64" t="s">
        <v>54</v>
      </c>
      <c r="C627" s="64" t="str">
        <f>IFERROR(__xludf.DUMMYFUNCTION(" TRANSPOSE( unique ( QUERY(DATOPRO,""select Col2 where Col1 = '""&amp;B627&amp;""'"")))"),"PINCHAZO")</f>
        <v>PINCHAZO</v>
      </c>
      <c r="D627" s="64" t="str">
        <f>IFERROR(__xludf.DUMMYFUNCTION("""COMPUTED_VALUE"""),"TRABAJOS DE CARRETERA")</f>
        <v>TRABAJOS DE CARRETERA</v>
      </c>
      <c r="E627" s="64" t="str">
        <f>IFERROR(__xludf.DUMMYFUNCTION("""COMPUTED_VALUE"""),"CONSIGNACIÓN")</f>
        <v>CONSIGNACIÓN</v>
      </c>
      <c r="F627" s="64" t="str">
        <f>IFERROR(__xludf.DUMMYFUNCTION("""COMPUTED_VALUE"""),"DERRAME")</f>
        <v>DERRAME</v>
      </c>
      <c r="G627" s="64" t="str">
        <f>IFERROR(__xludf.DUMMYFUNCTION("""COMPUTED_VALUE"""),"CALENTAMIENTO")</f>
        <v>CALENTAMIENTO</v>
      </c>
      <c r="H627" s="64" t="str">
        <f>IFERROR(__xludf.DUMMYFUNCTION("""COMPUTED_VALUE"""),"ESCOLTANDO")</f>
        <v>ESCOLTANDO</v>
      </c>
      <c r="I627" s="64" t="str">
        <f>IFERROR(__xludf.DUMMYFUNCTION("""COMPUTED_VALUE"""),"FALTA DE COMBUSTIBLE")</f>
        <v>FALTA DE COMBUSTIBLE</v>
      </c>
      <c r="J627" s="64" t="str">
        <f>IFERROR(__xludf.DUMMYFUNCTION("""COMPUTED_VALUE"""),"DESPERFECTOS MECÁNICOS")</f>
        <v>DESPERFECTOS MECÁNICOS</v>
      </c>
      <c r="K627" s="64" t="str">
        <f>IFERROR(__xludf.DUMMYFUNCTION("""COMPUTED_VALUE"""),"LLAMADA DE ATENCIÓN")</f>
        <v>LLAMADA DE ATENCIÓN</v>
      </c>
      <c r="L627" s="64" t="str">
        <f>IFERROR(__xludf.DUMMYFUNCTION("""COMPUTED_VALUE"""),"OPERATIVOS")</f>
        <v>OPERATIVOS</v>
      </c>
      <c r="M627" s="64" t="str">
        <f>IFERROR(__xludf.DUMMYFUNCTION("""COMPUTED_VALUE"""),"SANCIÓN")</f>
        <v>SANCIÓN</v>
      </c>
      <c r="N627" s="64" t="str">
        <f>IFERROR(__xludf.DUMMYFUNCTION("""COMPUTED_VALUE"""),"SISTEMA ELECTRICO")</f>
        <v>SISTEMA ELECTRICO</v>
      </c>
      <c r="O627" s="64" t="str">
        <f>IFERROR(__xludf.DUMMYFUNCTION("""COMPUTED_VALUE"""),"ASISTENCIA AL USUARIO")</f>
        <v>ASISTENCIA AL USUARIO</v>
      </c>
      <c r="P627" s="64" t="str">
        <f>IFERROR(__xludf.DUMMYFUNCTION("""COMPUTED_VALUE"""),"DOBLE REMOLQUE")</f>
        <v>DOBLE REMOLQUE</v>
      </c>
      <c r="Q627" s="64" t="str">
        <f>IFERROR(__xludf.DUMMYFUNCTION("""COMPUTED_VALUE"""),"SINAPRESE")</f>
        <v>SINAPRESE</v>
      </c>
      <c r="R627" s="64" t="str">
        <f>IFERROR(__xludf.DUMMYFUNCTION("""COMPUTED_VALUE"""),"APOYO ATLETISMO")</f>
        <v>APOYO ATLETISMO</v>
      </c>
      <c r="S627" s="64" t="str">
        <f>IFERROR(__xludf.DUMMYFUNCTION("""COMPUTED_VALUE"""),"APOYO A CICLISMO")</f>
        <v>APOYO A CICLISMO</v>
      </c>
      <c r="T627" s="64" t="str">
        <f>IFERROR(__xludf.DUMMYFUNCTION("""COMPUTED_VALUE"""),"DESCARGA DE BATERÍA")</f>
        <v>DESCARGA DE BATERÍA</v>
      </c>
      <c r="U627" s="64" t="str">
        <f>IFERROR(__xludf.DUMMYFUNCTION("""COMPUTED_VALUE"""),"PROBLEMAS DE SALUD")</f>
        <v>PROBLEMAS DE SALUD</v>
      </c>
      <c r="V627" s="64" t="str">
        <f>IFERROR(__xludf.DUMMYFUNCTION("""COMPUTED_VALUE"""),"OLVIDO LA LLAVE")</f>
        <v>OLVIDO LA LLAVE</v>
      </c>
      <c r="W627" s="64" t="str">
        <f>IFERROR(__xludf.DUMMYFUNCTION("""COMPUTED_VALUE"""),"CARGA SOBREDIMENSIONADA")</f>
        <v>CARGA SOBREDIMENSIONADA</v>
      </c>
      <c r="X627" s="64" t="str">
        <f>IFERROR(__xludf.DUMMYFUNCTION("""COMPUTED_VALUE"""),"VEHÍCULO ABANDONADO")</f>
        <v>VEHÍCULO ABANDONADO</v>
      </c>
      <c r="Y627" s="64" t="str">
        <f>IFERROR(__xludf.DUMMYFUNCTION("""COMPUTED_VALUE"""),"DESPRENDIMIENTO")</f>
        <v>DESPRENDIMIENTO</v>
      </c>
      <c r="Z627" s="64" t="str">
        <f>IFERROR(__xludf.DUMMYFUNCTION("""COMPUTED_VALUE"""),"CAÍDA DE POSTE")</f>
        <v>CAÍDA DE POSTE</v>
      </c>
      <c r="AA627" s="64" t="str">
        <f>IFERROR(__xludf.DUMMYFUNCTION("""COMPUTED_VALUE"""),"CAÍDA DE RAMA")</f>
        <v>CAÍDA DE RAMA</v>
      </c>
      <c r="AB627" s="64" t="str">
        <f>IFERROR(__xludf.DUMMYFUNCTION("""COMPUTED_VALUE"""),"OPERATIVO DGT")</f>
        <v>OPERATIVO DGT</v>
      </c>
      <c r="AC627" s="64" t="str">
        <f>IFERROR(__xludf.DUMMYFUNCTION("""COMPUTED_VALUE"""),"OPERATIVO PMT")</f>
        <v>OPERATIVO PMT</v>
      </c>
      <c r="AD627" s="64" t="str">
        <f>IFERROR(__xludf.DUMMYFUNCTION("""COMPUTED_VALUE"""),"APOYO A DIGEF")</f>
        <v>APOYO A DIGEF</v>
      </c>
      <c r="AE627" s="64" t="str">
        <f>IFERROR(__xludf.DUMMYFUNCTION("""COMPUTED_VALUE"""),"OPERATIVO PNC TRANSITO")</f>
        <v>OPERATIVO PNC TRANSITO</v>
      </c>
      <c r="AF627" s="64" t="str">
        <f>IFERROR(__xludf.DUMMYFUNCTION("""COMPUTED_VALUE"""),"SOBRECARGA ")</f>
        <v>SOBRECARGA </v>
      </c>
      <c r="AG627" s="64" t="str">
        <f>IFERROR(__xludf.DUMMYFUNCTION("""COMPUTED_VALUE"""),"OPERATIVO EN CONJUNTO")</f>
        <v>OPERATIVO EN CONJUNTO</v>
      </c>
      <c r="AH627" s="64" t="str">
        <f>IFERROR(__xludf.DUMMYFUNCTION("""COMPUTED_VALUE"""),"PUESTO DE ATENCION AL USUARIO")</f>
        <v>PUESTO DE ATENCION AL USUARIO</v>
      </c>
      <c r="AI627" s="64" t="str">
        <f>IFERROR(__xludf.DUMMYFUNCTION("""COMPUTED_VALUE"""),"INCENDIO EN RUTA")</f>
        <v>INCENDIO EN RUTA</v>
      </c>
      <c r="AJ627" s="64" t="str">
        <f>IFERROR(__xludf.DUMMYFUNCTION("""COMPUTED_VALUE"""),"APOYO ANTORCHA ")</f>
        <v>APOYO ANTORCHA </v>
      </c>
    </row>
    <row r="628">
      <c r="B628" s="64" t="s">
        <v>54</v>
      </c>
      <c r="C628" s="64" t="str">
        <f>IFERROR(__xludf.DUMMYFUNCTION(" TRANSPOSE( unique ( QUERY(DATOPRO,""select Col2 where Col1 = '""&amp;B628&amp;""'"")))"),"PINCHAZO")</f>
        <v>PINCHAZO</v>
      </c>
      <c r="D628" s="64" t="str">
        <f>IFERROR(__xludf.DUMMYFUNCTION("""COMPUTED_VALUE"""),"TRABAJOS DE CARRETERA")</f>
        <v>TRABAJOS DE CARRETERA</v>
      </c>
      <c r="E628" s="64" t="str">
        <f>IFERROR(__xludf.DUMMYFUNCTION("""COMPUTED_VALUE"""),"CONSIGNACIÓN")</f>
        <v>CONSIGNACIÓN</v>
      </c>
      <c r="F628" s="64" t="str">
        <f>IFERROR(__xludf.DUMMYFUNCTION("""COMPUTED_VALUE"""),"DERRAME")</f>
        <v>DERRAME</v>
      </c>
      <c r="G628" s="64" t="str">
        <f>IFERROR(__xludf.DUMMYFUNCTION("""COMPUTED_VALUE"""),"CALENTAMIENTO")</f>
        <v>CALENTAMIENTO</v>
      </c>
      <c r="H628" s="64" t="str">
        <f>IFERROR(__xludf.DUMMYFUNCTION("""COMPUTED_VALUE"""),"ESCOLTANDO")</f>
        <v>ESCOLTANDO</v>
      </c>
      <c r="I628" s="64" t="str">
        <f>IFERROR(__xludf.DUMMYFUNCTION("""COMPUTED_VALUE"""),"FALTA DE COMBUSTIBLE")</f>
        <v>FALTA DE COMBUSTIBLE</v>
      </c>
      <c r="J628" s="64" t="str">
        <f>IFERROR(__xludf.DUMMYFUNCTION("""COMPUTED_VALUE"""),"DESPERFECTOS MECÁNICOS")</f>
        <v>DESPERFECTOS MECÁNICOS</v>
      </c>
      <c r="K628" s="64" t="str">
        <f>IFERROR(__xludf.DUMMYFUNCTION("""COMPUTED_VALUE"""),"LLAMADA DE ATENCIÓN")</f>
        <v>LLAMADA DE ATENCIÓN</v>
      </c>
      <c r="L628" s="64" t="str">
        <f>IFERROR(__xludf.DUMMYFUNCTION("""COMPUTED_VALUE"""),"OPERATIVOS")</f>
        <v>OPERATIVOS</v>
      </c>
      <c r="M628" s="64" t="str">
        <f>IFERROR(__xludf.DUMMYFUNCTION("""COMPUTED_VALUE"""),"SANCIÓN")</f>
        <v>SANCIÓN</v>
      </c>
      <c r="N628" s="64" t="str">
        <f>IFERROR(__xludf.DUMMYFUNCTION("""COMPUTED_VALUE"""),"SISTEMA ELECTRICO")</f>
        <v>SISTEMA ELECTRICO</v>
      </c>
      <c r="O628" s="64" t="str">
        <f>IFERROR(__xludf.DUMMYFUNCTION("""COMPUTED_VALUE"""),"ASISTENCIA AL USUARIO")</f>
        <v>ASISTENCIA AL USUARIO</v>
      </c>
      <c r="P628" s="64" t="str">
        <f>IFERROR(__xludf.DUMMYFUNCTION("""COMPUTED_VALUE"""),"DOBLE REMOLQUE")</f>
        <v>DOBLE REMOLQUE</v>
      </c>
      <c r="Q628" s="64" t="str">
        <f>IFERROR(__xludf.DUMMYFUNCTION("""COMPUTED_VALUE"""),"SINAPRESE")</f>
        <v>SINAPRESE</v>
      </c>
      <c r="R628" s="64" t="str">
        <f>IFERROR(__xludf.DUMMYFUNCTION("""COMPUTED_VALUE"""),"APOYO ATLETISMO")</f>
        <v>APOYO ATLETISMO</v>
      </c>
      <c r="S628" s="64" t="str">
        <f>IFERROR(__xludf.DUMMYFUNCTION("""COMPUTED_VALUE"""),"APOYO A CICLISMO")</f>
        <v>APOYO A CICLISMO</v>
      </c>
      <c r="T628" s="64" t="str">
        <f>IFERROR(__xludf.DUMMYFUNCTION("""COMPUTED_VALUE"""),"DESCARGA DE BATERÍA")</f>
        <v>DESCARGA DE BATERÍA</v>
      </c>
      <c r="U628" s="64" t="str">
        <f>IFERROR(__xludf.DUMMYFUNCTION("""COMPUTED_VALUE"""),"PROBLEMAS DE SALUD")</f>
        <v>PROBLEMAS DE SALUD</v>
      </c>
      <c r="V628" s="64" t="str">
        <f>IFERROR(__xludf.DUMMYFUNCTION("""COMPUTED_VALUE"""),"OLVIDO LA LLAVE")</f>
        <v>OLVIDO LA LLAVE</v>
      </c>
      <c r="W628" s="64" t="str">
        <f>IFERROR(__xludf.DUMMYFUNCTION("""COMPUTED_VALUE"""),"CARGA SOBREDIMENSIONADA")</f>
        <v>CARGA SOBREDIMENSIONADA</v>
      </c>
      <c r="X628" s="64" t="str">
        <f>IFERROR(__xludf.DUMMYFUNCTION("""COMPUTED_VALUE"""),"VEHÍCULO ABANDONADO")</f>
        <v>VEHÍCULO ABANDONADO</v>
      </c>
      <c r="Y628" s="64" t="str">
        <f>IFERROR(__xludf.DUMMYFUNCTION("""COMPUTED_VALUE"""),"DESPRENDIMIENTO")</f>
        <v>DESPRENDIMIENTO</v>
      </c>
      <c r="Z628" s="64" t="str">
        <f>IFERROR(__xludf.DUMMYFUNCTION("""COMPUTED_VALUE"""),"CAÍDA DE POSTE")</f>
        <v>CAÍDA DE POSTE</v>
      </c>
      <c r="AA628" s="64" t="str">
        <f>IFERROR(__xludf.DUMMYFUNCTION("""COMPUTED_VALUE"""),"CAÍDA DE RAMA")</f>
        <v>CAÍDA DE RAMA</v>
      </c>
      <c r="AB628" s="64" t="str">
        <f>IFERROR(__xludf.DUMMYFUNCTION("""COMPUTED_VALUE"""),"OPERATIVO DGT")</f>
        <v>OPERATIVO DGT</v>
      </c>
      <c r="AC628" s="64" t="str">
        <f>IFERROR(__xludf.DUMMYFUNCTION("""COMPUTED_VALUE"""),"OPERATIVO PMT")</f>
        <v>OPERATIVO PMT</v>
      </c>
      <c r="AD628" s="64" t="str">
        <f>IFERROR(__xludf.DUMMYFUNCTION("""COMPUTED_VALUE"""),"APOYO A DIGEF")</f>
        <v>APOYO A DIGEF</v>
      </c>
      <c r="AE628" s="64" t="str">
        <f>IFERROR(__xludf.DUMMYFUNCTION("""COMPUTED_VALUE"""),"OPERATIVO PNC TRANSITO")</f>
        <v>OPERATIVO PNC TRANSITO</v>
      </c>
      <c r="AF628" s="64" t="str">
        <f>IFERROR(__xludf.DUMMYFUNCTION("""COMPUTED_VALUE"""),"SOBRECARGA ")</f>
        <v>SOBRECARGA </v>
      </c>
      <c r="AG628" s="64" t="str">
        <f>IFERROR(__xludf.DUMMYFUNCTION("""COMPUTED_VALUE"""),"OPERATIVO EN CONJUNTO")</f>
        <v>OPERATIVO EN CONJUNTO</v>
      </c>
      <c r="AH628" s="64" t="str">
        <f>IFERROR(__xludf.DUMMYFUNCTION("""COMPUTED_VALUE"""),"PUESTO DE ATENCION AL USUARIO")</f>
        <v>PUESTO DE ATENCION AL USUARIO</v>
      </c>
      <c r="AI628" s="64" t="str">
        <f>IFERROR(__xludf.DUMMYFUNCTION("""COMPUTED_VALUE"""),"INCENDIO EN RUTA")</f>
        <v>INCENDIO EN RUTA</v>
      </c>
      <c r="AJ628" s="64" t="str">
        <f>IFERROR(__xludf.DUMMYFUNCTION("""COMPUTED_VALUE"""),"APOYO ANTORCHA ")</f>
        <v>APOYO ANTORCHA </v>
      </c>
    </row>
    <row r="629">
      <c r="B629" s="64" t="s">
        <v>54</v>
      </c>
      <c r="C629" s="64" t="str">
        <f>IFERROR(__xludf.DUMMYFUNCTION(" TRANSPOSE( unique ( QUERY(DATOPRO,""select Col2 where Col1 = '""&amp;B629&amp;""'"")))"),"PINCHAZO")</f>
        <v>PINCHAZO</v>
      </c>
      <c r="D629" s="64" t="str">
        <f>IFERROR(__xludf.DUMMYFUNCTION("""COMPUTED_VALUE"""),"TRABAJOS DE CARRETERA")</f>
        <v>TRABAJOS DE CARRETERA</v>
      </c>
      <c r="E629" s="64" t="str">
        <f>IFERROR(__xludf.DUMMYFUNCTION("""COMPUTED_VALUE"""),"CONSIGNACIÓN")</f>
        <v>CONSIGNACIÓN</v>
      </c>
      <c r="F629" s="64" t="str">
        <f>IFERROR(__xludf.DUMMYFUNCTION("""COMPUTED_VALUE"""),"DERRAME")</f>
        <v>DERRAME</v>
      </c>
      <c r="G629" s="64" t="str">
        <f>IFERROR(__xludf.DUMMYFUNCTION("""COMPUTED_VALUE"""),"CALENTAMIENTO")</f>
        <v>CALENTAMIENTO</v>
      </c>
      <c r="H629" s="64" t="str">
        <f>IFERROR(__xludf.DUMMYFUNCTION("""COMPUTED_VALUE"""),"ESCOLTANDO")</f>
        <v>ESCOLTANDO</v>
      </c>
      <c r="I629" s="64" t="str">
        <f>IFERROR(__xludf.DUMMYFUNCTION("""COMPUTED_VALUE"""),"FALTA DE COMBUSTIBLE")</f>
        <v>FALTA DE COMBUSTIBLE</v>
      </c>
      <c r="J629" s="64" t="str">
        <f>IFERROR(__xludf.DUMMYFUNCTION("""COMPUTED_VALUE"""),"DESPERFECTOS MECÁNICOS")</f>
        <v>DESPERFECTOS MECÁNICOS</v>
      </c>
      <c r="K629" s="64" t="str">
        <f>IFERROR(__xludf.DUMMYFUNCTION("""COMPUTED_VALUE"""),"LLAMADA DE ATENCIÓN")</f>
        <v>LLAMADA DE ATENCIÓN</v>
      </c>
      <c r="L629" s="64" t="str">
        <f>IFERROR(__xludf.DUMMYFUNCTION("""COMPUTED_VALUE"""),"OPERATIVOS")</f>
        <v>OPERATIVOS</v>
      </c>
      <c r="M629" s="64" t="str">
        <f>IFERROR(__xludf.DUMMYFUNCTION("""COMPUTED_VALUE"""),"SANCIÓN")</f>
        <v>SANCIÓN</v>
      </c>
      <c r="N629" s="64" t="str">
        <f>IFERROR(__xludf.DUMMYFUNCTION("""COMPUTED_VALUE"""),"SISTEMA ELECTRICO")</f>
        <v>SISTEMA ELECTRICO</v>
      </c>
      <c r="O629" s="64" t="str">
        <f>IFERROR(__xludf.DUMMYFUNCTION("""COMPUTED_VALUE"""),"ASISTENCIA AL USUARIO")</f>
        <v>ASISTENCIA AL USUARIO</v>
      </c>
      <c r="P629" s="64" t="str">
        <f>IFERROR(__xludf.DUMMYFUNCTION("""COMPUTED_VALUE"""),"DOBLE REMOLQUE")</f>
        <v>DOBLE REMOLQUE</v>
      </c>
      <c r="Q629" s="64" t="str">
        <f>IFERROR(__xludf.DUMMYFUNCTION("""COMPUTED_VALUE"""),"SINAPRESE")</f>
        <v>SINAPRESE</v>
      </c>
      <c r="R629" s="64" t="str">
        <f>IFERROR(__xludf.DUMMYFUNCTION("""COMPUTED_VALUE"""),"APOYO ATLETISMO")</f>
        <v>APOYO ATLETISMO</v>
      </c>
      <c r="S629" s="64" t="str">
        <f>IFERROR(__xludf.DUMMYFUNCTION("""COMPUTED_VALUE"""),"APOYO A CICLISMO")</f>
        <v>APOYO A CICLISMO</v>
      </c>
      <c r="T629" s="64" t="str">
        <f>IFERROR(__xludf.DUMMYFUNCTION("""COMPUTED_VALUE"""),"DESCARGA DE BATERÍA")</f>
        <v>DESCARGA DE BATERÍA</v>
      </c>
      <c r="U629" s="64" t="str">
        <f>IFERROR(__xludf.DUMMYFUNCTION("""COMPUTED_VALUE"""),"PROBLEMAS DE SALUD")</f>
        <v>PROBLEMAS DE SALUD</v>
      </c>
      <c r="V629" s="64" t="str">
        <f>IFERROR(__xludf.DUMMYFUNCTION("""COMPUTED_VALUE"""),"OLVIDO LA LLAVE")</f>
        <v>OLVIDO LA LLAVE</v>
      </c>
      <c r="W629" s="64" t="str">
        <f>IFERROR(__xludf.DUMMYFUNCTION("""COMPUTED_VALUE"""),"CARGA SOBREDIMENSIONADA")</f>
        <v>CARGA SOBREDIMENSIONADA</v>
      </c>
      <c r="X629" s="64" t="str">
        <f>IFERROR(__xludf.DUMMYFUNCTION("""COMPUTED_VALUE"""),"VEHÍCULO ABANDONADO")</f>
        <v>VEHÍCULO ABANDONADO</v>
      </c>
      <c r="Y629" s="64" t="str">
        <f>IFERROR(__xludf.DUMMYFUNCTION("""COMPUTED_VALUE"""),"DESPRENDIMIENTO")</f>
        <v>DESPRENDIMIENTO</v>
      </c>
      <c r="Z629" s="64" t="str">
        <f>IFERROR(__xludf.DUMMYFUNCTION("""COMPUTED_VALUE"""),"CAÍDA DE POSTE")</f>
        <v>CAÍDA DE POSTE</v>
      </c>
      <c r="AA629" s="64" t="str">
        <f>IFERROR(__xludf.DUMMYFUNCTION("""COMPUTED_VALUE"""),"CAÍDA DE RAMA")</f>
        <v>CAÍDA DE RAMA</v>
      </c>
      <c r="AB629" s="64" t="str">
        <f>IFERROR(__xludf.DUMMYFUNCTION("""COMPUTED_VALUE"""),"OPERATIVO DGT")</f>
        <v>OPERATIVO DGT</v>
      </c>
      <c r="AC629" s="64" t="str">
        <f>IFERROR(__xludf.DUMMYFUNCTION("""COMPUTED_VALUE"""),"OPERATIVO PMT")</f>
        <v>OPERATIVO PMT</v>
      </c>
      <c r="AD629" s="64" t="str">
        <f>IFERROR(__xludf.DUMMYFUNCTION("""COMPUTED_VALUE"""),"APOYO A DIGEF")</f>
        <v>APOYO A DIGEF</v>
      </c>
      <c r="AE629" s="64" t="str">
        <f>IFERROR(__xludf.DUMMYFUNCTION("""COMPUTED_VALUE"""),"OPERATIVO PNC TRANSITO")</f>
        <v>OPERATIVO PNC TRANSITO</v>
      </c>
      <c r="AF629" s="64" t="str">
        <f>IFERROR(__xludf.DUMMYFUNCTION("""COMPUTED_VALUE"""),"SOBRECARGA ")</f>
        <v>SOBRECARGA </v>
      </c>
      <c r="AG629" s="64" t="str">
        <f>IFERROR(__xludf.DUMMYFUNCTION("""COMPUTED_VALUE"""),"OPERATIVO EN CONJUNTO")</f>
        <v>OPERATIVO EN CONJUNTO</v>
      </c>
      <c r="AH629" s="64" t="str">
        <f>IFERROR(__xludf.DUMMYFUNCTION("""COMPUTED_VALUE"""),"PUESTO DE ATENCION AL USUARIO")</f>
        <v>PUESTO DE ATENCION AL USUARIO</v>
      </c>
      <c r="AI629" s="64" t="str">
        <f>IFERROR(__xludf.DUMMYFUNCTION("""COMPUTED_VALUE"""),"INCENDIO EN RUTA")</f>
        <v>INCENDIO EN RUTA</v>
      </c>
      <c r="AJ629" s="64" t="str">
        <f>IFERROR(__xludf.DUMMYFUNCTION("""COMPUTED_VALUE"""),"APOYO ANTORCHA ")</f>
        <v>APOYO ANTORCHA </v>
      </c>
    </row>
    <row r="630">
      <c r="B630" s="64"/>
      <c r="C630" s="64" t="str">
        <f>IFERROR(__xludf.DUMMYFUNCTION(" TRANSPOSE( unique ( QUERY(DATOPRO,""select Col2 where Col1 = '""&amp;B630&amp;""'"")))"),"")</f>
        <v/>
      </c>
    </row>
    <row r="631">
      <c r="B631" s="64" t="s">
        <v>38</v>
      </c>
      <c r="C631" s="64" t="str">
        <f>IFERROR(__xludf.DUMMYFUNCTION(" TRANSPOSE( unique ( QUERY(DATOPRO,""select Col2 where Col1 = '""&amp;B631&amp;""'"")))"),"ATAQUE ARMADO")</f>
        <v>ATAQUE ARMADO</v>
      </c>
      <c r="D631" s="64" t="str">
        <f>IFERROR(__xludf.DUMMYFUNCTION("""COMPUTED_VALUE"""),"DESBALANCE DE CARGA")</f>
        <v>DESBALANCE DE CARGA</v>
      </c>
      <c r="E631" s="64" t="str">
        <f>IFERROR(__xludf.DUMMYFUNCTION("""COMPUTED_VALUE"""),"PERSONA FALLECIDA")</f>
        <v>PERSONA FALLECIDA</v>
      </c>
      <c r="F631" s="64" t="str">
        <f>IFERROR(__xludf.DUMMYFUNCTION("""COMPUTED_VALUE"""),"DESPRENDIMIENTO DE NEUMATICO")</f>
        <v>DESPRENDIMIENTO DE NEUMATICO</v>
      </c>
      <c r="G631" s="64" t="str">
        <f>IFERROR(__xludf.DUMMYFUNCTION("""COMPUTED_VALUE"""),"SALIDA DE PISTA")</f>
        <v>SALIDA DE PISTA</v>
      </c>
      <c r="H631" s="64" t="str">
        <f>IFERROR(__xludf.DUMMYFUNCTION("""COMPUTED_VALUE"""),"DESPRENDIMIENTO DE CONTENEDOR")</f>
        <v>DESPRENDIMIENTO DE CONTENEDOR</v>
      </c>
      <c r="I631" s="64" t="str">
        <f>IFERROR(__xludf.DUMMYFUNCTION("""COMPUTED_VALUE"""),"CAÍDA DE CARGA")</f>
        <v>CAÍDA DE CARGA</v>
      </c>
      <c r="J631" s="64" t="str">
        <f>IFERROR(__xludf.DUMMYFUNCTION("""COMPUTED_VALUE"""),"CHOQUE")</f>
        <v>CHOQUE</v>
      </c>
      <c r="K631" s="64" t="str">
        <f>IFERROR(__xludf.DUMMYFUNCTION("""COMPUTED_VALUE"""),"COLISIÓN")</f>
        <v>COLISIÓN</v>
      </c>
      <c r="L631" s="64" t="str">
        <f>IFERROR(__xludf.DUMMYFUNCTION("""COMPUTED_VALUE"""),"COLISIÓN MÚLTIPLE")</f>
        <v>COLISIÓN MÚLTIPLE</v>
      </c>
      <c r="M631" s="64" t="str">
        <f>IFERROR(__xludf.DUMMYFUNCTION("""COMPUTED_VALUE"""),"DERRAPE")</f>
        <v>DERRAPE</v>
      </c>
      <c r="N631" s="64" t="str">
        <f>IFERROR(__xludf.DUMMYFUNCTION("""COMPUTED_VALUE"""),"VEHÍCULO INCENDIADO")</f>
        <v>VEHÍCULO INCENDIADO</v>
      </c>
      <c r="O631" s="64" t="str">
        <f>IFERROR(__xludf.DUMMYFUNCTION("""COMPUTED_VALUE"""),"VUELCO")</f>
        <v>VUELCO</v>
      </c>
      <c r="P631" s="64" t="str">
        <f>IFERROR(__xludf.DUMMYFUNCTION("""COMPUTED_VALUE"""),"DESPRENDIMIENTO")</f>
        <v>DESPRENDIMIENTO</v>
      </c>
      <c r="Q631" s="64" t="str">
        <f>IFERROR(__xludf.DUMMYFUNCTION("""COMPUTED_VALUE"""),"CAÍDA DE ÁRBOL")</f>
        <v>CAÍDA DE ÁRBOL</v>
      </c>
      <c r="R631" s="64" t="str">
        <f>IFERROR(__xludf.DUMMYFUNCTION("""COMPUTED_VALUE"""),"DESPRENDIMIENTO DE EJE")</f>
        <v>DESPRENDIMIENTO DE EJE</v>
      </c>
      <c r="S631" s="64" t="str">
        <f>IFERROR(__xludf.DUMMYFUNCTION("""COMPUTED_VALUE"""),"PERSONA ATROPELLADA")</f>
        <v>PERSONA ATROPELLADA</v>
      </c>
    </row>
    <row r="632">
      <c r="B632" s="64" t="s">
        <v>54</v>
      </c>
      <c r="C632" s="64" t="str">
        <f>IFERROR(__xludf.DUMMYFUNCTION(" TRANSPOSE( unique ( QUERY(DATOPRO,""select Col2 where Col1 = '""&amp;B632&amp;""'"")))"),"PINCHAZO")</f>
        <v>PINCHAZO</v>
      </c>
      <c r="D632" s="64" t="str">
        <f>IFERROR(__xludf.DUMMYFUNCTION("""COMPUTED_VALUE"""),"TRABAJOS DE CARRETERA")</f>
        <v>TRABAJOS DE CARRETERA</v>
      </c>
      <c r="E632" s="64" t="str">
        <f>IFERROR(__xludf.DUMMYFUNCTION("""COMPUTED_VALUE"""),"CONSIGNACIÓN")</f>
        <v>CONSIGNACIÓN</v>
      </c>
      <c r="F632" s="64" t="str">
        <f>IFERROR(__xludf.DUMMYFUNCTION("""COMPUTED_VALUE"""),"DERRAME")</f>
        <v>DERRAME</v>
      </c>
      <c r="G632" s="64" t="str">
        <f>IFERROR(__xludf.DUMMYFUNCTION("""COMPUTED_VALUE"""),"CALENTAMIENTO")</f>
        <v>CALENTAMIENTO</v>
      </c>
      <c r="H632" s="64" t="str">
        <f>IFERROR(__xludf.DUMMYFUNCTION("""COMPUTED_VALUE"""),"ESCOLTANDO")</f>
        <v>ESCOLTANDO</v>
      </c>
      <c r="I632" s="64" t="str">
        <f>IFERROR(__xludf.DUMMYFUNCTION("""COMPUTED_VALUE"""),"FALTA DE COMBUSTIBLE")</f>
        <v>FALTA DE COMBUSTIBLE</v>
      </c>
      <c r="J632" s="64" t="str">
        <f>IFERROR(__xludf.DUMMYFUNCTION("""COMPUTED_VALUE"""),"DESPERFECTOS MECÁNICOS")</f>
        <v>DESPERFECTOS MECÁNICOS</v>
      </c>
      <c r="K632" s="64" t="str">
        <f>IFERROR(__xludf.DUMMYFUNCTION("""COMPUTED_VALUE"""),"LLAMADA DE ATENCIÓN")</f>
        <v>LLAMADA DE ATENCIÓN</v>
      </c>
      <c r="L632" s="64" t="str">
        <f>IFERROR(__xludf.DUMMYFUNCTION("""COMPUTED_VALUE"""),"OPERATIVOS")</f>
        <v>OPERATIVOS</v>
      </c>
      <c r="M632" s="64" t="str">
        <f>IFERROR(__xludf.DUMMYFUNCTION("""COMPUTED_VALUE"""),"SANCIÓN")</f>
        <v>SANCIÓN</v>
      </c>
      <c r="N632" s="64" t="str">
        <f>IFERROR(__xludf.DUMMYFUNCTION("""COMPUTED_VALUE"""),"SISTEMA ELECTRICO")</f>
        <v>SISTEMA ELECTRICO</v>
      </c>
      <c r="O632" s="64" t="str">
        <f>IFERROR(__xludf.DUMMYFUNCTION("""COMPUTED_VALUE"""),"ASISTENCIA AL USUARIO")</f>
        <v>ASISTENCIA AL USUARIO</v>
      </c>
      <c r="P632" s="64" t="str">
        <f>IFERROR(__xludf.DUMMYFUNCTION("""COMPUTED_VALUE"""),"DOBLE REMOLQUE")</f>
        <v>DOBLE REMOLQUE</v>
      </c>
      <c r="Q632" s="64" t="str">
        <f>IFERROR(__xludf.DUMMYFUNCTION("""COMPUTED_VALUE"""),"SINAPRESE")</f>
        <v>SINAPRESE</v>
      </c>
      <c r="R632" s="64" t="str">
        <f>IFERROR(__xludf.DUMMYFUNCTION("""COMPUTED_VALUE"""),"APOYO ATLETISMO")</f>
        <v>APOYO ATLETISMO</v>
      </c>
      <c r="S632" s="64" t="str">
        <f>IFERROR(__xludf.DUMMYFUNCTION("""COMPUTED_VALUE"""),"APOYO A CICLISMO")</f>
        <v>APOYO A CICLISMO</v>
      </c>
      <c r="T632" s="64" t="str">
        <f>IFERROR(__xludf.DUMMYFUNCTION("""COMPUTED_VALUE"""),"DESCARGA DE BATERÍA")</f>
        <v>DESCARGA DE BATERÍA</v>
      </c>
      <c r="U632" s="64" t="str">
        <f>IFERROR(__xludf.DUMMYFUNCTION("""COMPUTED_VALUE"""),"PROBLEMAS DE SALUD")</f>
        <v>PROBLEMAS DE SALUD</v>
      </c>
      <c r="V632" s="64" t="str">
        <f>IFERROR(__xludf.DUMMYFUNCTION("""COMPUTED_VALUE"""),"OLVIDO LA LLAVE")</f>
        <v>OLVIDO LA LLAVE</v>
      </c>
      <c r="W632" s="64" t="str">
        <f>IFERROR(__xludf.DUMMYFUNCTION("""COMPUTED_VALUE"""),"CARGA SOBREDIMENSIONADA")</f>
        <v>CARGA SOBREDIMENSIONADA</v>
      </c>
      <c r="X632" s="64" t="str">
        <f>IFERROR(__xludf.DUMMYFUNCTION("""COMPUTED_VALUE"""),"VEHÍCULO ABANDONADO")</f>
        <v>VEHÍCULO ABANDONADO</v>
      </c>
      <c r="Y632" s="64" t="str">
        <f>IFERROR(__xludf.DUMMYFUNCTION("""COMPUTED_VALUE"""),"DESPRENDIMIENTO")</f>
        <v>DESPRENDIMIENTO</v>
      </c>
      <c r="Z632" s="64" t="str">
        <f>IFERROR(__xludf.DUMMYFUNCTION("""COMPUTED_VALUE"""),"CAÍDA DE POSTE")</f>
        <v>CAÍDA DE POSTE</v>
      </c>
      <c r="AA632" s="64" t="str">
        <f>IFERROR(__xludf.DUMMYFUNCTION("""COMPUTED_VALUE"""),"CAÍDA DE RAMA")</f>
        <v>CAÍDA DE RAMA</v>
      </c>
      <c r="AB632" s="64" t="str">
        <f>IFERROR(__xludf.DUMMYFUNCTION("""COMPUTED_VALUE"""),"OPERATIVO DGT")</f>
        <v>OPERATIVO DGT</v>
      </c>
      <c r="AC632" s="64" t="str">
        <f>IFERROR(__xludf.DUMMYFUNCTION("""COMPUTED_VALUE"""),"OPERATIVO PMT")</f>
        <v>OPERATIVO PMT</v>
      </c>
      <c r="AD632" s="64" t="str">
        <f>IFERROR(__xludf.DUMMYFUNCTION("""COMPUTED_VALUE"""),"APOYO A DIGEF")</f>
        <v>APOYO A DIGEF</v>
      </c>
      <c r="AE632" s="64" t="str">
        <f>IFERROR(__xludf.DUMMYFUNCTION("""COMPUTED_VALUE"""),"OPERATIVO PNC TRANSITO")</f>
        <v>OPERATIVO PNC TRANSITO</v>
      </c>
      <c r="AF632" s="64" t="str">
        <f>IFERROR(__xludf.DUMMYFUNCTION("""COMPUTED_VALUE"""),"SOBRECARGA ")</f>
        <v>SOBRECARGA </v>
      </c>
      <c r="AG632" s="64" t="str">
        <f>IFERROR(__xludf.DUMMYFUNCTION("""COMPUTED_VALUE"""),"OPERATIVO EN CONJUNTO")</f>
        <v>OPERATIVO EN CONJUNTO</v>
      </c>
      <c r="AH632" s="64" t="str">
        <f>IFERROR(__xludf.DUMMYFUNCTION("""COMPUTED_VALUE"""),"PUESTO DE ATENCION AL USUARIO")</f>
        <v>PUESTO DE ATENCION AL USUARIO</v>
      </c>
      <c r="AI632" s="64" t="str">
        <f>IFERROR(__xludf.DUMMYFUNCTION("""COMPUTED_VALUE"""),"INCENDIO EN RUTA")</f>
        <v>INCENDIO EN RUTA</v>
      </c>
      <c r="AJ632" s="64" t="str">
        <f>IFERROR(__xludf.DUMMYFUNCTION("""COMPUTED_VALUE"""),"APOYO ANTORCHA ")</f>
        <v>APOYO ANTORCHA </v>
      </c>
    </row>
    <row r="633">
      <c r="B633" s="64" t="s">
        <v>54</v>
      </c>
      <c r="C633" s="64" t="str">
        <f>IFERROR(__xludf.DUMMYFUNCTION(" TRANSPOSE( unique ( QUERY(DATOPRO,""select Col2 where Col1 = '""&amp;B633&amp;""'"")))"),"PINCHAZO")</f>
        <v>PINCHAZO</v>
      </c>
      <c r="D633" s="64" t="str">
        <f>IFERROR(__xludf.DUMMYFUNCTION("""COMPUTED_VALUE"""),"TRABAJOS DE CARRETERA")</f>
        <v>TRABAJOS DE CARRETERA</v>
      </c>
      <c r="E633" s="64" t="str">
        <f>IFERROR(__xludf.DUMMYFUNCTION("""COMPUTED_VALUE"""),"CONSIGNACIÓN")</f>
        <v>CONSIGNACIÓN</v>
      </c>
      <c r="F633" s="64" t="str">
        <f>IFERROR(__xludf.DUMMYFUNCTION("""COMPUTED_VALUE"""),"DERRAME")</f>
        <v>DERRAME</v>
      </c>
      <c r="G633" s="64" t="str">
        <f>IFERROR(__xludf.DUMMYFUNCTION("""COMPUTED_VALUE"""),"CALENTAMIENTO")</f>
        <v>CALENTAMIENTO</v>
      </c>
      <c r="H633" s="64" t="str">
        <f>IFERROR(__xludf.DUMMYFUNCTION("""COMPUTED_VALUE"""),"ESCOLTANDO")</f>
        <v>ESCOLTANDO</v>
      </c>
      <c r="I633" s="64" t="str">
        <f>IFERROR(__xludf.DUMMYFUNCTION("""COMPUTED_VALUE"""),"FALTA DE COMBUSTIBLE")</f>
        <v>FALTA DE COMBUSTIBLE</v>
      </c>
      <c r="J633" s="64" t="str">
        <f>IFERROR(__xludf.DUMMYFUNCTION("""COMPUTED_VALUE"""),"DESPERFECTOS MECÁNICOS")</f>
        <v>DESPERFECTOS MECÁNICOS</v>
      </c>
      <c r="K633" s="64" t="str">
        <f>IFERROR(__xludf.DUMMYFUNCTION("""COMPUTED_VALUE"""),"LLAMADA DE ATENCIÓN")</f>
        <v>LLAMADA DE ATENCIÓN</v>
      </c>
      <c r="L633" s="64" t="str">
        <f>IFERROR(__xludf.DUMMYFUNCTION("""COMPUTED_VALUE"""),"OPERATIVOS")</f>
        <v>OPERATIVOS</v>
      </c>
      <c r="M633" s="64" t="str">
        <f>IFERROR(__xludf.DUMMYFUNCTION("""COMPUTED_VALUE"""),"SANCIÓN")</f>
        <v>SANCIÓN</v>
      </c>
      <c r="N633" s="64" t="str">
        <f>IFERROR(__xludf.DUMMYFUNCTION("""COMPUTED_VALUE"""),"SISTEMA ELECTRICO")</f>
        <v>SISTEMA ELECTRICO</v>
      </c>
      <c r="O633" s="64" t="str">
        <f>IFERROR(__xludf.DUMMYFUNCTION("""COMPUTED_VALUE"""),"ASISTENCIA AL USUARIO")</f>
        <v>ASISTENCIA AL USUARIO</v>
      </c>
      <c r="P633" s="64" t="str">
        <f>IFERROR(__xludf.DUMMYFUNCTION("""COMPUTED_VALUE"""),"DOBLE REMOLQUE")</f>
        <v>DOBLE REMOLQUE</v>
      </c>
      <c r="Q633" s="64" t="str">
        <f>IFERROR(__xludf.DUMMYFUNCTION("""COMPUTED_VALUE"""),"SINAPRESE")</f>
        <v>SINAPRESE</v>
      </c>
      <c r="R633" s="64" t="str">
        <f>IFERROR(__xludf.DUMMYFUNCTION("""COMPUTED_VALUE"""),"APOYO ATLETISMO")</f>
        <v>APOYO ATLETISMO</v>
      </c>
      <c r="S633" s="64" t="str">
        <f>IFERROR(__xludf.DUMMYFUNCTION("""COMPUTED_VALUE"""),"APOYO A CICLISMO")</f>
        <v>APOYO A CICLISMO</v>
      </c>
      <c r="T633" s="64" t="str">
        <f>IFERROR(__xludf.DUMMYFUNCTION("""COMPUTED_VALUE"""),"DESCARGA DE BATERÍA")</f>
        <v>DESCARGA DE BATERÍA</v>
      </c>
      <c r="U633" s="64" t="str">
        <f>IFERROR(__xludf.DUMMYFUNCTION("""COMPUTED_VALUE"""),"PROBLEMAS DE SALUD")</f>
        <v>PROBLEMAS DE SALUD</v>
      </c>
      <c r="V633" s="64" t="str">
        <f>IFERROR(__xludf.DUMMYFUNCTION("""COMPUTED_VALUE"""),"OLVIDO LA LLAVE")</f>
        <v>OLVIDO LA LLAVE</v>
      </c>
      <c r="W633" s="64" t="str">
        <f>IFERROR(__xludf.DUMMYFUNCTION("""COMPUTED_VALUE"""),"CARGA SOBREDIMENSIONADA")</f>
        <v>CARGA SOBREDIMENSIONADA</v>
      </c>
      <c r="X633" s="64" t="str">
        <f>IFERROR(__xludf.DUMMYFUNCTION("""COMPUTED_VALUE"""),"VEHÍCULO ABANDONADO")</f>
        <v>VEHÍCULO ABANDONADO</v>
      </c>
      <c r="Y633" s="64" t="str">
        <f>IFERROR(__xludf.DUMMYFUNCTION("""COMPUTED_VALUE"""),"DESPRENDIMIENTO")</f>
        <v>DESPRENDIMIENTO</v>
      </c>
      <c r="Z633" s="64" t="str">
        <f>IFERROR(__xludf.DUMMYFUNCTION("""COMPUTED_VALUE"""),"CAÍDA DE POSTE")</f>
        <v>CAÍDA DE POSTE</v>
      </c>
      <c r="AA633" s="64" t="str">
        <f>IFERROR(__xludf.DUMMYFUNCTION("""COMPUTED_VALUE"""),"CAÍDA DE RAMA")</f>
        <v>CAÍDA DE RAMA</v>
      </c>
      <c r="AB633" s="64" t="str">
        <f>IFERROR(__xludf.DUMMYFUNCTION("""COMPUTED_VALUE"""),"OPERATIVO DGT")</f>
        <v>OPERATIVO DGT</v>
      </c>
      <c r="AC633" s="64" t="str">
        <f>IFERROR(__xludf.DUMMYFUNCTION("""COMPUTED_VALUE"""),"OPERATIVO PMT")</f>
        <v>OPERATIVO PMT</v>
      </c>
      <c r="AD633" s="64" t="str">
        <f>IFERROR(__xludf.DUMMYFUNCTION("""COMPUTED_VALUE"""),"APOYO A DIGEF")</f>
        <v>APOYO A DIGEF</v>
      </c>
      <c r="AE633" s="64" t="str">
        <f>IFERROR(__xludf.DUMMYFUNCTION("""COMPUTED_VALUE"""),"OPERATIVO PNC TRANSITO")</f>
        <v>OPERATIVO PNC TRANSITO</v>
      </c>
      <c r="AF633" s="64" t="str">
        <f>IFERROR(__xludf.DUMMYFUNCTION("""COMPUTED_VALUE"""),"SOBRECARGA ")</f>
        <v>SOBRECARGA </v>
      </c>
      <c r="AG633" s="64" t="str">
        <f>IFERROR(__xludf.DUMMYFUNCTION("""COMPUTED_VALUE"""),"OPERATIVO EN CONJUNTO")</f>
        <v>OPERATIVO EN CONJUNTO</v>
      </c>
      <c r="AH633" s="64" t="str">
        <f>IFERROR(__xludf.DUMMYFUNCTION("""COMPUTED_VALUE"""),"PUESTO DE ATENCION AL USUARIO")</f>
        <v>PUESTO DE ATENCION AL USUARIO</v>
      </c>
      <c r="AI633" s="64" t="str">
        <f>IFERROR(__xludf.DUMMYFUNCTION("""COMPUTED_VALUE"""),"INCENDIO EN RUTA")</f>
        <v>INCENDIO EN RUTA</v>
      </c>
      <c r="AJ633" s="64" t="str">
        <f>IFERROR(__xludf.DUMMYFUNCTION("""COMPUTED_VALUE"""),"APOYO ANTORCHA ")</f>
        <v>APOYO ANTORCHA </v>
      </c>
    </row>
    <row r="634">
      <c r="B634" s="64" t="s">
        <v>54</v>
      </c>
      <c r="C634" s="64" t="str">
        <f>IFERROR(__xludf.DUMMYFUNCTION(" TRANSPOSE( unique ( QUERY(DATOPRO,""select Col2 where Col1 = '""&amp;B634&amp;""'"")))"),"PINCHAZO")</f>
        <v>PINCHAZO</v>
      </c>
      <c r="D634" s="64" t="str">
        <f>IFERROR(__xludf.DUMMYFUNCTION("""COMPUTED_VALUE"""),"TRABAJOS DE CARRETERA")</f>
        <v>TRABAJOS DE CARRETERA</v>
      </c>
      <c r="E634" s="64" t="str">
        <f>IFERROR(__xludf.DUMMYFUNCTION("""COMPUTED_VALUE"""),"CONSIGNACIÓN")</f>
        <v>CONSIGNACIÓN</v>
      </c>
      <c r="F634" s="64" t="str">
        <f>IFERROR(__xludf.DUMMYFUNCTION("""COMPUTED_VALUE"""),"DERRAME")</f>
        <v>DERRAME</v>
      </c>
      <c r="G634" s="64" t="str">
        <f>IFERROR(__xludf.DUMMYFUNCTION("""COMPUTED_VALUE"""),"CALENTAMIENTO")</f>
        <v>CALENTAMIENTO</v>
      </c>
      <c r="H634" s="64" t="str">
        <f>IFERROR(__xludf.DUMMYFUNCTION("""COMPUTED_VALUE"""),"ESCOLTANDO")</f>
        <v>ESCOLTANDO</v>
      </c>
      <c r="I634" s="64" t="str">
        <f>IFERROR(__xludf.DUMMYFUNCTION("""COMPUTED_VALUE"""),"FALTA DE COMBUSTIBLE")</f>
        <v>FALTA DE COMBUSTIBLE</v>
      </c>
      <c r="J634" s="64" t="str">
        <f>IFERROR(__xludf.DUMMYFUNCTION("""COMPUTED_VALUE"""),"DESPERFECTOS MECÁNICOS")</f>
        <v>DESPERFECTOS MECÁNICOS</v>
      </c>
      <c r="K634" s="64" t="str">
        <f>IFERROR(__xludf.DUMMYFUNCTION("""COMPUTED_VALUE"""),"LLAMADA DE ATENCIÓN")</f>
        <v>LLAMADA DE ATENCIÓN</v>
      </c>
      <c r="L634" s="64" t="str">
        <f>IFERROR(__xludf.DUMMYFUNCTION("""COMPUTED_VALUE"""),"OPERATIVOS")</f>
        <v>OPERATIVOS</v>
      </c>
      <c r="M634" s="64" t="str">
        <f>IFERROR(__xludf.DUMMYFUNCTION("""COMPUTED_VALUE"""),"SANCIÓN")</f>
        <v>SANCIÓN</v>
      </c>
      <c r="N634" s="64" t="str">
        <f>IFERROR(__xludf.DUMMYFUNCTION("""COMPUTED_VALUE"""),"SISTEMA ELECTRICO")</f>
        <v>SISTEMA ELECTRICO</v>
      </c>
      <c r="O634" s="64" t="str">
        <f>IFERROR(__xludf.DUMMYFUNCTION("""COMPUTED_VALUE"""),"ASISTENCIA AL USUARIO")</f>
        <v>ASISTENCIA AL USUARIO</v>
      </c>
      <c r="P634" s="64" t="str">
        <f>IFERROR(__xludf.DUMMYFUNCTION("""COMPUTED_VALUE"""),"DOBLE REMOLQUE")</f>
        <v>DOBLE REMOLQUE</v>
      </c>
      <c r="Q634" s="64" t="str">
        <f>IFERROR(__xludf.DUMMYFUNCTION("""COMPUTED_VALUE"""),"SINAPRESE")</f>
        <v>SINAPRESE</v>
      </c>
      <c r="R634" s="64" t="str">
        <f>IFERROR(__xludf.DUMMYFUNCTION("""COMPUTED_VALUE"""),"APOYO ATLETISMO")</f>
        <v>APOYO ATLETISMO</v>
      </c>
      <c r="S634" s="64" t="str">
        <f>IFERROR(__xludf.DUMMYFUNCTION("""COMPUTED_VALUE"""),"APOYO A CICLISMO")</f>
        <v>APOYO A CICLISMO</v>
      </c>
      <c r="T634" s="64" t="str">
        <f>IFERROR(__xludf.DUMMYFUNCTION("""COMPUTED_VALUE"""),"DESCARGA DE BATERÍA")</f>
        <v>DESCARGA DE BATERÍA</v>
      </c>
      <c r="U634" s="64" t="str">
        <f>IFERROR(__xludf.DUMMYFUNCTION("""COMPUTED_VALUE"""),"PROBLEMAS DE SALUD")</f>
        <v>PROBLEMAS DE SALUD</v>
      </c>
      <c r="V634" s="64" t="str">
        <f>IFERROR(__xludf.DUMMYFUNCTION("""COMPUTED_VALUE"""),"OLVIDO LA LLAVE")</f>
        <v>OLVIDO LA LLAVE</v>
      </c>
      <c r="W634" s="64" t="str">
        <f>IFERROR(__xludf.DUMMYFUNCTION("""COMPUTED_VALUE"""),"CARGA SOBREDIMENSIONADA")</f>
        <v>CARGA SOBREDIMENSIONADA</v>
      </c>
      <c r="X634" s="64" t="str">
        <f>IFERROR(__xludf.DUMMYFUNCTION("""COMPUTED_VALUE"""),"VEHÍCULO ABANDONADO")</f>
        <v>VEHÍCULO ABANDONADO</v>
      </c>
      <c r="Y634" s="64" t="str">
        <f>IFERROR(__xludf.DUMMYFUNCTION("""COMPUTED_VALUE"""),"DESPRENDIMIENTO")</f>
        <v>DESPRENDIMIENTO</v>
      </c>
      <c r="Z634" s="64" t="str">
        <f>IFERROR(__xludf.DUMMYFUNCTION("""COMPUTED_VALUE"""),"CAÍDA DE POSTE")</f>
        <v>CAÍDA DE POSTE</v>
      </c>
      <c r="AA634" s="64" t="str">
        <f>IFERROR(__xludf.DUMMYFUNCTION("""COMPUTED_VALUE"""),"CAÍDA DE RAMA")</f>
        <v>CAÍDA DE RAMA</v>
      </c>
      <c r="AB634" s="64" t="str">
        <f>IFERROR(__xludf.DUMMYFUNCTION("""COMPUTED_VALUE"""),"OPERATIVO DGT")</f>
        <v>OPERATIVO DGT</v>
      </c>
      <c r="AC634" s="64" t="str">
        <f>IFERROR(__xludf.DUMMYFUNCTION("""COMPUTED_VALUE"""),"OPERATIVO PMT")</f>
        <v>OPERATIVO PMT</v>
      </c>
      <c r="AD634" s="64" t="str">
        <f>IFERROR(__xludf.DUMMYFUNCTION("""COMPUTED_VALUE"""),"APOYO A DIGEF")</f>
        <v>APOYO A DIGEF</v>
      </c>
      <c r="AE634" s="64" t="str">
        <f>IFERROR(__xludf.DUMMYFUNCTION("""COMPUTED_VALUE"""),"OPERATIVO PNC TRANSITO")</f>
        <v>OPERATIVO PNC TRANSITO</v>
      </c>
      <c r="AF634" s="64" t="str">
        <f>IFERROR(__xludf.DUMMYFUNCTION("""COMPUTED_VALUE"""),"SOBRECARGA ")</f>
        <v>SOBRECARGA </v>
      </c>
      <c r="AG634" s="64" t="str">
        <f>IFERROR(__xludf.DUMMYFUNCTION("""COMPUTED_VALUE"""),"OPERATIVO EN CONJUNTO")</f>
        <v>OPERATIVO EN CONJUNTO</v>
      </c>
      <c r="AH634" s="64" t="str">
        <f>IFERROR(__xludf.DUMMYFUNCTION("""COMPUTED_VALUE"""),"PUESTO DE ATENCION AL USUARIO")</f>
        <v>PUESTO DE ATENCION AL USUARIO</v>
      </c>
      <c r="AI634" s="64" t="str">
        <f>IFERROR(__xludf.DUMMYFUNCTION("""COMPUTED_VALUE"""),"INCENDIO EN RUTA")</f>
        <v>INCENDIO EN RUTA</v>
      </c>
      <c r="AJ634" s="64" t="str">
        <f>IFERROR(__xludf.DUMMYFUNCTION("""COMPUTED_VALUE"""),"APOYO ANTORCHA ")</f>
        <v>APOYO ANTORCHA </v>
      </c>
    </row>
    <row r="635">
      <c r="B635" s="64" t="s">
        <v>54</v>
      </c>
      <c r="C635" s="64" t="str">
        <f>IFERROR(__xludf.DUMMYFUNCTION(" TRANSPOSE( unique ( QUERY(DATOPRO,""select Col2 where Col1 = '""&amp;B635&amp;""'"")))"),"PINCHAZO")</f>
        <v>PINCHAZO</v>
      </c>
      <c r="D635" s="64" t="str">
        <f>IFERROR(__xludf.DUMMYFUNCTION("""COMPUTED_VALUE"""),"TRABAJOS DE CARRETERA")</f>
        <v>TRABAJOS DE CARRETERA</v>
      </c>
      <c r="E635" s="64" t="str">
        <f>IFERROR(__xludf.DUMMYFUNCTION("""COMPUTED_VALUE"""),"CONSIGNACIÓN")</f>
        <v>CONSIGNACIÓN</v>
      </c>
      <c r="F635" s="64" t="str">
        <f>IFERROR(__xludf.DUMMYFUNCTION("""COMPUTED_VALUE"""),"DERRAME")</f>
        <v>DERRAME</v>
      </c>
      <c r="G635" s="64" t="str">
        <f>IFERROR(__xludf.DUMMYFUNCTION("""COMPUTED_VALUE"""),"CALENTAMIENTO")</f>
        <v>CALENTAMIENTO</v>
      </c>
      <c r="H635" s="64" t="str">
        <f>IFERROR(__xludf.DUMMYFUNCTION("""COMPUTED_VALUE"""),"ESCOLTANDO")</f>
        <v>ESCOLTANDO</v>
      </c>
      <c r="I635" s="64" t="str">
        <f>IFERROR(__xludf.DUMMYFUNCTION("""COMPUTED_VALUE"""),"FALTA DE COMBUSTIBLE")</f>
        <v>FALTA DE COMBUSTIBLE</v>
      </c>
      <c r="J635" s="64" t="str">
        <f>IFERROR(__xludf.DUMMYFUNCTION("""COMPUTED_VALUE"""),"DESPERFECTOS MECÁNICOS")</f>
        <v>DESPERFECTOS MECÁNICOS</v>
      </c>
      <c r="K635" s="64" t="str">
        <f>IFERROR(__xludf.DUMMYFUNCTION("""COMPUTED_VALUE"""),"LLAMADA DE ATENCIÓN")</f>
        <v>LLAMADA DE ATENCIÓN</v>
      </c>
      <c r="L635" s="64" t="str">
        <f>IFERROR(__xludf.DUMMYFUNCTION("""COMPUTED_VALUE"""),"OPERATIVOS")</f>
        <v>OPERATIVOS</v>
      </c>
      <c r="M635" s="64" t="str">
        <f>IFERROR(__xludf.DUMMYFUNCTION("""COMPUTED_VALUE"""),"SANCIÓN")</f>
        <v>SANCIÓN</v>
      </c>
      <c r="N635" s="64" t="str">
        <f>IFERROR(__xludf.DUMMYFUNCTION("""COMPUTED_VALUE"""),"SISTEMA ELECTRICO")</f>
        <v>SISTEMA ELECTRICO</v>
      </c>
      <c r="O635" s="64" t="str">
        <f>IFERROR(__xludf.DUMMYFUNCTION("""COMPUTED_VALUE"""),"ASISTENCIA AL USUARIO")</f>
        <v>ASISTENCIA AL USUARIO</v>
      </c>
      <c r="P635" s="64" t="str">
        <f>IFERROR(__xludf.DUMMYFUNCTION("""COMPUTED_VALUE"""),"DOBLE REMOLQUE")</f>
        <v>DOBLE REMOLQUE</v>
      </c>
      <c r="Q635" s="64" t="str">
        <f>IFERROR(__xludf.DUMMYFUNCTION("""COMPUTED_VALUE"""),"SINAPRESE")</f>
        <v>SINAPRESE</v>
      </c>
      <c r="R635" s="64" t="str">
        <f>IFERROR(__xludf.DUMMYFUNCTION("""COMPUTED_VALUE"""),"APOYO ATLETISMO")</f>
        <v>APOYO ATLETISMO</v>
      </c>
      <c r="S635" s="64" t="str">
        <f>IFERROR(__xludf.DUMMYFUNCTION("""COMPUTED_VALUE"""),"APOYO A CICLISMO")</f>
        <v>APOYO A CICLISMO</v>
      </c>
      <c r="T635" s="64" t="str">
        <f>IFERROR(__xludf.DUMMYFUNCTION("""COMPUTED_VALUE"""),"DESCARGA DE BATERÍA")</f>
        <v>DESCARGA DE BATERÍA</v>
      </c>
      <c r="U635" s="64" t="str">
        <f>IFERROR(__xludf.DUMMYFUNCTION("""COMPUTED_VALUE"""),"PROBLEMAS DE SALUD")</f>
        <v>PROBLEMAS DE SALUD</v>
      </c>
      <c r="V635" s="64" t="str">
        <f>IFERROR(__xludf.DUMMYFUNCTION("""COMPUTED_VALUE"""),"OLVIDO LA LLAVE")</f>
        <v>OLVIDO LA LLAVE</v>
      </c>
      <c r="W635" s="64" t="str">
        <f>IFERROR(__xludf.DUMMYFUNCTION("""COMPUTED_VALUE"""),"CARGA SOBREDIMENSIONADA")</f>
        <v>CARGA SOBREDIMENSIONADA</v>
      </c>
      <c r="X635" s="64" t="str">
        <f>IFERROR(__xludf.DUMMYFUNCTION("""COMPUTED_VALUE"""),"VEHÍCULO ABANDONADO")</f>
        <v>VEHÍCULO ABANDONADO</v>
      </c>
      <c r="Y635" s="64" t="str">
        <f>IFERROR(__xludf.DUMMYFUNCTION("""COMPUTED_VALUE"""),"DESPRENDIMIENTO")</f>
        <v>DESPRENDIMIENTO</v>
      </c>
      <c r="Z635" s="64" t="str">
        <f>IFERROR(__xludf.DUMMYFUNCTION("""COMPUTED_VALUE"""),"CAÍDA DE POSTE")</f>
        <v>CAÍDA DE POSTE</v>
      </c>
      <c r="AA635" s="64" t="str">
        <f>IFERROR(__xludf.DUMMYFUNCTION("""COMPUTED_VALUE"""),"CAÍDA DE RAMA")</f>
        <v>CAÍDA DE RAMA</v>
      </c>
      <c r="AB635" s="64" t="str">
        <f>IFERROR(__xludf.DUMMYFUNCTION("""COMPUTED_VALUE"""),"OPERATIVO DGT")</f>
        <v>OPERATIVO DGT</v>
      </c>
      <c r="AC635" s="64" t="str">
        <f>IFERROR(__xludf.DUMMYFUNCTION("""COMPUTED_VALUE"""),"OPERATIVO PMT")</f>
        <v>OPERATIVO PMT</v>
      </c>
      <c r="AD635" s="64" t="str">
        <f>IFERROR(__xludf.DUMMYFUNCTION("""COMPUTED_VALUE"""),"APOYO A DIGEF")</f>
        <v>APOYO A DIGEF</v>
      </c>
      <c r="AE635" s="64" t="str">
        <f>IFERROR(__xludf.DUMMYFUNCTION("""COMPUTED_VALUE"""),"OPERATIVO PNC TRANSITO")</f>
        <v>OPERATIVO PNC TRANSITO</v>
      </c>
      <c r="AF635" s="64" t="str">
        <f>IFERROR(__xludf.DUMMYFUNCTION("""COMPUTED_VALUE"""),"SOBRECARGA ")</f>
        <v>SOBRECARGA </v>
      </c>
      <c r="AG635" s="64" t="str">
        <f>IFERROR(__xludf.DUMMYFUNCTION("""COMPUTED_VALUE"""),"OPERATIVO EN CONJUNTO")</f>
        <v>OPERATIVO EN CONJUNTO</v>
      </c>
      <c r="AH635" s="64" t="str">
        <f>IFERROR(__xludf.DUMMYFUNCTION("""COMPUTED_VALUE"""),"PUESTO DE ATENCION AL USUARIO")</f>
        <v>PUESTO DE ATENCION AL USUARIO</v>
      </c>
      <c r="AI635" s="64" t="str">
        <f>IFERROR(__xludf.DUMMYFUNCTION("""COMPUTED_VALUE"""),"INCENDIO EN RUTA")</f>
        <v>INCENDIO EN RUTA</v>
      </c>
      <c r="AJ635" s="64" t="str">
        <f>IFERROR(__xludf.DUMMYFUNCTION("""COMPUTED_VALUE"""),"APOYO ANTORCHA ")</f>
        <v>APOYO ANTORCHA </v>
      </c>
    </row>
    <row r="636">
      <c r="B636" s="64" t="s">
        <v>54</v>
      </c>
      <c r="C636" s="64" t="str">
        <f>IFERROR(__xludf.DUMMYFUNCTION(" TRANSPOSE( unique ( QUERY(DATOPRO,""select Col2 where Col1 = '""&amp;B636&amp;""'"")))"),"PINCHAZO")</f>
        <v>PINCHAZO</v>
      </c>
      <c r="D636" s="64" t="str">
        <f>IFERROR(__xludf.DUMMYFUNCTION("""COMPUTED_VALUE"""),"TRABAJOS DE CARRETERA")</f>
        <v>TRABAJOS DE CARRETERA</v>
      </c>
      <c r="E636" s="64" t="str">
        <f>IFERROR(__xludf.DUMMYFUNCTION("""COMPUTED_VALUE"""),"CONSIGNACIÓN")</f>
        <v>CONSIGNACIÓN</v>
      </c>
      <c r="F636" s="64" t="str">
        <f>IFERROR(__xludf.DUMMYFUNCTION("""COMPUTED_VALUE"""),"DERRAME")</f>
        <v>DERRAME</v>
      </c>
      <c r="G636" s="64" t="str">
        <f>IFERROR(__xludf.DUMMYFUNCTION("""COMPUTED_VALUE"""),"CALENTAMIENTO")</f>
        <v>CALENTAMIENTO</v>
      </c>
      <c r="H636" s="64" t="str">
        <f>IFERROR(__xludf.DUMMYFUNCTION("""COMPUTED_VALUE"""),"ESCOLTANDO")</f>
        <v>ESCOLTANDO</v>
      </c>
      <c r="I636" s="64" t="str">
        <f>IFERROR(__xludf.DUMMYFUNCTION("""COMPUTED_VALUE"""),"FALTA DE COMBUSTIBLE")</f>
        <v>FALTA DE COMBUSTIBLE</v>
      </c>
      <c r="J636" s="64" t="str">
        <f>IFERROR(__xludf.DUMMYFUNCTION("""COMPUTED_VALUE"""),"DESPERFECTOS MECÁNICOS")</f>
        <v>DESPERFECTOS MECÁNICOS</v>
      </c>
      <c r="K636" s="64" t="str">
        <f>IFERROR(__xludf.DUMMYFUNCTION("""COMPUTED_VALUE"""),"LLAMADA DE ATENCIÓN")</f>
        <v>LLAMADA DE ATENCIÓN</v>
      </c>
      <c r="L636" s="64" t="str">
        <f>IFERROR(__xludf.DUMMYFUNCTION("""COMPUTED_VALUE"""),"OPERATIVOS")</f>
        <v>OPERATIVOS</v>
      </c>
      <c r="M636" s="64" t="str">
        <f>IFERROR(__xludf.DUMMYFUNCTION("""COMPUTED_VALUE"""),"SANCIÓN")</f>
        <v>SANCIÓN</v>
      </c>
      <c r="N636" s="64" t="str">
        <f>IFERROR(__xludf.DUMMYFUNCTION("""COMPUTED_VALUE"""),"SISTEMA ELECTRICO")</f>
        <v>SISTEMA ELECTRICO</v>
      </c>
      <c r="O636" s="64" t="str">
        <f>IFERROR(__xludf.DUMMYFUNCTION("""COMPUTED_VALUE"""),"ASISTENCIA AL USUARIO")</f>
        <v>ASISTENCIA AL USUARIO</v>
      </c>
      <c r="P636" s="64" t="str">
        <f>IFERROR(__xludf.DUMMYFUNCTION("""COMPUTED_VALUE"""),"DOBLE REMOLQUE")</f>
        <v>DOBLE REMOLQUE</v>
      </c>
      <c r="Q636" s="64" t="str">
        <f>IFERROR(__xludf.DUMMYFUNCTION("""COMPUTED_VALUE"""),"SINAPRESE")</f>
        <v>SINAPRESE</v>
      </c>
      <c r="R636" s="64" t="str">
        <f>IFERROR(__xludf.DUMMYFUNCTION("""COMPUTED_VALUE"""),"APOYO ATLETISMO")</f>
        <v>APOYO ATLETISMO</v>
      </c>
      <c r="S636" s="64" t="str">
        <f>IFERROR(__xludf.DUMMYFUNCTION("""COMPUTED_VALUE"""),"APOYO A CICLISMO")</f>
        <v>APOYO A CICLISMO</v>
      </c>
      <c r="T636" s="64" t="str">
        <f>IFERROR(__xludf.DUMMYFUNCTION("""COMPUTED_VALUE"""),"DESCARGA DE BATERÍA")</f>
        <v>DESCARGA DE BATERÍA</v>
      </c>
      <c r="U636" s="64" t="str">
        <f>IFERROR(__xludf.DUMMYFUNCTION("""COMPUTED_VALUE"""),"PROBLEMAS DE SALUD")</f>
        <v>PROBLEMAS DE SALUD</v>
      </c>
      <c r="V636" s="64" t="str">
        <f>IFERROR(__xludf.DUMMYFUNCTION("""COMPUTED_VALUE"""),"OLVIDO LA LLAVE")</f>
        <v>OLVIDO LA LLAVE</v>
      </c>
      <c r="W636" s="64" t="str">
        <f>IFERROR(__xludf.DUMMYFUNCTION("""COMPUTED_VALUE"""),"CARGA SOBREDIMENSIONADA")</f>
        <v>CARGA SOBREDIMENSIONADA</v>
      </c>
      <c r="X636" s="64" t="str">
        <f>IFERROR(__xludf.DUMMYFUNCTION("""COMPUTED_VALUE"""),"VEHÍCULO ABANDONADO")</f>
        <v>VEHÍCULO ABANDONADO</v>
      </c>
      <c r="Y636" s="64" t="str">
        <f>IFERROR(__xludf.DUMMYFUNCTION("""COMPUTED_VALUE"""),"DESPRENDIMIENTO")</f>
        <v>DESPRENDIMIENTO</v>
      </c>
      <c r="Z636" s="64" t="str">
        <f>IFERROR(__xludf.DUMMYFUNCTION("""COMPUTED_VALUE"""),"CAÍDA DE POSTE")</f>
        <v>CAÍDA DE POSTE</v>
      </c>
      <c r="AA636" s="64" t="str">
        <f>IFERROR(__xludf.DUMMYFUNCTION("""COMPUTED_VALUE"""),"CAÍDA DE RAMA")</f>
        <v>CAÍDA DE RAMA</v>
      </c>
      <c r="AB636" s="64" t="str">
        <f>IFERROR(__xludf.DUMMYFUNCTION("""COMPUTED_VALUE"""),"OPERATIVO DGT")</f>
        <v>OPERATIVO DGT</v>
      </c>
      <c r="AC636" s="64" t="str">
        <f>IFERROR(__xludf.DUMMYFUNCTION("""COMPUTED_VALUE"""),"OPERATIVO PMT")</f>
        <v>OPERATIVO PMT</v>
      </c>
      <c r="AD636" s="64" t="str">
        <f>IFERROR(__xludf.DUMMYFUNCTION("""COMPUTED_VALUE"""),"APOYO A DIGEF")</f>
        <v>APOYO A DIGEF</v>
      </c>
      <c r="AE636" s="64" t="str">
        <f>IFERROR(__xludf.DUMMYFUNCTION("""COMPUTED_VALUE"""),"OPERATIVO PNC TRANSITO")</f>
        <v>OPERATIVO PNC TRANSITO</v>
      </c>
      <c r="AF636" s="64" t="str">
        <f>IFERROR(__xludf.DUMMYFUNCTION("""COMPUTED_VALUE"""),"SOBRECARGA ")</f>
        <v>SOBRECARGA </v>
      </c>
      <c r="AG636" s="64" t="str">
        <f>IFERROR(__xludf.DUMMYFUNCTION("""COMPUTED_VALUE"""),"OPERATIVO EN CONJUNTO")</f>
        <v>OPERATIVO EN CONJUNTO</v>
      </c>
      <c r="AH636" s="64" t="str">
        <f>IFERROR(__xludf.DUMMYFUNCTION("""COMPUTED_VALUE"""),"PUESTO DE ATENCION AL USUARIO")</f>
        <v>PUESTO DE ATENCION AL USUARIO</v>
      </c>
      <c r="AI636" s="64" t="str">
        <f>IFERROR(__xludf.DUMMYFUNCTION("""COMPUTED_VALUE"""),"INCENDIO EN RUTA")</f>
        <v>INCENDIO EN RUTA</v>
      </c>
      <c r="AJ636" s="64" t="str">
        <f>IFERROR(__xludf.DUMMYFUNCTION("""COMPUTED_VALUE"""),"APOYO ANTORCHA ")</f>
        <v>APOYO ANTORCHA </v>
      </c>
    </row>
    <row r="637">
      <c r="B637" s="64" t="s">
        <v>38</v>
      </c>
      <c r="C637" s="64" t="str">
        <f>IFERROR(__xludf.DUMMYFUNCTION(" TRANSPOSE( unique ( QUERY(DATOPRO,""select Col2 where Col1 = '""&amp;B637&amp;""'"")))"),"ATAQUE ARMADO")</f>
        <v>ATAQUE ARMADO</v>
      </c>
      <c r="D637" s="64" t="str">
        <f>IFERROR(__xludf.DUMMYFUNCTION("""COMPUTED_VALUE"""),"DESBALANCE DE CARGA")</f>
        <v>DESBALANCE DE CARGA</v>
      </c>
      <c r="E637" s="64" t="str">
        <f>IFERROR(__xludf.DUMMYFUNCTION("""COMPUTED_VALUE"""),"PERSONA FALLECIDA")</f>
        <v>PERSONA FALLECIDA</v>
      </c>
      <c r="F637" s="64" t="str">
        <f>IFERROR(__xludf.DUMMYFUNCTION("""COMPUTED_VALUE"""),"DESPRENDIMIENTO DE NEUMATICO")</f>
        <v>DESPRENDIMIENTO DE NEUMATICO</v>
      </c>
      <c r="G637" s="64" t="str">
        <f>IFERROR(__xludf.DUMMYFUNCTION("""COMPUTED_VALUE"""),"SALIDA DE PISTA")</f>
        <v>SALIDA DE PISTA</v>
      </c>
      <c r="H637" s="64" t="str">
        <f>IFERROR(__xludf.DUMMYFUNCTION("""COMPUTED_VALUE"""),"DESPRENDIMIENTO DE CONTENEDOR")</f>
        <v>DESPRENDIMIENTO DE CONTENEDOR</v>
      </c>
      <c r="I637" s="64" t="str">
        <f>IFERROR(__xludf.DUMMYFUNCTION("""COMPUTED_VALUE"""),"CAÍDA DE CARGA")</f>
        <v>CAÍDA DE CARGA</v>
      </c>
      <c r="J637" s="64" t="str">
        <f>IFERROR(__xludf.DUMMYFUNCTION("""COMPUTED_VALUE"""),"CHOQUE")</f>
        <v>CHOQUE</v>
      </c>
      <c r="K637" s="64" t="str">
        <f>IFERROR(__xludf.DUMMYFUNCTION("""COMPUTED_VALUE"""),"COLISIÓN")</f>
        <v>COLISIÓN</v>
      </c>
      <c r="L637" s="64" t="str">
        <f>IFERROR(__xludf.DUMMYFUNCTION("""COMPUTED_VALUE"""),"COLISIÓN MÚLTIPLE")</f>
        <v>COLISIÓN MÚLTIPLE</v>
      </c>
      <c r="M637" s="64" t="str">
        <f>IFERROR(__xludf.DUMMYFUNCTION("""COMPUTED_VALUE"""),"DERRAPE")</f>
        <v>DERRAPE</v>
      </c>
      <c r="N637" s="64" t="str">
        <f>IFERROR(__xludf.DUMMYFUNCTION("""COMPUTED_VALUE"""),"VEHÍCULO INCENDIADO")</f>
        <v>VEHÍCULO INCENDIADO</v>
      </c>
      <c r="O637" s="64" t="str">
        <f>IFERROR(__xludf.DUMMYFUNCTION("""COMPUTED_VALUE"""),"VUELCO")</f>
        <v>VUELCO</v>
      </c>
      <c r="P637" s="64" t="str">
        <f>IFERROR(__xludf.DUMMYFUNCTION("""COMPUTED_VALUE"""),"DESPRENDIMIENTO")</f>
        <v>DESPRENDIMIENTO</v>
      </c>
      <c r="Q637" s="64" t="str">
        <f>IFERROR(__xludf.DUMMYFUNCTION("""COMPUTED_VALUE"""),"CAÍDA DE ÁRBOL")</f>
        <v>CAÍDA DE ÁRBOL</v>
      </c>
      <c r="R637" s="64" t="str">
        <f>IFERROR(__xludf.DUMMYFUNCTION("""COMPUTED_VALUE"""),"DESPRENDIMIENTO DE EJE")</f>
        <v>DESPRENDIMIENTO DE EJE</v>
      </c>
      <c r="S637" s="64" t="str">
        <f>IFERROR(__xludf.DUMMYFUNCTION("""COMPUTED_VALUE"""),"PERSONA ATROPELLADA")</f>
        <v>PERSONA ATROPELLADA</v>
      </c>
    </row>
    <row r="638">
      <c r="B638" s="64"/>
      <c r="C638" s="64" t="str">
        <f>IFERROR(__xludf.DUMMYFUNCTION(" TRANSPOSE( unique ( QUERY(DATOPRO,""select Col2 where Col1 = '""&amp;B638&amp;""'"")))"),"")</f>
        <v/>
      </c>
    </row>
    <row r="639">
      <c r="B639" s="64" t="s">
        <v>38</v>
      </c>
      <c r="C639" s="64" t="str">
        <f>IFERROR(__xludf.DUMMYFUNCTION(" TRANSPOSE( unique ( QUERY(DATOPRO,""select Col2 where Col1 = '""&amp;B639&amp;""'"")))"),"ATAQUE ARMADO")</f>
        <v>ATAQUE ARMADO</v>
      </c>
      <c r="D639" s="64" t="str">
        <f>IFERROR(__xludf.DUMMYFUNCTION("""COMPUTED_VALUE"""),"DESBALANCE DE CARGA")</f>
        <v>DESBALANCE DE CARGA</v>
      </c>
      <c r="E639" s="64" t="str">
        <f>IFERROR(__xludf.DUMMYFUNCTION("""COMPUTED_VALUE"""),"PERSONA FALLECIDA")</f>
        <v>PERSONA FALLECIDA</v>
      </c>
      <c r="F639" s="64" t="str">
        <f>IFERROR(__xludf.DUMMYFUNCTION("""COMPUTED_VALUE"""),"DESPRENDIMIENTO DE NEUMATICO")</f>
        <v>DESPRENDIMIENTO DE NEUMATICO</v>
      </c>
      <c r="G639" s="64" t="str">
        <f>IFERROR(__xludf.DUMMYFUNCTION("""COMPUTED_VALUE"""),"SALIDA DE PISTA")</f>
        <v>SALIDA DE PISTA</v>
      </c>
      <c r="H639" s="64" t="str">
        <f>IFERROR(__xludf.DUMMYFUNCTION("""COMPUTED_VALUE"""),"DESPRENDIMIENTO DE CONTENEDOR")</f>
        <v>DESPRENDIMIENTO DE CONTENEDOR</v>
      </c>
      <c r="I639" s="64" t="str">
        <f>IFERROR(__xludf.DUMMYFUNCTION("""COMPUTED_VALUE"""),"CAÍDA DE CARGA")</f>
        <v>CAÍDA DE CARGA</v>
      </c>
      <c r="J639" s="64" t="str">
        <f>IFERROR(__xludf.DUMMYFUNCTION("""COMPUTED_VALUE"""),"CHOQUE")</f>
        <v>CHOQUE</v>
      </c>
      <c r="K639" s="64" t="str">
        <f>IFERROR(__xludf.DUMMYFUNCTION("""COMPUTED_VALUE"""),"COLISIÓN")</f>
        <v>COLISIÓN</v>
      </c>
      <c r="L639" s="64" t="str">
        <f>IFERROR(__xludf.DUMMYFUNCTION("""COMPUTED_VALUE"""),"COLISIÓN MÚLTIPLE")</f>
        <v>COLISIÓN MÚLTIPLE</v>
      </c>
      <c r="M639" s="64" t="str">
        <f>IFERROR(__xludf.DUMMYFUNCTION("""COMPUTED_VALUE"""),"DERRAPE")</f>
        <v>DERRAPE</v>
      </c>
      <c r="N639" s="64" t="str">
        <f>IFERROR(__xludf.DUMMYFUNCTION("""COMPUTED_VALUE"""),"VEHÍCULO INCENDIADO")</f>
        <v>VEHÍCULO INCENDIADO</v>
      </c>
      <c r="O639" s="64" t="str">
        <f>IFERROR(__xludf.DUMMYFUNCTION("""COMPUTED_VALUE"""),"VUELCO")</f>
        <v>VUELCO</v>
      </c>
      <c r="P639" s="64" t="str">
        <f>IFERROR(__xludf.DUMMYFUNCTION("""COMPUTED_VALUE"""),"DESPRENDIMIENTO")</f>
        <v>DESPRENDIMIENTO</v>
      </c>
      <c r="Q639" s="64" t="str">
        <f>IFERROR(__xludf.DUMMYFUNCTION("""COMPUTED_VALUE"""),"CAÍDA DE ÁRBOL")</f>
        <v>CAÍDA DE ÁRBOL</v>
      </c>
      <c r="R639" s="64" t="str">
        <f>IFERROR(__xludf.DUMMYFUNCTION("""COMPUTED_VALUE"""),"DESPRENDIMIENTO DE EJE")</f>
        <v>DESPRENDIMIENTO DE EJE</v>
      </c>
      <c r="S639" s="64" t="str">
        <f>IFERROR(__xludf.DUMMYFUNCTION("""COMPUTED_VALUE"""),"PERSONA ATROPELLADA")</f>
        <v>PERSONA ATROPELLADA</v>
      </c>
    </row>
    <row r="640">
      <c r="B640" s="64" t="s">
        <v>54</v>
      </c>
      <c r="C640" s="64" t="str">
        <f>IFERROR(__xludf.DUMMYFUNCTION(" TRANSPOSE( unique ( QUERY(DATOPRO,""select Col2 where Col1 = '""&amp;B640&amp;""'"")))"),"PINCHAZO")</f>
        <v>PINCHAZO</v>
      </c>
      <c r="D640" s="64" t="str">
        <f>IFERROR(__xludf.DUMMYFUNCTION("""COMPUTED_VALUE"""),"TRABAJOS DE CARRETERA")</f>
        <v>TRABAJOS DE CARRETERA</v>
      </c>
      <c r="E640" s="64" t="str">
        <f>IFERROR(__xludf.DUMMYFUNCTION("""COMPUTED_VALUE"""),"CONSIGNACIÓN")</f>
        <v>CONSIGNACIÓN</v>
      </c>
      <c r="F640" s="64" t="str">
        <f>IFERROR(__xludf.DUMMYFUNCTION("""COMPUTED_VALUE"""),"DERRAME")</f>
        <v>DERRAME</v>
      </c>
      <c r="G640" s="64" t="str">
        <f>IFERROR(__xludf.DUMMYFUNCTION("""COMPUTED_VALUE"""),"CALENTAMIENTO")</f>
        <v>CALENTAMIENTO</v>
      </c>
      <c r="H640" s="64" t="str">
        <f>IFERROR(__xludf.DUMMYFUNCTION("""COMPUTED_VALUE"""),"ESCOLTANDO")</f>
        <v>ESCOLTANDO</v>
      </c>
      <c r="I640" s="64" t="str">
        <f>IFERROR(__xludf.DUMMYFUNCTION("""COMPUTED_VALUE"""),"FALTA DE COMBUSTIBLE")</f>
        <v>FALTA DE COMBUSTIBLE</v>
      </c>
      <c r="J640" s="64" t="str">
        <f>IFERROR(__xludf.DUMMYFUNCTION("""COMPUTED_VALUE"""),"DESPERFECTOS MECÁNICOS")</f>
        <v>DESPERFECTOS MECÁNICOS</v>
      </c>
      <c r="K640" s="64" t="str">
        <f>IFERROR(__xludf.DUMMYFUNCTION("""COMPUTED_VALUE"""),"LLAMADA DE ATENCIÓN")</f>
        <v>LLAMADA DE ATENCIÓN</v>
      </c>
      <c r="L640" s="64" t="str">
        <f>IFERROR(__xludf.DUMMYFUNCTION("""COMPUTED_VALUE"""),"OPERATIVOS")</f>
        <v>OPERATIVOS</v>
      </c>
      <c r="M640" s="64" t="str">
        <f>IFERROR(__xludf.DUMMYFUNCTION("""COMPUTED_VALUE"""),"SANCIÓN")</f>
        <v>SANCIÓN</v>
      </c>
      <c r="N640" s="64" t="str">
        <f>IFERROR(__xludf.DUMMYFUNCTION("""COMPUTED_VALUE"""),"SISTEMA ELECTRICO")</f>
        <v>SISTEMA ELECTRICO</v>
      </c>
      <c r="O640" s="64" t="str">
        <f>IFERROR(__xludf.DUMMYFUNCTION("""COMPUTED_VALUE"""),"ASISTENCIA AL USUARIO")</f>
        <v>ASISTENCIA AL USUARIO</v>
      </c>
      <c r="P640" s="64" t="str">
        <f>IFERROR(__xludf.DUMMYFUNCTION("""COMPUTED_VALUE"""),"DOBLE REMOLQUE")</f>
        <v>DOBLE REMOLQUE</v>
      </c>
      <c r="Q640" s="64" t="str">
        <f>IFERROR(__xludf.DUMMYFUNCTION("""COMPUTED_VALUE"""),"SINAPRESE")</f>
        <v>SINAPRESE</v>
      </c>
      <c r="R640" s="64" t="str">
        <f>IFERROR(__xludf.DUMMYFUNCTION("""COMPUTED_VALUE"""),"APOYO ATLETISMO")</f>
        <v>APOYO ATLETISMO</v>
      </c>
      <c r="S640" s="64" t="str">
        <f>IFERROR(__xludf.DUMMYFUNCTION("""COMPUTED_VALUE"""),"APOYO A CICLISMO")</f>
        <v>APOYO A CICLISMO</v>
      </c>
      <c r="T640" s="64" t="str">
        <f>IFERROR(__xludf.DUMMYFUNCTION("""COMPUTED_VALUE"""),"DESCARGA DE BATERÍA")</f>
        <v>DESCARGA DE BATERÍA</v>
      </c>
      <c r="U640" s="64" t="str">
        <f>IFERROR(__xludf.DUMMYFUNCTION("""COMPUTED_VALUE"""),"PROBLEMAS DE SALUD")</f>
        <v>PROBLEMAS DE SALUD</v>
      </c>
      <c r="V640" s="64" t="str">
        <f>IFERROR(__xludf.DUMMYFUNCTION("""COMPUTED_VALUE"""),"OLVIDO LA LLAVE")</f>
        <v>OLVIDO LA LLAVE</v>
      </c>
      <c r="W640" s="64" t="str">
        <f>IFERROR(__xludf.DUMMYFUNCTION("""COMPUTED_VALUE"""),"CARGA SOBREDIMENSIONADA")</f>
        <v>CARGA SOBREDIMENSIONADA</v>
      </c>
      <c r="X640" s="64" t="str">
        <f>IFERROR(__xludf.DUMMYFUNCTION("""COMPUTED_VALUE"""),"VEHÍCULO ABANDONADO")</f>
        <v>VEHÍCULO ABANDONADO</v>
      </c>
      <c r="Y640" s="64" t="str">
        <f>IFERROR(__xludf.DUMMYFUNCTION("""COMPUTED_VALUE"""),"DESPRENDIMIENTO")</f>
        <v>DESPRENDIMIENTO</v>
      </c>
      <c r="Z640" s="64" t="str">
        <f>IFERROR(__xludf.DUMMYFUNCTION("""COMPUTED_VALUE"""),"CAÍDA DE POSTE")</f>
        <v>CAÍDA DE POSTE</v>
      </c>
      <c r="AA640" s="64" t="str">
        <f>IFERROR(__xludf.DUMMYFUNCTION("""COMPUTED_VALUE"""),"CAÍDA DE RAMA")</f>
        <v>CAÍDA DE RAMA</v>
      </c>
      <c r="AB640" s="64" t="str">
        <f>IFERROR(__xludf.DUMMYFUNCTION("""COMPUTED_VALUE"""),"OPERATIVO DGT")</f>
        <v>OPERATIVO DGT</v>
      </c>
      <c r="AC640" s="64" t="str">
        <f>IFERROR(__xludf.DUMMYFUNCTION("""COMPUTED_VALUE"""),"OPERATIVO PMT")</f>
        <v>OPERATIVO PMT</v>
      </c>
      <c r="AD640" s="64" t="str">
        <f>IFERROR(__xludf.DUMMYFUNCTION("""COMPUTED_VALUE"""),"APOYO A DIGEF")</f>
        <v>APOYO A DIGEF</v>
      </c>
      <c r="AE640" s="64" t="str">
        <f>IFERROR(__xludf.DUMMYFUNCTION("""COMPUTED_VALUE"""),"OPERATIVO PNC TRANSITO")</f>
        <v>OPERATIVO PNC TRANSITO</v>
      </c>
      <c r="AF640" s="64" t="str">
        <f>IFERROR(__xludf.DUMMYFUNCTION("""COMPUTED_VALUE"""),"SOBRECARGA ")</f>
        <v>SOBRECARGA </v>
      </c>
      <c r="AG640" s="64" t="str">
        <f>IFERROR(__xludf.DUMMYFUNCTION("""COMPUTED_VALUE"""),"OPERATIVO EN CONJUNTO")</f>
        <v>OPERATIVO EN CONJUNTO</v>
      </c>
      <c r="AH640" s="64" t="str">
        <f>IFERROR(__xludf.DUMMYFUNCTION("""COMPUTED_VALUE"""),"PUESTO DE ATENCION AL USUARIO")</f>
        <v>PUESTO DE ATENCION AL USUARIO</v>
      </c>
      <c r="AI640" s="64" t="str">
        <f>IFERROR(__xludf.DUMMYFUNCTION("""COMPUTED_VALUE"""),"INCENDIO EN RUTA")</f>
        <v>INCENDIO EN RUTA</v>
      </c>
      <c r="AJ640" s="64" t="str">
        <f>IFERROR(__xludf.DUMMYFUNCTION("""COMPUTED_VALUE"""),"APOYO ANTORCHA ")</f>
        <v>APOYO ANTORCHA </v>
      </c>
    </row>
    <row r="641">
      <c r="B641" s="64" t="s">
        <v>54</v>
      </c>
      <c r="C641" s="64" t="str">
        <f>IFERROR(__xludf.DUMMYFUNCTION(" TRANSPOSE( unique ( QUERY(DATOPRO,""select Col2 where Col1 = '""&amp;B641&amp;""'"")))"),"PINCHAZO")</f>
        <v>PINCHAZO</v>
      </c>
      <c r="D641" s="64" t="str">
        <f>IFERROR(__xludf.DUMMYFUNCTION("""COMPUTED_VALUE"""),"TRABAJOS DE CARRETERA")</f>
        <v>TRABAJOS DE CARRETERA</v>
      </c>
      <c r="E641" s="64" t="str">
        <f>IFERROR(__xludf.DUMMYFUNCTION("""COMPUTED_VALUE"""),"CONSIGNACIÓN")</f>
        <v>CONSIGNACIÓN</v>
      </c>
      <c r="F641" s="64" t="str">
        <f>IFERROR(__xludf.DUMMYFUNCTION("""COMPUTED_VALUE"""),"DERRAME")</f>
        <v>DERRAME</v>
      </c>
      <c r="G641" s="64" t="str">
        <f>IFERROR(__xludf.DUMMYFUNCTION("""COMPUTED_VALUE"""),"CALENTAMIENTO")</f>
        <v>CALENTAMIENTO</v>
      </c>
      <c r="H641" s="64" t="str">
        <f>IFERROR(__xludf.DUMMYFUNCTION("""COMPUTED_VALUE"""),"ESCOLTANDO")</f>
        <v>ESCOLTANDO</v>
      </c>
      <c r="I641" s="64" t="str">
        <f>IFERROR(__xludf.DUMMYFUNCTION("""COMPUTED_VALUE"""),"FALTA DE COMBUSTIBLE")</f>
        <v>FALTA DE COMBUSTIBLE</v>
      </c>
      <c r="J641" s="64" t="str">
        <f>IFERROR(__xludf.DUMMYFUNCTION("""COMPUTED_VALUE"""),"DESPERFECTOS MECÁNICOS")</f>
        <v>DESPERFECTOS MECÁNICOS</v>
      </c>
      <c r="K641" s="64" t="str">
        <f>IFERROR(__xludf.DUMMYFUNCTION("""COMPUTED_VALUE"""),"LLAMADA DE ATENCIÓN")</f>
        <v>LLAMADA DE ATENCIÓN</v>
      </c>
      <c r="L641" s="64" t="str">
        <f>IFERROR(__xludf.DUMMYFUNCTION("""COMPUTED_VALUE"""),"OPERATIVOS")</f>
        <v>OPERATIVOS</v>
      </c>
      <c r="M641" s="64" t="str">
        <f>IFERROR(__xludf.DUMMYFUNCTION("""COMPUTED_VALUE"""),"SANCIÓN")</f>
        <v>SANCIÓN</v>
      </c>
      <c r="N641" s="64" t="str">
        <f>IFERROR(__xludf.DUMMYFUNCTION("""COMPUTED_VALUE"""),"SISTEMA ELECTRICO")</f>
        <v>SISTEMA ELECTRICO</v>
      </c>
      <c r="O641" s="64" t="str">
        <f>IFERROR(__xludf.DUMMYFUNCTION("""COMPUTED_VALUE"""),"ASISTENCIA AL USUARIO")</f>
        <v>ASISTENCIA AL USUARIO</v>
      </c>
      <c r="P641" s="64" t="str">
        <f>IFERROR(__xludf.DUMMYFUNCTION("""COMPUTED_VALUE"""),"DOBLE REMOLQUE")</f>
        <v>DOBLE REMOLQUE</v>
      </c>
      <c r="Q641" s="64" t="str">
        <f>IFERROR(__xludf.DUMMYFUNCTION("""COMPUTED_VALUE"""),"SINAPRESE")</f>
        <v>SINAPRESE</v>
      </c>
      <c r="R641" s="64" t="str">
        <f>IFERROR(__xludf.DUMMYFUNCTION("""COMPUTED_VALUE"""),"APOYO ATLETISMO")</f>
        <v>APOYO ATLETISMO</v>
      </c>
      <c r="S641" s="64" t="str">
        <f>IFERROR(__xludf.DUMMYFUNCTION("""COMPUTED_VALUE"""),"APOYO A CICLISMO")</f>
        <v>APOYO A CICLISMO</v>
      </c>
      <c r="T641" s="64" t="str">
        <f>IFERROR(__xludf.DUMMYFUNCTION("""COMPUTED_VALUE"""),"DESCARGA DE BATERÍA")</f>
        <v>DESCARGA DE BATERÍA</v>
      </c>
      <c r="U641" s="64" t="str">
        <f>IFERROR(__xludf.DUMMYFUNCTION("""COMPUTED_VALUE"""),"PROBLEMAS DE SALUD")</f>
        <v>PROBLEMAS DE SALUD</v>
      </c>
      <c r="V641" s="64" t="str">
        <f>IFERROR(__xludf.DUMMYFUNCTION("""COMPUTED_VALUE"""),"OLVIDO LA LLAVE")</f>
        <v>OLVIDO LA LLAVE</v>
      </c>
      <c r="W641" s="64" t="str">
        <f>IFERROR(__xludf.DUMMYFUNCTION("""COMPUTED_VALUE"""),"CARGA SOBREDIMENSIONADA")</f>
        <v>CARGA SOBREDIMENSIONADA</v>
      </c>
      <c r="X641" s="64" t="str">
        <f>IFERROR(__xludf.DUMMYFUNCTION("""COMPUTED_VALUE"""),"VEHÍCULO ABANDONADO")</f>
        <v>VEHÍCULO ABANDONADO</v>
      </c>
      <c r="Y641" s="64" t="str">
        <f>IFERROR(__xludf.DUMMYFUNCTION("""COMPUTED_VALUE"""),"DESPRENDIMIENTO")</f>
        <v>DESPRENDIMIENTO</v>
      </c>
      <c r="Z641" s="64" t="str">
        <f>IFERROR(__xludf.DUMMYFUNCTION("""COMPUTED_VALUE"""),"CAÍDA DE POSTE")</f>
        <v>CAÍDA DE POSTE</v>
      </c>
      <c r="AA641" s="64" t="str">
        <f>IFERROR(__xludf.DUMMYFUNCTION("""COMPUTED_VALUE"""),"CAÍDA DE RAMA")</f>
        <v>CAÍDA DE RAMA</v>
      </c>
      <c r="AB641" s="64" t="str">
        <f>IFERROR(__xludf.DUMMYFUNCTION("""COMPUTED_VALUE"""),"OPERATIVO DGT")</f>
        <v>OPERATIVO DGT</v>
      </c>
      <c r="AC641" s="64" t="str">
        <f>IFERROR(__xludf.DUMMYFUNCTION("""COMPUTED_VALUE"""),"OPERATIVO PMT")</f>
        <v>OPERATIVO PMT</v>
      </c>
      <c r="AD641" s="64" t="str">
        <f>IFERROR(__xludf.DUMMYFUNCTION("""COMPUTED_VALUE"""),"APOYO A DIGEF")</f>
        <v>APOYO A DIGEF</v>
      </c>
      <c r="AE641" s="64" t="str">
        <f>IFERROR(__xludf.DUMMYFUNCTION("""COMPUTED_VALUE"""),"OPERATIVO PNC TRANSITO")</f>
        <v>OPERATIVO PNC TRANSITO</v>
      </c>
      <c r="AF641" s="64" t="str">
        <f>IFERROR(__xludf.DUMMYFUNCTION("""COMPUTED_VALUE"""),"SOBRECARGA ")</f>
        <v>SOBRECARGA </v>
      </c>
      <c r="AG641" s="64" t="str">
        <f>IFERROR(__xludf.DUMMYFUNCTION("""COMPUTED_VALUE"""),"OPERATIVO EN CONJUNTO")</f>
        <v>OPERATIVO EN CONJUNTO</v>
      </c>
      <c r="AH641" s="64" t="str">
        <f>IFERROR(__xludf.DUMMYFUNCTION("""COMPUTED_VALUE"""),"PUESTO DE ATENCION AL USUARIO")</f>
        <v>PUESTO DE ATENCION AL USUARIO</v>
      </c>
      <c r="AI641" s="64" t="str">
        <f>IFERROR(__xludf.DUMMYFUNCTION("""COMPUTED_VALUE"""),"INCENDIO EN RUTA")</f>
        <v>INCENDIO EN RUTA</v>
      </c>
      <c r="AJ641" s="64" t="str">
        <f>IFERROR(__xludf.DUMMYFUNCTION("""COMPUTED_VALUE"""),"APOYO ANTORCHA ")</f>
        <v>APOYO ANTORCHA </v>
      </c>
    </row>
    <row r="642">
      <c r="B642" s="64"/>
      <c r="C642" s="64" t="str">
        <f>IFERROR(__xludf.DUMMYFUNCTION(" TRANSPOSE( unique ( QUERY(DATOPRO,""select Col2 where Col1 = '""&amp;B642&amp;""'"")))"),"")</f>
        <v/>
      </c>
    </row>
    <row r="643">
      <c r="B643" s="64"/>
      <c r="C643" s="64" t="str">
        <f>IFERROR(__xludf.DUMMYFUNCTION(" TRANSPOSE( unique ( QUERY(DATOPRO,""select Col2 where Col1 = '""&amp;B643&amp;""'"")))"),"")</f>
        <v/>
      </c>
    </row>
    <row r="644">
      <c r="B644" s="64"/>
      <c r="C644" s="64" t="str">
        <f>IFERROR(__xludf.DUMMYFUNCTION(" TRANSPOSE( unique ( QUERY(DATOPRO,""select Col2 where Col1 = '""&amp;B644&amp;""'"")))"),"")</f>
        <v/>
      </c>
    </row>
    <row r="645">
      <c r="B645" s="64"/>
      <c r="C645" s="64" t="str">
        <f>IFERROR(__xludf.DUMMYFUNCTION(" TRANSPOSE( unique ( QUERY(DATOPRO,""select Col2 where Col1 = '""&amp;B645&amp;""'"")))"),"")</f>
        <v/>
      </c>
    </row>
    <row r="646">
      <c r="B646" s="64"/>
      <c r="C646" s="64" t="str">
        <f>IFERROR(__xludf.DUMMYFUNCTION(" TRANSPOSE( unique ( QUERY(DATOPRO,""select Col2 where Col1 = '""&amp;B646&amp;""'"")))"),"")</f>
        <v/>
      </c>
    </row>
    <row r="647">
      <c r="B647" s="64"/>
      <c r="C647" s="64" t="str">
        <f>IFERROR(__xludf.DUMMYFUNCTION(" TRANSPOSE( unique ( QUERY(DATOPRO,""select Col2 where Col1 = '""&amp;B647&amp;""'"")))"),"")</f>
        <v/>
      </c>
    </row>
    <row r="648">
      <c r="C648" s="64" t="str">
        <f>IFERROR(__xludf.DUMMYFUNCTION(" TRANSPOSE( unique ( QUERY(DATOPRO,""select Col2 where Col1 = '""&amp;B648&amp;""'"")))"),"")</f>
        <v/>
      </c>
    </row>
    <row r="649">
      <c r="C649" s="64" t="str">
        <f>IFERROR(__xludf.DUMMYFUNCTION(" TRANSPOSE( unique ( QUERY(DATOPRO,""select Col2 where Col1 = '""&amp;B649&amp;""'"")))"),"")</f>
        <v/>
      </c>
    </row>
    <row r="650">
      <c r="C650" s="64" t="str">
        <f>IFERROR(__xludf.DUMMYFUNCTION(" TRANSPOSE( unique ( QUERY(DATOPRO,""select Col2 where Col1 = '""&amp;B650&amp;""'"")))"),"")</f>
        <v/>
      </c>
    </row>
    <row r="651">
      <c r="C651" s="64" t="str">
        <f>IFERROR(__xludf.DUMMYFUNCTION(" TRANSPOSE( unique ( QUERY(DATOPRO,""select Col2 where Col1 = '""&amp;B651&amp;""'"")))"),"")</f>
        <v/>
      </c>
    </row>
    <row r="652">
      <c r="C652" s="64" t="str">
        <f>IFERROR(__xludf.DUMMYFUNCTION(" TRANSPOSE( unique ( QUERY(DATOPRO,""select Col2 where Col1 = '""&amp;B652&amp;""'"")))"),"")</f>
        <v/>
      </c>
    </row>
    <row r="653">
      <c r="C653" s="64" t="str">
        <f>IFERROR(__xludf.DUMMYFUNCTION(" TRANSPOSE( unique ( QUERY(DATOPRO,""select Col2 where Col1 = '""&amp;B653&amp;""'"")))"),"")</f>
        <v/>
      </c>
    </row>
    <row r="654">
      <c r="C654" s="64" t="str">
        <f>IFERROR(__xludf.DUMMYFUNCTION(" TRANSPOSE( unique ( QUERY(DATOPRO,""select Col2 where Col1 = '""&amp;B654&amp;""'"")))"),"")</f>
        <v/>
      </c>
    </row>
    <row r="655">
      <c r="C655" s="64" t="str">
        <f>IFERROR(__xludf.DUMMYFUNCTION(" TRANSPOSE( unique ( QUERY(DATOPRO,""select Col2 where Col1 = '""&amp;B655&amp;""'"")))"),"")</f>
        <v/>
      </c>
    </row>
    <row r="656">
      <c r="C656" s="64" t="str">
        <f>IFERROR(__xludf.DUMMYFUNCTION(" TRANSPOSE( unique ( QUERY(DATOPRO,""select Col2 where Col1 = '""&amp;B656&amp;""'"")))"),"")</f>
        <v/>
      </c>
    </row>
    <row r="657">
      <c r="C657" s="64" t="str">
        <f>IFERROR(__xludf.DUMMYFUNCTION(" TRANSPOSE( unique ( QUERY(DATOPRO,""select Col2 where Col1 = '""&amp;B657&amp;""'"")))"),"")</f>
        <v/>
      </c>
    </row>
    <row r="658">
      <c r="C658" s="64" t="str">
        <f>IFERROR(__xludf.DUMMYFUNCTION(" TRANSPOSE( unique ( QUERY(DATOPRO,""select Col2 where Col1 = '""&amp;B658&amp;""'"")))"),"")</f>
        <v/>
      </c>
    </row>
    <row r="659">
      <c r="C659" s="64" t="str">
        <f>IFERROR(__xludf.DUMMYFUNCTION(" TRANSPOSE( unique ( QUERY(DATOPRO,""select Col2 where Col1 = '""&amp;B659&amp;""'"")))"),"")</f>
        <v/>
      </c>
    </row>
    <row r="660">
      <c r="C660" s="64" t="str">
        <f>IFERROR(__xludf.DUMMYFUNCTION(" TRANSPOSE( unique ( QUERY(DATOPRO,""select Col2 where Col1 = '""&amp;B660&amp;""'"")))"),"")</f>
        <v/>
      </c>
    </row>
    <row r="661">
      <c r="C661" s="64" t="str">
        <f>IFERROR(__xludf.DUMMYFUNCTION(" TRANSPOSE( unique ( QUERY(DATOPRO,""select Col2 where Col1 = '""&amp;B661&amp;""'"")))"),"")</f>
        <v/>
      </c>
    </row>
    <row r="662">
      <c r="C662" s="64" t="str">
        <f>IFERROR(__xludf.DUMMYFUNCTION(" TRANSPOSE( unique ( QUERY(DATOPRO,""select Col2 where Col1 = '""&amp;B662&amp;""'"")))"),"")</f>
        <v/>
      </c>
    </row>
    <row r="663">
      <c r="C663" s="64" t="str">
        <f>IFERROR(__xludf.DUMMYFUNCTION(" TRANSPOSE( unique ( QUERY(DATOPRO,""select Col2 where Col1 = '""&amp;B663&amp;""'"")))"),"")</f>
        <v/>
      </c>
    </row>
    <row r="664">
      <c r="C664" s="64" t="str">
        <f>IFERROR(__xludf.DUMMYFUNCTION(" TRANSPOSE( unique ( QUERY(DATOPRO,""select Col2 where Col1 = '""&amp;B664&amp;""'"")))"),"")</f>
        <v/>
      </c>
    </row>
    <row r="665">
      <c r="C665" s="64" t="str">
        <f>IFERROR(__xludf.DUMMYFUNCTION(" TRANSPOSE( unique ( QUERY(DATOPRO,""select Col2 where Col1 = '""&amp;B665&amp;""'"")))"),"")</f>
        <v/>
      </c>
    </row>
    <row r="666">
      <c r="C666" s="64" t="str">
        <f>IFERROR(__xludf.DUMMYFUNCTION(" TRANSPOSE( unique ( QUERY(DATOPRO,""select Col2 where Col1 = '""&amp;B666&amp;""'"")))"),"")</f>
        <v/>
      </c>
    </row>
    <row r="667">
      <c r="C667" s="64" t="str">
        <f>IFERROR(__xludf.DUMMYFUNCTION(" TRANSPOSE( unique ( QUERY(DATOPRO,""select Col2 where Col1 = '""&amp;B667&amp;""'"")))"),"")</f>
        <v/>
      </c>
    </row>
    <row r="668">
      <c r="C668" s="64" t="str">
        <f>IFERROR(__xludf.DUMMYFUNCTION(" TRANSPOSE( unique ( QUERY(DATOPRO,""select Col2 where Col1 = '""&amp;B668&amp;""'"")))"),"")</f>
        <v/>
      </c>
    </row>
    <row r="669">
      <c r="C669" s="64" t="str">
        <f>IFERROR(__xludf.DUMMYFUNCTION(" TRANSPOSE( unique ( QUERY(DATOPRO,""select Col2 where Col1 = '""&amp;B669&amp;""'"")))"),"")</f>
        <v/>
      </c>
    </row>
    <row r="670">
      <c r="C670" s="64" t="str">
        <f>IFERROR(__xludf.DUMMYFUNCTION(" TRANSPOSE( unique ( QUERY(DATOPRO,""select Col2 where Col1 = '""&amp;B670&amp;""'"")))"),"")</f>
        <v/>
      </c>
    </row>
    <row r="671">
      <c r="C671" s="64" t="str">
        <f>IFERROR(__xludf.DUMMYFUNCTION(" TRANSPOSE( unique ( QUERY(DATOPRO,""select Col2 where Col1 = '""&amp;B671&amp;""'"")))"),"")</f>
        <v/>
      </c>
    </row>
    <row r="672">
      <c r="C672" s="64" t="str">
        <f>IFERROR(__xludf.DUMMYFUNCTION(" TRANSPOSE( unique ( QUERY(DATOPRO,""select Col2 where Col1 = '""&amp;B672&amp;""'"")))"),"")</f>
        <v/>
      </c>
    </row>
    <row r="673">
      <c r="C673" s="64" t="str">
        <f>IFERROR(__xludf.DUMMYFUNCTION(" TRANSPOSE( unique ( QUERY(DATOPRO,""select Col2 where Col1 = '""&amp;B673&amp;""'"")))"),"")</f>
        <v/>
      </c>
    </row>
    <row r="674">
      <c r="C674" s="64" t="str">
        <f>IFERROR(__xludf.DUMMYFUNCTION(" TRANSPOSE( unique ( QUERY(DATOPRO,""select Col2 where Col1 = '""&amp;B674&amp;""'"")))"),"")</f>
        <v/>
      </c>
    </row>
    <row r="675">
      <c r="C675" s="64" t="str">
        <f>IFERROR(__xludf.DUMMYFUNCTION(" TRANSPOSE( unique ( QUERY(DATOPRO,""select Col2 where Col1 = '""&amp;B675&amp;""'"")))"),"")</f>
        <v/>
      </c>
    </row>
    <row r="676">
      <c r="C676" s="64" t="str">
        <f>IFERROR(__xludf.DUMMYFUNCTION(" TRANSPOSE( unique ( QUERY(DATOPRO,""select Col2 where Col1 = '""&amp;B676&amp;""'"")))"),"")</f>
        <v/>
      </c>
    </row>
    <row r="677">
      <c r="C677" s="64" t="str">
        <f>IFERROR(__xludf.DUMMYFUNCTION(" TRANSPOSE( unique ( QUERY(DATOPRO,""select Col2 where Col1 = '""&amp;B677&amp;""'"")))"),"")</f>
        <v/>
      </c>
    </row>
    <row r="678">
      <c r="C678" s="64" t="str">
        <f>IFERROR(__xludf.DUMMYFUNCTION(" TRANSPOSE( unique ( QUERY(DATOPRO,""select Col2 where Col1 = '""&amp;B678&amp;""'"")))"),"")</f>
        <v/>
      </c>
    </row>
    <row r="679">
      <c r="C679" s="64" t="str">
        <f>IFERROR(__xludf.DUMMYFUNCTION(" TRANSPOSE( unique ( QUERY(DATOPRO,""select Col2 where Col1 = '""&amp;B679&amp;""'"")))"),"")</f>
        <v/>
      </c>
    </row>
    <row r="680">
      <c r="C680" s="64" t="str">
        <f>IFERROR(__xludf.DUMMYFUNCTION(" TRANSPOSE( unique ( QUERY(DATOPRO,""select Col2 where Col1 = '""&amp;B680&amp;""'"")))"),"")</f>
        <v/>
      </c>
    </row>
    <row r="681">
      <c r="C681" s="64" t="str">
        <f>IFERROR(__xludf.DUMMYFUNCTION(" TRANSPOSE( unique ( QUERY(DATOPRO,""select Col2 where Col1 = '""&amp;B681&amp;""'"")))"),"")</f>
        <v/>
      </c>
    </row>
    <row r="682">
      <c r="C682" s="64" t="str">
        <f>IFERROR(__xludf.DUMMYFUNCTION(" TRANSPOSE( unique ( QUERY(DATOPRO,""select Col2 where Col1 = '""&amp;B682&amp;""'"")))"),"")</f>
        <v/>
      </c>
    </row>
    <row r="683">
      <c r="C683" s="64" t="str">
        <f>IFERROR(__xludf.DUMMYFUNCTION(" TRANSPOSE( unique ( QUERY(DATOPRO,""select Col2 where Col1 = '""&amp;B683&amp;""'"")))"),"")</f>
        <v/>
      </c>
    </row>
    <row r="684">
      <c r="C684" s="64" t="str">
        <f>IFERROR(__xludf.DUMMYFUNCTION(" TRANSPOSE( unique ( QUERY(DATOPRO,""select Col2 where Col1 = '""&amp;B684&amp;""'"")))"),"")</f>
        <v/>
      </c>
    </row>
    <row r="685">
      <c r="C685" s="64" t="str">
        <f>IFERROR(__xludf.DUMMYFUNCTION(" TRANSPOSE( unique ( QUERY(DATOPRO,""select Col2 where Col1 = '""&amp;B685&amp;""'"")))"),"")</f>
        <v/>
      </c>
    </row>
    <row r="686">
      <c r="C686" s="64" t="str">
        <f>IFERROR(__xludf.DUMMYFUNCTION(" TRANSPOSE( unique ( QUERY(DATOPRO,""select Col2 where Col1 = '""&amp;B686&amp;""'"")))"),"")</f>
        <v/>
      </c>
    </row>
    <row r="687">
      <c r="C687" s="64" t="str">
        <f>IFERROR(__xludf.DUMMYFUNCTION(" TRANSPOSE( unique ( QUERY(DATOPRO,""select Col2 where Col1 = '""&amp;B687&amp;""'"")))"),"")</f>
        <v/>
      </c>
    </row>
    <row r="688">
      <c r="C688" s="64" t="str">
        <f>IFERROR(__xludf.DUMMYFUNCTION(" TRANSPOSE( unique ( QUERY(DATOPRO,""select Col2 where Col1 = '""&amp;B688&amp;""'"")))"),"")</f>
        <v/>
      </c>
    </row>
    <row r="689">
      <c r="C689" s="64" t="str">
        <f>IFERROR(__xludf.DUMMYFUNCTION(" TRANSPOSE( unique ( QUERY(DATOPRO,""select Col2 where Col1 = '""&amp;B689&amp;""'"")))"),"")</f>
        <v/>
      </c>
    </row>
    <row r="690">
      <c r="C690" s="64" t="str">
        <f>IFERROR(__xludf.DUMMYFUNCTION(" TRANSPOSE( unique ( QUERY(DATOPRO,""select Col2 where Col1 = '""&amp;B690&amp;""'"")))"),"")</f>
        <v/>
      </c>
    </row>
    <row r="691">
      <c r="C691" s="64" t="str">
        <f>IFERROR(__xludf.DUMMYFUNCTION(" TRANSPOSE( unique ( QUERY(DATOPRO,""select Col2 where Col1 = '""&amp;B691&amp;""'"")))"),"")</f>
        <v/>
      </c>
    </row>
    <row r="692">
      <c r="C692" s="64" t="str">
        <f>IFERROR(__xludf.DUMMYFUNCTION(" TRANSPOSE( unique ( QUERY(DATOPRO,""select Col2 where Col1 = '""&amp;B692&amp;""'"")))"),"")</f>
        <v/>
      </c>
    </row>
    <row r="693">
      <c r="C693" s="64" t="str">
        <f>IFERROR(__xludf.DUMMYFUNCTION(" TRANSPOSE( unique ( QUERY(DATOPRO,""select Col2 where Col1 = '""&amp;B693&amp;""'"")))"),"")</f>
        <v/>
      </c>
    </row>
    <row r="694">
      <c r="C694" s="64" t="str">
        <f>IFERROR(__xludf.DUMMYFUNCTION(" TRANSPOSE( unique ( QUERY(DATOPRO,""select Col2 where Col1 = '""&amp;B694&amp;""'"")))"),"")</f>
        <v/>
      </c>
    </row>
    <row r="695">
      <c r="C695" s="64" t="str">
        <f>IFERROR(__xludf.DUMMYFUNCTION(" TRANSPOSE( unique ( QUERY(DATOPRO,""select Col2 where Col1 = '""&amp;B695&amp;""'"")))"),"")</f>
        <v/>
      </c>
    </row>
    <row r="696">
      <c r="C696" s="64" t="str">
        <f>IFERROR(__xludf.DUMMYFUNCTION(" TRANSPOSE( unique ( QUERY(DATOPRO,""select Col2 where Col1 = '""&amp;B696&amp;""'"")))"),"")</f>
        <v/>
      </c>
    </row>
    <row r="697">
      <c r="C697" s="64" t="str">
        <f>IFERROR(__xludf.DUMMYFUNCTION(" TRANSPOSE( unique ( QUERY(DATOPRO,""select Col2 where Col1 = '""&amp;B697&amp;""'"")))"),"")</f>
        <v/>
      </c>
    </row>
    <row r="698">
      <c r="C698" s="64" t="str">
        <f>IFERROR(__xludf.DUMMYFUNCTION(" TRANSPOSE( unique ( QUERY(DATOPRO,""select Col2 where Col1 = '""&amp;B698&amp;""'"")))"),"")</f>
        <v/>
      </c>
    </row>
    <row r="699">
      <c r="C699" s="64" t="str">
        <f>IFERROR(__xludf.DUMMYFUNCTION(" TRANSPOSE( unique ( QUERY(DATOPRO,""select Col2 where Col1 = '""&amp;B699&amp;""'"")))"),"")</f>
        <v/>
      </c>
    </row>
    <row r="700">
      <c r="C700" s="64" t="str">
        <f>IFERROR(__xludf.DUMMYFUNCTION(" TRANSPOSE( unique ( QUERY(DATOPRO,""select Col2 where Col1 = '""&amp;B700&amp;""'"")))"),"")</f>
        <v/>
      </c>
    </row>
    <row r="701">
      <c r="C701" s="64" t="str">
        <f>IFERROR(__xludf.DUMMYFUNCTION(" TRANSPOSE( unique ( QUERY(DATOPRO,""select Col2 where Col1 = '""&amp;B701&amp;""'"")))"),"")</f>
        <v/>
      </c>
    </row>
    <row r="702">
      <c r="C702" s="64" t="str">
        <f>IFERROR(__xludf.DUMMYFUNCTION(" TRANSPOSE( unique ( QUERY(DATOPRO,""select Col2 where Col1 = '""&amp;B702&amp;""'"")))"),"")</f>
        <v/>
      </c>
    </row>
    <row r="703">
      <c r="C703" s="64" t="str">
        <f>IFERROR(__xludf.DUMMYFUNCTION(" TRANSPOSE( unique ( QUERY(DATOPRO,""select Col2 where Col1 = '""&amp;B703&amp;""'"")))"),"")</f>
        <v/>
      </c>
    </row>
    <row r="704">
      <c r="C704" s="64" t="str">
        <f>IFERROR(__xludf.DUMMYFUNCTION(" TRANSPOSE( unique ( QUERY(DATOPRO,""select Col2 where Col1 = '""&amp;B704&amp;""'"")))"),"")</f>
        <v/>
      </c>
    </row>
    <row r="705">
      <c r="C705" s="64" t="str">
        <f>IFERROR(__xludf.DUMMYFUNCTION(" TRANSPOSE( unique ( QUERY(DATOPRO,""select Col2 where Col1 = '""&amp;B705&amp;""'"")))"),"")</f>
        <v/>
      </c>
    </row>
    <row r="706">
      <c r="C706" s="64" t="str">
        <f>IFERROR(__xludf.DUMMYFUNCTION(" TRANSPOSE( unique ( QUERY(DATOPRO,""select Col2 where Col1 = '""&amp;B706&amp;""'"")))"),"")</f>
        <v/>
      </c>
    </row>
    <row r="707">
      <c r="C707" s="64" t="str">
        <f>IFERROR(__xludf.DUMMYFUNCTION(" TRANSPOSE( unique ( QUERY(DATOPRO,""select Col2 where Col1 = '""&amp;B707&amp;""'"")))"),"")</f>
        <v/>
      </c>
    </row>
    <row r="708">
      <c r="C708" s="64" t="str">
        <f>IFERROR(__xludf.DUMMYFUNCTION(" TRANSPOSE( unique ( QUERY(DATOPRO,""select Col2 where Col1 = '""&amp;B708&amp;""'"")))"),"")</f>
        <v/>
      </c>
    </row>
    <row r="709">
      <c r="C709" s="64" t="str">
        <f>IFERROR(__xludf.DUMMYFUNCTION(" TRANSPOSE( unique ( QUERY(DATOPRO,""select Col2 where Col1 = '""&amp;B709&amp;""'"")))"),"")</f>
        <v/>
      </c>
    </row>
    <row r="710">
      <c r="C710" s="64" t="str">
        <f>IFERROR(__xludf.DUMMYFUNCTION(" TRANSPOSE( unique ( QUERY(DATOPRO,""select Col2 where Col1 = '""&amp;B710&amp;""'"")))"),"")</f>
        <v/>
      </c>
    </row>
    <row r="711">
      <c r="C711" s="64" t="str">
        <f>IFERROR(__xludf.DUMMYFUNCTION(" TRANSPOSE( unique ( QUERY(DATOPRO,""select Col2 where Col1 = '""&amp;B711&amp;""'"")))"),"")</f>
        <v/>
      </c>
    </row>
    <row r="712">
      <c r="C712" s="64" t="str">
        <f>IFERROR(__xludf.DUMMYFUNCTION(" TRANSPOSE( unique ( QUERY(DATOPRO,""select Col2 where Col1 = '""&amp;B712&amp;""'"")))"),"")</f>
        <v/>
      </c>
    </row>
    <row r="713">
      <c r="C713" s="64" t="str">
        <f>IFERROR(__xludf.DUMMYFUNCTION(" TRANSPOSE( unique ( QUERY(DATOPRO,""select Col2 where Col1 = '""&amp;B713&amp;""'"")))"),"")</f>
        <v/>
      </c>
    </row>
    <row r="714">
      <c r="C714" s="64" t="str">
        <f>IFERROR(__xludf.DUMMYFUNCTION(" TRANSPOSE( unique ( QUERY(DATOPRO,""select Col2 where Col1 = '""&amp;B714&amp;""'"")))"),"")</f>
        <v/>
      </c>
    </row>
    <row r="715">
      <c r="C715" s="64" t="str">
        <f>IFERROR(__xludf.DUMMYFUNCTION(" TRANSPOSE( unique ( QUERY(DATOPRO,""select Col2 where Col1 = '""&amp;B715&amp;""'"")))"),"")</f>
        <v/>
      </c>
    </row>
    <row r="716">
      <c r="C716" s="64" t="str">
        <f>IFERROR(__xludf.DUMMYFUNCTION(" TRANSPOSE( unique ( QUERY(DATOPRO,""select Col2 where Col1 = '""&amp;B716&amp;""'"")))"),"")</f>
        <v/>
      </c>
    </row>
    <row r="717">
      <c r="C717" s="64" t="str">
        <f>IFERROR(__xludf.DUMMYFUNCTION(" TRANSPOSE( unique ( QUERY(DATOPRO,""select Col2 where Col1 = '""&amp;B717&amp;""'"")))"),"")</f>
        <v/>
      </c>
    </row>
    <row r="718">
      <c r="C718" s="64" t="str">
        <f>IFERROR(__xludf.DUMMYFUNCTION(" TRANSPOSE( unique ( QUERY(DATOPRO,""select Col2 where Col1 = '""&amp;B718&amp;""'"")))"),"")</f>
        <v/>
      </c>
    </row>
    <row r="719">
      <c r="C719" s="64" t="str">
        <f>IFERROR(__xludf.DUMMYFUNCTION(" TRANSPOSE( unique ( QUERY(DATOPRO,""select Col2 where Col1 = '""&amp;B719&amp;""'"")))"),"")</f>
        <v/>
      </c>
    </row>
    <row r="720">
      <c r="C720" s="64" t="str">
        <f>IFERROR(__xludf.DUMMYFUNCTION(" TRANSPOSE( unique ( QUERY(DATOPRO,""select Col2 where Col1 = '""&amp;B720&amp;""'"")))"),"")</f>
        <v/>
      </c>
    </row>
    <row r="721">
      <c r="C721" s="64" t="str">
        <f>IFERROR(__xludf.DUMMYFUNCTION(" TRANSPOSE( unique ( QUERY(DATOPRO,""select Col2 where Col1 = '""&amp;B721&amp;""'"")))"),"")</f>
        <v/>
      </c>
    </row>
    <row r="722">
      <c r="C722" s="64" t="str">
        <f>IFERROR(__xludf.DUMMYFUNCTION(" TRANSPOSE( unique ( QUERY(DATOPRO,""select Col2 where Col1 = '""&amp;B722&amp;""'"")))"),"")</f>
        <v/>
      </c>
    </row>
    <row r="723">
      <c r="C723" s="64" t="str">
        <f>IFERROR(__xludf.DUMMYFUNCTION(" TRANSPOSE( unique ( QUERY(DATOPRO,""select Col2 where Col1 = '""&amp;B723&amp;""'"")))"),"")</f>
        <v/>
      </c>
    </row>
    <row r="724">
      <c r="C724" s="64" t="str">
        <f>IFERROR(__xludf.DUMMYFUNCTION(" TRANSPOSE( unique ( QUERY(DATOPRO,""select Col2 where Col1 = '""&amp;B724&amp;""'"")))"),"")</f>
        <v/>
      </c>
    </row>
    <row r="725">
      <c r="C725" s="64" t="str">
        <f>IFERROR(__xludf.DUMMYFUNCTION(" TRANSPOSE( unique ( QUERY(DATOPRO,""select Col2 where Col1 = '""&amp;B725&amp;""'"")))"),"")</f>
        <v/>
      </c>
    </row>
    <row r="726">
      <c r="C726" s="64" t="str">
        <f>IFERROR(__xludf.DUMMYFUNCTION(" TRANSPOSE( unique ( QUERY(DATOPRO,""select Col2 where Col1 = '""&amp;B726&amp;""'"")))"),"")</f>
        <v/>
      </c>
    </row>
    <row r="727">
      <c r="C727" s="64" t="str">
        <f>IFERROR(__xludf.DUMMYFUNCTION(" TRANSPOSE( unique ( QUERY(DATOPRO,""select Col2 where Col1 = '""&amp;B727&amp;""'"")))"),"")</f>
        <v/>
      </c>
    </row>
    <row r="728">
      <c r="C728" s="64" t="str">
        <f>IFERROR(__xludf.DUMMYFUNCTION(" TRANSPOSE( unique ( QUERY(DATOPRO,""select Col2 where Col1 = '""&amp;B728&amp;""'"")))"),"")</f>
        <v/>
      </c>
    </row>
    <row r="729">
      <c r="C729" s="64" t="str">
        <f>IFERROR(__xludf.DUMMYFUNCTION(" TRANSPOSE( unique ( QUERY(DATOPRO,""select Col2 where Col1 = '""&amp;B729&amp;""'"")))"),"")</f>
        <v/>
      </c>
    </row>
    <row r="730">
      <c r="C730" s="64" t="str">
        <f>IFERROR(__xludf.DUMMYFUNCTION(" TRANSPOSE( unique ( QUERY(DATOPRO,""select Col2 where Col1 = '""&amp;B730&amp;""'"")))"),"")</f>
        <v/>
      </c>
    </row>
    <row r="731">
      <c r="C731" s="64" t="str">
        <f>IFERROR(__xludf.DUMMYFUNCTION(" TRANSPOSE( unique ( QUERY(DATOPRO,""select Col2 where Col1 = '""&amp;B731&amp;""'"")))"),"")</f>
        <v/>
      </c>
    </row>
    <row r="732">
      <c r="C732" s="64" t="str">
        <f>IFERROR(__xludf.DUMMYFUNCTION(" TRANSPOSE( unique ( QUERY(DATOPRO,""select Col2 where Col1 = '""&amp;B732&amp;""'"")))"),"")</f>
        <v/>
      </c>
    </row>
    <row r="733">
      <c r="C733" s="64" t="str">
        <f>IFERROR(__xludf.DUMMYFUNCTION(" TRANSPOSE( unique ( QUERY(DATOPRO,""select Col2 where Col1 = '""&amp;B733&amp;""'"")))"),"")</f>
        <v/>
      </c>
    </row>
    <row r="734">
      <c r="C734" s="64" t="str">
        <f>IFERROR(__xludf.DUMMYFUNCTION(" TRANSPOSE( unique ( QUERY(DATOPRO,""select Col2 where Col1 = '""&amp;B734&amp;""'"")))"),"")</f>
        <v/>
      </c>
    </row>
    <row r="735">
      <c r="C735" s="64" t="str">
        <f>IFERROR(__xludf.DUMMYFUNCTION(" TRANSPOSE( unique ( QUERY(DATOPRO,""select Col2 where Col1 = '""&amp;B735&amp;""'"")))"),"")</f>
        <v/>
      </c>
    </row>
    <row r="736">
      <c r="C736" s="64" t="str">
        <f>IFERROR(__xludf.DUMMYFUNCTION(" TRANSPOSE( unique ( QUERY(DATOPRO,""select Col2 where Col1 = '""&amp;B736&amp;""'"")))"),"")</f>
        <v/>
      </c>
    </row>
    <row r="737">
      <c r="C737" s="64" t="str">
        <f>IFERROR(__xludf.DUMMYFUNCTION(" TRANSPOSE( unique ( QUERY(DATOPRO,""select Col2 where Col1 = '""&amp;B737&amp;""'"")))"),"")</f>
        <v/>
      </c>
    </row>
    <row r="738">
      <c r="C738" s="64" t="str">
        <f>IFERROR(__xludf.DUMMYFUNCTION(" TRANSPOSE( unique ( QUERY(DATOPRO,""select Col2 where Col1 = '""&amp;B738&amp;""'"")))"),"")</f>
        <v/>
      </c>
    </row>
    <row r="739">
      <c r="C739" s="64" t="str">
        <f>IFERROR(__xludf.DUMMYFUNCTION(" TRANSPOSE( unique ( QUERY(DATOPRO,""select Col2 where Col1 = '""&amp;B739&amp;""'"")))"),"")</f>
        <v/>
      </c>
    </row>
    <row r="740">
      <c r="C740" s="64" t="str">
        <f>IFERROR(__xludf.DUMMYFUNCTION(" TRANSPOSE( unique ( QUERY(DATOPRO,""select Col2 where Col1 = '""&amp;B740&amp;""'"")))"),"")</f>
        <v/>
      </c>
    </row>
    <row r="741">
      <c r="C741" s="64" t="str">
        <f>IFERROR(__xludf.DUMMYFUNCTION(" TRANSPOSE( unique ( QUERY(DATOPRO,""select Col2 where Col1 = '""&amp;B741&amp;""'"")))"),"")</f>
        <v/>
      </c>
    </row>
    <row r="742">
      <c r="C742" s="64" t="str">
        <f>IFERROR(__xludf.DUMMYFUNCTION(" TRANSPOSE( unique ( QUERY(DATOPRO,""select Col2 where Col1 = '""&amp;B742&amp;""'"")))"),"")</f>
        <v/>
      </c>
    </row>
    <row r="743">
      <c r="C743" s="64" t="str">
        <f>IFERROR(__xludf.DUMMYFUNCTION(" TRANSPOSE( unique ( QUERY(DATOPRO,""select Col2 where Col1 = '""&amp;B743&amp;""'"")))"),"")</f>
        <v/>
      </c>
    </row>
    <row r="744">
      <c r="C744" s="64" t="str">
        <f>IFERROR(__xludf.DUMMYFUNCTION(" TRANSPOSE( unique ( QUERY(DATOPRO,""select Col2 where Col1 = '""&amp;B744&amp;""'"")))"),"")</f>
        <v/>
      </c>
    </row>
    <row r="745">
      <c r="C745" s="64" t="str">
        <f>IFERROR(__xludf.DUMMYFUNCTION(" TRANSPOSE( unique ( QUERY(DATOPRO,""select Col2 where Col1 = '""&amp;B745&amp;""'"")))"),"")</f>
        <v/>
      </c>
    </row>
    <row r="746">
      <c r="C746" s="64" t="str">
        <f>IFERROR(__xludf.DUMMYFUNCTION(" TRANSPOSE( unique ( QUERY(DATOPRO,""select Col2 where Col1 = '""&amp;B746&amp;""'"")))"),"")</f>
        <v/>
      </c>
    </row>
    <row r="747">
      <c r="C747" s="64" t="str">
        <f>IFERROR(__xludf.DUMMYFUNCTION(" TRANSPOSE( unique ( QUERY(DATOPRO,""select Col2 where Col1 = '""&amp;B747&amp;""'"")))"),"")</f>
        <v/>
      </c>
    </row>
    <row r="748">
      <c r="C748" s="64" t="str">
        <f>IFERROR(__xludf.DUMMYFUNCTION(" TRANSPOSE( unique ( QUERY(DATOPRO,""select Col2 where Col1 = '""&amp;B748&amp;""'"")))"),"")</f>
        <v/>
      </c>
    </row>
    <row r="749">
      <c r="C749" s="64" t="str">
        <f>IFERROR(__xludf.DUMMYFUNCTION(" TRANSPOSE( unique ( QUERY(DATOPRO,""select Col2 where Col1 = '""&amp;B749&amp;""'"")))"),"")</f>
        <v/>
      </c>
    </row>
    <row r="750">
      <c r="C750" s="64" t="str">
        <f>IFERROR(__xludf.DUMMYFUNCTION(" TRANSPOSE( unique ( QUERY(DATOPRO,""select Col2 where Col1 = '""&amp;B750&amp;""'"")))"),"")</f>
        <v/>
      </c>
    </row>
    <row r="751">
      <c r="C751" s="64" t="str">
        <f>IFERROR(__xludf.DUMMYFUNCTION(" TRANSPOSE( unique ( QUERY(DATOPRO,""select Col2 where Col1 = '""&amp;B751&amp;""'"")))"),"")</f>
        <v/>
      </c>
    </row>
    <row r="752">
      <c r="C752" s="64" t="str">
        <f>IFERROR(__xludf.DUMMYFUNCTION(" TRANSPOSE( unique ( QUERY(DATOPRO,""select Col2 where Col1 = '""&amp;B752&amp;""'"")))"),"")</f>
        <v/>
      </c>
    </row>
    <row r="753">
      <c r="C753" s="64" t="str">
        <f>IFERROR(__xludf.DUMMYFUNCTION(" TRANSPOSE( unique ( QUERY(DATOPRO,""select Col2 where Col1 = '""&amp;B753&amp;""'"")))"),"")</f>
        <v/>
      </c>
    </row>
    <row r="754">
      <c r="C754" s="64" t="str">
        <f>IFERROR(__xludf.DUMMYFUNCTION(" TRANSPOSE( unique ( QUERY(DATOPRO,""select Col2 where Col1 = '""&amp;B754&amp;""'"")))"),"")</f>
        <v/>
      </c>
    </row>
    <row r="755">
      <c r="C755" s="64" t="str">
        <f>IFERROR(__xludf.DUMMYFUNCTION(" TRANSPOSE( unique ( QUERY(DATOPRO,""select Col2 where Col1 = '""&amp;B755&amp;""'"")))"),"")</f>
        <v/>
      </c>
    </row>
    <row r="756">
      <c r="C756" s="64" t="str">
        <f>IFERROR(__xludf.DUMMYFUNCTION(" TRANSPOSE( unique ( QUERY(DATOPRO,""select Col2 where Col1 = '""&amp;B756&amp;""'"")))"),"")</f>
        <v/>
      </c>
    </row>
    <row r="757">
      <c r="C757" s="64" t="str">
        <f>IFERROR(__xludf.DUMMYFUNCTION(" TRANSPOSE( unique ( QUERY(DATOPRO,""select Col2 where Col1 = '""&amp;B757&amp;""'"")))"),"")</f>
        <v/>
      </c>
    </row>
    <row r="758">
      <c r="C758" s="64" t="str">
        <f>IFERROR(__xludf.DUMMYFUNCTION(" TRANSPOSE( unique ( QUERY(DATOPRO,""select Col2 where Col1 = '""&amp;B758&amp;""'"")))"),"")</f>
        <v/>
      </c>
    </row>
    <row r="759">
      <c r="C759" s="64" t="str">
        <f>IFERROR(__xludf.DUMMYFUNCTION(" TRANSPOSE( unique ( QUERY(DATOPRO,""select Col2 where Col1 = '""&amp;B759&amp;""'"")))"),"")</f>
        <v/>
      </c>
    </row>
    <row r="760">
      <c r="C760" s="64" t="str">
        <f>IFERROR(__xludf.DUMMYFUNCTION(" TRANSPOSE( unique ( QUERY(DATOPRO,""select Col2 where Col1 = '""&amp;B760&amp;""'"")))"),"")</f>
        <v/>
      </c>
    </row>
    <row r="761">
      <c r="C761" s="64" t="str">
        <f>IFERROR(__xludf.DUMMYFUNCTION(" TRANSPOSE( unique ( QUERY(DATOPRO,""select Col2 where Col1 = '""&amp;B761&amp;""'"")))"),"")</f>
        <v/>
      </c>
    </row>
    <row r="762">
      <c r="C762" s="64" t="str">
        <f>IFERROR(__xludf.DUMMYFUNCTION(" TRANSPOSE( unique ( QUERY(DATOPRO,""select Col2 where Col1 = '""&amp;B762&amp;""'"")))"),"")</f>
        <v/>
      </c>
    </row>
    <row r="763">
      <c r="C763" s="64" t="str">
        <f>IFERROR(__xludf.DUMMYFUNCTION(" TRANSPOSE( unique ( QUERY(DATOPRO,""select Col2 where Col1 = '""&amp;B763&amp;""'"")))"),"")</f>
        <v/>
      </c>
    </row>
    <row r="764">
      <c r="C764" s="64" t="str">
        <f>IFERROR(__xludf.DUMMYFUNCTION(" TRANSPOSE( unique ( QUERY(DATOPRO,""select Col2 where Col1 = '""&amp;B764&amp;""'"")))"),"")</f>
        <v/>
      </c>
    </row>
    <row r="765">
      <c r="C765" s="64" t="str">
        <f>IFERROR(__xludf.DUMMYFUNCTION(" TRANSPOSE( unique ( QUERY(DATOPRO,""select Col2 where Col1 = '""&amp;B765&amp;""'"")))"),"")</f>
        <v/>
      </c>
    </row>
    <row r="766">
      <c r="C766" s="64" t="str">
        <f>IFERROR(__xludf.DUMMYFUNCTION(" TRANSPOSE( unique ( QUERY(DATOPRO,""select Col2 where Col1 = '""&amp;B766&amp;""'"")))"),"")</f>
        <v/>
      </c>
    </row>
    <row r="767">
      <c r="C767" s="64" t="str">
        <f>IFERROR(__xludf.DUMMYFUNCTION(" TRANSPOSE( unique ( QUERY(DATOPRO,""select Col2 where Col1 = '""&amp;B767&amp;""'"")))"),"")</f>
        <v/>
      </c>
    </row>
    <row r="768">
      <c r="C768" s="64" t="str">
        <f>IFERROR(__xludf.DUMMYFUNCTION(" TRANSPOSE( unique ( QUERY(DATOPRO,""select Col2 where Col1 = '""&amp;B768&amp;""'"")))"),"")</f>
        <v/>
      </c>
    </row>
    <row r="769">
      <c r="C769" s="64" t="str">
        <f>IFERROR(__xludf.DUMMYFUNCTION(" TRANSPOSE( unique ( QUERY(DATOPRO,""select Col2 where Col1 = '""&amp;B769&amp;""'"")))"),"")</f>
        <v/>
      </c>
    </row>
    <row r="770">
      <c r="C770" s="64" t="str">
        <f>IFERROR(__xludf.DUMMYFUNCTION(" TRANSPOSE( unique ( QUERY(DATOPRO,""select Col2 where Col1 = '""&amp;B770&amp;""'"")))"),"")</f>
        <v/>
      </c>
    </row>
    <row r="771">
      <c r="C771" s="64" t="str">
        <f>IFERROR(__xludf.DUMMYFUNCTION(" TRANSPOSE( unique ( QUERY(DATOPRO,""select Col2 where Col1 = '""&amp;B771&amp;""'"")))"),"")</f>
        <v/>
      </c>
    </row>
    <row r="772">
      <c r="C772" s="64" t="str">
        <f>IFERROR(__xludf.DUMMYFUNCTION(" TRANSPOSE( unique ( QUERY(DATOPRO,""select Col2 where Col1 = '""&amp;B772&amp;""'"")))"),"")</f>
        <v/>
      </c>
    </row>
    <row r="773">
      <c r="C773" s="64" t="str">
        <f>IFERROR(__xludf.DUMMYFUNCTION(" TRANSPOSE( unique ( QUERY(DATOPRO,""select Col2 where Col1 = '""&amp;B773&amp;""'"")))"),"")</f>
        <v/>
      </c>
    </row>
    <row r="774">
      <c r="C774" s="64" t="str">
        <f>IFERROR(__xludf.DUMMYFUNCTION(" TRANSPOSE( unique ( QUERY(DATOPRO,""select Col2 where Col1 = '""&amp;B774&amp;""'"")))"),"")</f>
        <v/>
      </c>
    </row>
    <row r="775">
      <c r="C775" s="64" t="str">
        <f>IFERROR(__xludf.DUMMYFUNCTION(" TRANSPOSE( unique ( QUERY(DATOPRO,""select Col2 where Col1 = '""&amp;B775&amp;""'"")))"),"")</f>
        <v/>
      </c>
    </row>
    <row r="776">
      <c r="C776" s="64" t="str">
        <f>IFERROR(__xludf.DUMMYFUNCTION(" TRANSPOSE( unique ( QUERY(DATOPRO,""select Col2 where Col1 = '""&amp;B776&amp;""'"")))"),"")</f>
        <v/>
      </c>
    </row>
    <row r="777">
      <c r="C777" s="64" t="str">
        <f>IFERROR(__xludf.DUMMYFUNCTION(" TRANSPOSE( unique ( QUERY(DATOPRO,""select Col2 where Col1 = '""&amp;B777&amp;""'"")))"),"")</f>
        <v/>
      </c>
    </row>
    <row r="778">
      <c r="C778" s="64" t="str">
        <f>IFERROR(__xludf.DUMMYFUNCTION(" TRANSPOSE( unique ( QUERY(DATOPRO,""select Col2 where Col1 = '""&amp;B778&amp;""'"")))"),"")</f>
        <v/>
      </c>
    </row>
    <row r="779">
      <c r="C779" s="64" t="str">
        <f>IFERROR(__xludf.DUMMYFUNCTION(" TRANSPOSE( unique ( QUERY(DATOPRO,""select Col2 where Col1 = '""&amp;B779&amp;""'"")))"),"")</f>
        <v/>
      </c>
    </row>
    <row r="780">
      <c r="C780" s="64" t="str">
        <f>IFERROR(__xludf.DUMMYFUNCTION(" TRANSPOSE( unique ( QUERY(DATOPRO,""select Col2 where Col1 = '""&amp;B780&amp;""'"")))"),"")</f>
        <v/>
      </c>
    </row>
    <row r="781">
      <c r="C781" s="64" t="str">
        <f>IFERROR(__xludf.DUMMYFUNCTION(" TRANSPOSE( unique ( QUERY(DATOPRO,""select Col2 where Col1 = '""&amp;B781&amp;""'"")))"),"")</f>
        <v/>
      </c>
    </row>
    <row r="782">
      <c r="C782" s="64" t="str">
        <f>IFERROR(__xludf.DUMMYFUNCTION(" TRANSPOSE( unique ( QUERY(DATOPRO,""select Col2 where Col1 = '""&amp;B782&amp;""'"")))"),"")</f>
        <v/>
      </c>
    </row>
    <row r="783">
      <c r="C783" s="64" t="str">
        <f>IFERROR(__xludf.DUMMYFUNCTION(" TRANSPOSE( unique ( QUERY(DATOPRO,""select Col2 where Col1 = '""&amp;B783&amp;""'"")))"),"")</f>
        <v/>
      </c>
    </row>
    <row r="784">
      <c r="C784" s="64" t="str">
        <f>IFERROR(__xludf.DUMMYFUNCTION(" TRANSPOSE( unique ( QUERY(DATOPRO,""select Col2 where Col1 = '""&amp;B784&amp;""'"")))"),"")</f>
        <v/>
      </c>
    </row>
    <row r="785">
      <c r="C785" s="64" t="str">
        <f>IFERROR(__xludf.DUMMYFUNCTION(" TRANSPOSE( unique ( QUERY(DATOPRO,""select Col2 where Col1 = '""&amp;B785&amp;""'"")))"),"")</f>
        <v/>
      </c>
    </row>
    <row r="786">
      <c r="C786" s="64" t="str">
        <f>IFERROR(__xludf.DUMMYFUNCTION(" TRANSPOSE( unique ( QUERY(DATOPRO,""select Col2 where Col1 = '""&amp;B786&amp;""'"")))"),"")</f>
        <v/>
      </c>
    </row>
    <row r="787">
      <c r="C787" s="64" t="str">
        <f>IFERROR(__xludf.DUMMYFUNCTION(" TRANSPOSE( unique ( QUERY(DATOPRO,""select Col2 where Col1 = '""&amp;B787&amp;""'"")))"),"")</f>
        <v/>
      </c>
    </row>
    <row r="788">
      <c r="C788" s="64" t="str">
        <f>IFERROR(__xludf.DUMMYFUNCTION(" TRANSPOSE( unique ( QUERY(DATOPRO,""select Col2 where Col1 = '""&amp;B788&amp;""'"")))"),"")</f>
        <v/>
      </c>
    </row>
    <row r="789">
      <c r="C789" s="64" t="str">
        <f>IFERROR(__xludf.DUMMYFUNCTION(" TRANSPOSE( unique ( QUERY(DATOPRO,""select Col2 where Col1 = '""&amp;B789&amp;""'"")))"),"")</f>
        <v/>
      </c>
    </row>
    <row r="790">
      <c r="C790" s="64" t="str">
        <f>IFERROR(__xludf.DUMMYFUNCTION(" TRANSPOSE( unique ( QUERY(DATOPRO,""select Col2 where Col1 = '""&amp;B790&amp;""'"")))"),"")</f>
        <v/>
      </c>
    </row>
    <row r="791">
      <c r="C791" s="64" t="str">
        <f>IFERROR(__xludf.DUMMYFUNCTION(" TRANSPOSE( unique ( QUERY(DATOPRO,""select Col2 where Col1 = '""&amp;B791&amp;""'"")))"),"")</f>
        <v/>
      </c>
    </row>
    <row r="792">
      <c r="C792" s="64" t="str">
        <f>IFERROR(__xludf.DUMMYFUNCTION(" TRANSPOSE( unique ( QUERY(DATOPRO,""select Col2 where Col1 = '""&amp;B792&amp;""'"")))"),"")</f>
        <v/>
      </c>
    </row>
    <row r="793">
      <c r="C793" s="64" t="str">
        <f>IFERROR(__xludf.DUMMYFUNCTION(" TRANSPOSE( unique ( QUERY(DATOPRO,""select Col2 where Col1 = '""&amp;B793&amp;""'"")))"),"")</f>
        <v/>
      </c>
    </row>
    <row r="794">
      <c r="C794" s="64" t="str">
        <f>IFERROR(__xludf.DUMMYFUNCTION(" TRANSPOSE( unique ( QUERY(DATOPRO,""select Col2 where Col1 = '""&amp;B794&amp;""'"")))"),"")</f>
        <v/>
      </c>
    </row>
    <row r="795">
      <c r="C795" s="64" t="str">
        <f>IFERROR(__xludf.DUMMYFUNCTION(" TRANSPOSE( unique ( QUERY(DATOPRO,""select Col2 where Col1 = '""&amp;B795&amp;""'"")))"),"")</f>
        <v/>
      </c>
    </row>
    <row r="796">
      <c r="C796" s="64" t="str">
        <f>IFERROR(__xludf.DUMMYFUNCTION(" TRANSPOSE( unique ( QUERY(DATOPRO,""select Col2 where Col1 = '""&amp;B796&amp;""'"")))"),"")</f>
        <v/>
      </c>
    </row>
    <row r="797">
      <c r="C797" s="64" t="str">
        <f>IFERROR(__xludf.DUMMYFUNCTION(" TRANSPOSE( unique ( QUERY(DATOPRO,""select Col2 where Col1 = '""&amp;B797&amp;""'"")))"),"")</f>
        <v/>
      </c>
    </row>
    <row r="798">
      <c r="C798" s="64" t="str">
        <f>IFERROR(__xludf.DUMMYFUNCTION(" TRANSPOSE( unique ( QUERY(DATOPRO,""select Col2 where Col1 = '""&amp;B798&amp;""'"")))"),"")</f>
        <v/>
      </c>
    </row>
    <row r="799">
      <c r="C799" s="64" t="str">
        <f>IFERROR(__xludf.DUMMYFUNCTION(" TRANSPOSE( unique ( QUERY(DATOPRO,""select Col2 where Col1 = '""&amp;B799&amp;""'"")))"),"")</f>
        <v/>
      </c>
    </row>
    <row r="800">
      <c r="C800" s="64" t="str">
        <f>IFERROR(__xludf.DUMMYFUNCTION(" TRANSPOSE( unique ( QUERY(DATOPRO,""select Col2 where Col1 = '""&amp;B800&amp;""'"")))"),"")</f>
        <v/>
      </c>
    </row>
    <row r="801">
      <c r="C801" s="64" t="str">
        <f>IFERROR(__xludf.DUMMYFUNCTION(" TRANSPOSE( unique ( QUERY(DATOPRO,""select Col2 where Col1 = '""&amp;B801&amp;""'"")))"),"")</f>
        <v/>
      </c>
    </row>
    <row r="802">
      <c r="C802" s="64" t="str">
        <f>IFERROR(__xludf.DUMMYFUNCTION(" TRANSPOSE( unique ( QUERY(DATOPRO,""select Col2 where Col1 = '""&amp;B802&amp;""'"")))"),"")</f>
        <v/>
      </c>
    </row>
    <row r="803">
      <c r="C803" s="64" t="str">
        <f>IFERROR(__xludf.DUMMYFUNCTION(" TRANSPOSE( unique ( QUERY(DATOPRO,""select Col2 where Col1 = '""&amp;B803&amp;""'"")))"),"")</f>
        <v/>
      </c>
    </row>
    <row r="804">
      <c r="C804" s="64" t="str">
        <f>IFERROR(__xludf.DUMMYFUNCTION(" TRANSPOSE( unique ( QUERY(DATOPRO,""select Col2 where Col1 = '""&amp;B804&amp;""'"")))"),"")</f>
        <v/>
      </c>
    </row>
    <row r="805">
      <c r="C805" s="64" t="str">
        <f>IFERROR(__xludf.DUMMYFUNCTION(" TRANSPOSE( unique ( QUERY(DATOPRO,""select Col2 where Col1 = '""&amp;B805&amp;""'"")))"),"")</f>
        <v/>
      </c>
    </row>
    <row r="806">
      <c r="C806" s="64" t="str">
        <f>IFERROR(__xludf.DUMMYFUNCTION(" TRANSPOSE( unique ( QUERY(DATOPRO,""select Col2 where Col1 = '""&amp;B806&amp;""'"")))"),"")</f>
        <v/>
      </c>
    </row>
    <row r="807">
      <c r="C807" s="64" t="str">
        <f>IFERROR(__xludf.DUMMYFUNCTION(" TRANSPOSE( unique ( QUERY(DATOPRO,""select Col2 where Col1 = '""&amp;B807&amp;""'"")))"),"")</f>
        <v/>
      </c>
    </row>
    <row r="808">
      <c r="C808" s="64" t="str">
        <f>IFERROR(__xludf.DUMMYFUNCTION(" TRANSPOSE( unique ( QUERY(DATOPRO,""select Col2 where Col1 = '""&amp;B808&amp;""'"")))"),"")</f>
        <v/>
      </c>
    </row>
    <row r="809">
      <c r="C809" s="64" t="str">
        <f>IFERROR(__xludf.DUMMYFUNCTION(" TRANSPOSE( unique ( QUERY(DATOPRO,""select Col2 where Col1 = '""&amp;B809&amp;""'"")))"),"")</f>
        <v/>
      </c>
    </row>
    <row r="810">
      <c r="C810" s="64" t="str">
        <f>IFERROR(__xludf.DUMMYFUNCTION(" TRANSPOSE( unique ( QUERY(DATOPRO,""select Col2 where Col1 = '""&amp;B810&amp;""'"")))"),"")</f>
        <v/>
      </c>
    </row>
    <row r="811">
      <c r="C811" s="64" t="str">
        <f>IFERROR(__xludf.DUMMYFUNCTION(" TRANSPOSE( unique ( QUERY(DATOPRO,""select Col2 where Col1 = '""&amp;B811&amp;""'"")))"),"")</f>
        <v/>
      </c>
    </row>
    <row r="812">
      <c r="C812" s="64" t="str">
        <f>IFERROR(__xludf.DUMMYFUNCTION(" TRANSPOSE( unique ( QUERY(DATOPRO,""select Col2 where Col1 = '""&amp;B812&amp;""'"")))"),"")</f>
        <v/>
      </c>
    </row>
    <row r="813">
      <c r="C813" s="64" t="str">
        <f>IFERROR(__xludf.DUMMYFUNCTION(" TRANSPOSE( unique ( QUERY(DATOPRO,""select Col2 where Col1 = '""&amp;B813&amp;""'"")))"),"")</f>
        <v/>
      </c>
    </row>
    <row r="814">
      <c r="C814" s="64" t="str">
        <f>IFERROR(__xludf.DUMMYFUNCTION(" TRANSPOSE( unique ( QUERY(DATOPRO,""select Col2 where Col1 = '""&amp;B814&amp;""'"")))"),"")</f>
        <v/>
      </c>
    </row>
    <row r="815">
      <c r="C815" s="64" t="str">
        <f>IFERROR(__xludf.DUMMYFUNCTION(" TRANSPOSE( unique ( QUERY(DATOPRO,""select Col2 where Col1 = '""&amp;B815&amp;""'"")))"),"")</f>
        <v/>
      </c>
    </row>
    <row r="816">
      <c r="C816" s="64" t="str">
        <f>IFERROR(__xludf.DUMMYFUNCTION(" TRANSPOSE( unique ( QUERY(DATOPRO,""select Col2 where Col1 = '""&amp;B816&amp;""'"")))"),"")</f>
        <v/>
      </c>
    </row>
    <row r="817">
      <c r="C817" s="64" t="str">
        <f>IFERROR(__xludf.DUMMYFUNCTION(" TRANSPOSE( unique ( QUERY(DATOPRO,""select Col2 where Col1 = '""&amp;B817&amp;""'"")))"),"")</f>
        <v/>
      </c>
    </row>
    <row r="818">
      <c r="C818" s="64" t="str">
        <f>IFERROR(__xludf.DUMMYFUNCTION(" TRANSPOSE( unique ( QUERY(DATOPRO,""select Col2 where Col1 = '""&amp;B818&amp;""'"")))"),"")</f>
        <v/>
      </c>
    </row>
    <row r="819">
      <c r="C819" s="64" t="str">
        <f>IFERROR(__xludf.DUMMYFUNCTION(" TRANSPOSE( unique ( QUERY(DATOPRO,""select Col2 where Col1 = '""&amp;B819&amp;""'"")))"),"")</f>
        <v/>
      </c>
    </row>
    <row r="820">
      <c r="C820" s="64" t="str">
        <f>IFERROR(__xludf.DUMMYFUNCTION(" TRANSPOSE( unique ( QUERY(DATOPRO,""select Col2 where Col1 = '""&amp;B820&amp;""'"")))"),"")</f>
        <v/>
      </c>
    </row>
    <row r="821">
      <c r="C821" s="64" t="str">
        <f>IFERROR(__xludf.DUMMYFUNCTION(" TRANSPOSE( unique ( QUERY(DATOPRO,""select Col2 where Col1 = '""&amp;B821&amp;""'"")))"),"")</f>
        <v/>
      </c>
    </row>
    <row r="822">
      <c r="C822" s="64" t="str">
        <f>IFERROR(__xludf.DUMMYFUNCTION(" TRANSPOSE( unique ( QUERY(DATOPRO,""select Col2 where Col1 = '""&amp;B822&amp;""'"")))"),"")</f>
        <v/>
      </c>
    </row>
    <row r="823">
      <c r="C823" s="64" t="str">
        <f>IFERROR(__xludf.DUMMYFUNCTION(" TRANSPOSE( unique ( QUERY(DATOPRO,""select Col2 where Col1 = '""&amp;B823&amp;""'"")))"),"")</f>
        <v/>
      </c>
    </row>
    <row r="824">
      <c r="C824" s="64" t="str">
        <f>IFERROR(__xludf.DUMMYFUNCTION(" TRANSPOSE( unique ( QUERY(DATOPRO,""select Col2 where Col1 = '""&amp;B824&amp;""'"")))"),"")</f>
        <v/>
      </c>
    </row>
    <row r="825">
      <c r="C825" s="64" t="str">
        <f>IFERROR(__xludf.DUMMYFUNCTION(" TRANSPOSE( unique ( QUERY(DATOPRO,""select Col2 where Col1 = '""&amp;B825&amp;""'"")))"),"")</f>
        <v/>
      </c>
    </row>
    <row r="826">
      <c r="C826" s="64" t="str">
        <f>IFERROR(__xludf.DUMMYFUNCTION(" TRANSPOSE( unique ( QUERY(DATOPRO,""select Col2 where Col1 = '""&amp;B826&amp;""'"")))"),"")</f>
        <v/>
      </c>
    </row>
    <row r="827">
      <c r="C827" s="64" t="str">
        <f>IFERROR(__xludf.DUMMYFUNCTION(" TRANSPOSE( unique ( QUERY(DATOPRO,""select Col2 where Col1 = '""&amp;B827&amp;""'"")))"),"")</f>
        <v/>
      </c>
    </row>
    <row r="828">
      <c r="C828" s="64" t="str">
        <f>IFERROR(__xludf.DUMMYFUNCTION(" TRANSPOSE( unique ( QUERY(DATOPRO,""select Col2 where Col1 = '""&amp;B828&amp;""'"")))"),"")</f>
        <v/>
      </c>
    </row>
    <row r="829">
      <c r="C829" s="64" t="str">
        <f>IFERROR(__xludf.DUMMYFUNCTION(" TRANSPOSE( unique ( QUERY(DATOPRO,""select Col2 where Col1 = '""&amp;B829&amp;""'"")))"),"")</f>
        <v/>
      </c>
    </row>
    <row r="830">
      <c r="C830" s="64" t="str">
        <f>IFERROR(__xludf.DUMMYFUNCTION(" TRANSPOSE( unique ( QUERY(DATOPRO,""select Col2 where Col1 = '""&amp;B830&amp;""'"")))"),"")</f>
        <v/>
      </c>
    </row>
    <row r="831">
      <c r="C831" s="64" t="str">
        <f>IFERROR(__xludf.DUMMYFUNCTION(" TRANSPOSE( unique ( QUERY(DATOPRO,""select Col2 where Col1 = '""&amp;B831&amp;""'"")))"),"")</f>
        <v/>
      </c>
    </row>
    <row r="832">
      <c r="C832" s="64" t="str">
        <f>IFERROR(__xludf.DUMMYFUNCTION(" TRANSPOSE( unique ( QUERY(DATOPRO,""select Col2 where Col1 = '""&amp;B832&amp;""'"")))"),"")</f>
        <v/>
      </c>
    </row>
    <row r="833">
      <c r="C833" s="64" t="str">
        <f>IFERROR(__xludf.DUMMYFUNCTION(" TRANSPOSE( unique ( QUERY(DATOPRO,""select Col2 where Col1 = '""&amp;B833&amp;""'"")))"),"")</f>
        <v/>
      </c>
    </row>
    <row r="834">
      <c r="C834" s="64" t="str">
        <f>IFERROR(__xludf.DUMMYFUNCTION(" TRANSPOSE( unique ( QUERY(DATOPRO,""select Col2 where Col1 = '""&amp;B834&amp;""'"")))"),"")</f>
        <v/>
      </c>
    </row>
    <row r="835">
      <c r="C835" s="64" t="str">
        <f>IFERROR(__xludf.DUMMYFUNCTION(" TRANSPOSE( unique ( QUERY(DATOPRO,""select Col2 where Col1 = '""&amp;B835&amp;""'"")))"),"")</f>
        <v/>
      </c>
    </row>
    <row r="836">
      <c r="C836" s="64" t="str">
        <f>IFERROR(__xludf.DUMMYFUNCTION(" TRANSPOSE( unique ( QUERY(DATOPRO,""select Col2 where Col1 = '""&amp;B836&amp;""'"")))"),"")</f>
        <v/>
      </c>
    </row>
    <row r="837">
      <c r="C837" s="64" t="str">
        <f>IFERROR(__xludf.DUMMYFUNCTION(" TRANSPOSE( unique ( QUERY(DATOPRO,""select Col2 where Col1 = '""&amp;B837&amp;""'"")))"),"")</f>
        <v/>
      </c>
    </row>
    <row r="838">
      <c r="C838" s="64" t="str">
        <f>IFERROR(__xludf.DUMMYFUNCTION(" TRANSPOSE( unique ( QUERY(DATOPRO,""select Col2 where Col1 = '""&amp;B838&amp;""'"")))"),"")</f>
        <v/>
      </c>
    </row>
    <row r="839">
      <c r="C839" s="64" t="str">
        <f>IFERROR(__xludf.DUMMYFUNCTION(" TRANSPOSE( unique ( QUERY(DATOPRO,""select Col2 where Col1 = '""&amp;B839&amp;""'"")))"),"")</f>
        <v/>
      </c>
    </row>
    <row r="840">
      <c r="C840" s="64" t="str">
        <f>IFERROR(__xludf.DUMMYFUNCTION(" TRANSPOSE( unique ( QUERY(DATOPRO,""select Col2 where Col1 = '""&amp;B840&amp;""'"")))"),"")</f>
        <v/>
      </c>
    </row>
    <row r="841">
      <c r="C841" s="64" t="str">
        <f>IFERROR(__xludf.DUMMYFUNCTION(" TRANSPOSE( unique ( QUERY(DATOPRO,""select Col2 where Col1 = '""&amp;B841&amp;""'"")))"),"")</f>
        <v/>
      </c>
    </row>
    <row r="842">
      <c r="C842" s="64" t="str">
        <f>IFERROR(__xludf.DUMMYFUNCTION(" TRANSPOSE( unique ( QUERY(DATOPRO,""select Col2 where Col1 = '""&amp;B842&amp;""'"")))"),"")</f>
        <v/>
      </c>
    </row>
    <row r="843">
      <c r="C843" s="64" t="str">
        <f>IFERROR(__xludf.DUMMYFUNCTION(" TRANSPOSE( unique ( QUERY(DATOPRO,""select Col2 where Col1 = '""&amp;B843&amp;""'"")))"),"")</f>
        <v/>
      </c>
    </row>
    <row r="844">
      <c r="C844" s="64" t="str">
        <f>IFERROR(__xludf.DUMMYFUNCTION(" TRANSPOSE( unique ( QUERY(DATOPRO,""select Col2 where Col1 = '""&amp;B844&amp;""'"")))"),"")</f>
        <v/>
      </c>
    </row>
    <row r="845">
      <c r="C845" s="64" t="str">
        <f>IFERROR(__xludf.DUMMYFUNCTION(" TRANSPOSE( unique ( QUERY(DATOPRO,""select Col2 where Col1 = '""&amp;B845&amp;""'"")))"),"")</f>
        <v/>
      </c>
    </row>
    <row r="846">
      <c r="C846" s="64" t="str">
        <f>IFERROR(__xludf.DUMMYFUNCTION(" TRANSPOSE( unique ( QUERY(DATOPRO,""select Col2 where Col1 = '""&amp;B846&amp;""'"")))"),"")</f>
        <v/>
      </c>
    </row>
    <row r="847">
      <c r="C847" s="64" t="str">
        <f>IFERROR(__xludf.DUMMYFUNCTION(" TRANSPOSE( unique ( QUERY(DATOPRO,""select Col2 where Col1 = '""&amp;B847&amp;""'"")))"),"")</f>
        <v/>
      </c>
    </row>
    <row r="848">
      <c r="C848" s="64" t="str">
        <f>IFERROR(__xludf.DUMMYFUNCTION(" TRANSPOSE( unique ( QUERY(DATOPRO,""select Col2 where Col1 = '""&amp;B848&amp;""'"")))"),"")</f>
        <v/>
      </c>
    </row>
    <row r="849">
      <c r="C849" s="64" t="str">
        <f>IFERROR(__xludf.DUMMYFUNCTION(" TRANSPOSE( unique ( QUERY(DATOPRO,""select Col2 where Col1 = '""&amp;B849&amp;""'"")))"),"")</f>
        <v/>
      </c>
    </row>
    <row r="850">
      <c r="C850" s="64" t="str">
        <f>IFERROR(__xludf.DUMMYFUNCTION(" TRANSPOSE( unique ( QUERY(DATOPRO,""select Col2 where Col1 = '""&amp;B850&amp;""'"")))"),"")</f>
        <v/>
      </c>
    </row>
    <row r="851">
      <c r="C851" s="64" t="str">
        <f>IFERROR(__xludf.DUMMYFUNCTION(" TRANSPOSE( unique ( QUERY(DATOPRO,""select Col2 where Col1 = '""&amp;B851&amp;""'"")))"),"")</f>
        <v/>
      </c>
    </row>
    <row r="852">
      <c r="C852" s="64" t="str">
        <f>IFERROR(__xludf.DUMMYFUNCTION(" TRANSPOSE( unique ( QUERY(DATOPRO,""select Col2 where Col1 = '""&amp;B852&amp;""'"")))"),"")</f>
        <v/>
      </c>
    </row>
    <row r="853">
      <c r="C853" s="64" t="str">
        <f>IFERROR(__xludf.DUMMYFUNCTION(" TRANSPOSE( unique ( QUERY(DATOPRO,""select Col2 where Col1 = '""&amp;B853&amp;""'"")))"),"")</f>
        <v/>
      </c>
    </row>
    <row r="854">
      <c r="C854" s="64" t="str">
        <f>IFERROR(__xludf.DUMMYFUNCTION(" TRANSPOSE( unique ( QUERY(DATOPRO,""select Col2 where Col1 = '""&amp;B854&amp;""'"")))"),"")</f>
        <v/>
      </c>
    </row>
    <row r="855">
      <c r="C855" s="64" t="str">
        <f>IFERROR(__xludf.DUMMYFUNCTION(" TRANSPOSE( unique ( QUERY(DATOPRO,""select Col2 where Col1 = '""&amp;B855&amp;""'"")))"),"")</f>
        <v/>
      </c>
    </row>
    <row r="856">
      <c r="C856" s="64" t="str">
        <f>IFERROR(__xludf.DUMMYFUNCTION(" TRANSPOSE( unique ( QUERY(DATOPRO,""select Col2 where Col1 = '""&amp;B856&amp;""'"")))"),"")</f>
        <v/>
      </c>
    </row>
    <row r="857">
      <c r="C857" s="64" t="str">
        <f>IFERROR(__xludf.DUMMYFUNCTION(" TRANSPOSE( unique ( QUERY(DATOPRO,""select Col2 where Col1 = '""&amp;B857&amp;""'"")))"),"")</f>
        <v/>
      </c>
    </row>
    <row r="858">
      <c r="C858" s="64" t="str">
        <f>IFERROR(__xludf.DUMMYFUNCTION(" TRANSPOSE( unique ( QUERY(DATOPRO,""select Col2 where Col1 = '""&amp;B858&amp;""'"")))"),"")</f>
        <v/>
      </c>
    </row>
    <row r="859">
      <c r="C859" s="64" t="str">
        <f>IFERROR(__xludf.DUMMYFUNCTION(" TRANSPOSE( unique ( QUERY(DATOPRO,""select Col2 where Col1 = '""&amp;B859&amp;""'"")))"),"")</f>
        <v/>
      </c>
    </row>
    <row r="860">
      <c r="C860" s="64" t="str">
        <f>IFERROR(__xludf.DUMMYFUNCTION(" TRANSPOSE( unique ( QUERY(DATOPRO,""select Col2 where Col1 = '""&amp;B860&amp;""'"")))"),"")</f>
        <v/>
      </c>
    </row>
    <row r="861">
      <c r="C861" s="64" t="str">
        <f>IFERROR(__xludf.DUMMYFUNCTION(" TRANSPOSE( unique ( QUERY(DATOPRO,""select Col2 where Col1 = '""&amp;B861&amp;""'"")))"),"")</f>
        <v/>
      </c>
    </row>
    <row r="862">
      <c r="C862" s="64" t="str">
        <f>IFERROR(__xludf.DUMMYFUNCTION(" TRANSPOSE( unique ( QUERY(DATOPRO,""select Col2 where Col1 = '""&amp;B862&amp;""'"")))"),"")</f>
        <v/>
      </c>
    </row>
    <row r="863">
      <c r="C863" s="64" t="str">
        <f>IFERROR(__xludf.DUMMYFUNCTION(" TRANSPOSE( unique ( QUERY(DATOPRO,""select Col2 where Col1 = '""&amp;B863&amp;""'"")))"),"")</f>
        <v/>
      </c>
    </row>
    <row r="864">
      <c r="C864" s="64" t="str">
        <f>IFERROR(__xludf.DUMMYFUNCTION(" TRANSPOSE( unique ( QUERY(DATOPRO,""select Col2 where Col1 = '""&amp;B864&amp;""'"")))"),"")</f>
        <v/>
      </c>
    </row>
    <row r="865">
      <c r="C865" s="64" t="str">
        <f>IFERROR(__xludf.DUMMYFUNCTION(" TRANSPOSE( unique ( QUERY(DATOPRO,""select Col2 where Col1 = '""&amp;B865&amp;""'"")))"),"")</f>
        <v/>
      </c>
    </row>
    <row r="866">
      <c r="C866" s="64" t="str">
        <f>IFERROR(__xludf.DUMMYFUNCTION(" TRANSPOSE( unique ( QUERY(DATOPRO,""select Col2 where Col1 = '""&amp;B866&amp;""'"")))"),"")</f>
        <v/>
      </c>
    </row>
    <row r="867">
      <c r="C867" s="64" t="str">
        <f>IFERROR(__xludf.DUMMYFUNCTION(" TRANSPOSE( unique ( QUERY(DATOPRO,""select Col2 where Col1 = '""&amp;B867&amp;""'"")))"),"")</f>
        <v/>
      </c>
    </row>
    <row r="868">
      <c r="C868" s="64" t="str">
        <f>IFERROR(__xludf.DUMMYFUNCTION(" TRANSPOSE( unique ( QUERY(DATOPRO,""select Col2 where Col1 = '""&amp;B868&amp;""'"")))"),"")</f>
        <v/>
      </c>
    </row>
    <row r="869">
      <c r="C869" s="64" t="str">
        <f>IFERROR(__xludf.DUMMYFUNCTION(" TRANSPOSE( unique ( QUERY(DATOPRO,""select Col2 where Col1 = '""&amp;B869&amp;""'"")))"),"")</f>
        <v/>
      </c>
    </row>
    <row r="870">
      <c r="C870" s="64" t="str">
        <f>IFERROR(__xludf.DUMMYFUNCTION(" TRANSPOSE( unique ( QUERY(DATOPRO,""select Col2 where Col1 = '""&amp;B870&amp;""'"")))"),"")</f>
        <v/>
      </c>
    </row>
    <row r="871">
      <c r="C871" s="64" t="str">
        <f>IFERROR(__xludf.DUMMYFUNCTION(" TRANSPOSE( unique ( QUERY(DATOPRO,""select Col2 where Col1 = '""&amp;B871&amp;""'"")))"),"")</f>
        <v/>
      </c>
    </row>
    <row r="872">
      <c r="C872" s="64" t="str">
        <f>IFERROR(__xludf.DUMMYFUNCTION(" TRANSPOSE( unique ( QUERY(DATOPRO,""select Col2 where Col1 = '""&amp;B872&amp;""'"")))"),"")</f>
        <v/>
      </c>
    </row>
    <row r="873">
      <c r="C873" s="64" t="str">
        <f>IFERROR(__xludf.DUMMYFUNCTION(" TRANSPOSE( unique ( QUERY(DATOPRO,""select Col2 where Col1 = '""&amp;B873&amp;""'"")))"),"")</f>
        <v/>
      </c>
    </row>
    <row r="874">
      <c r="C874" s="64" t="str">
        <f>IFERROR(__xludf.DUMMYFUNCTION(" TRANSPOSE( unique ( QUERY(DATOPRO,""select Col2 where Col1 = '""&amp;B874&amp;""'"")))"),"")</f>
        <v/>
      </c>
    </row>
    <row r="875">
      <c r="C875" s="64" t="str">
        <f>IFERROR(__xludf.DUMMYFUNCTION(" TRANSPOSE( unique ( QUERY(DATOPRO,""select Col2 where Col1 = '""&amp;B875&amp;""'"")))"),"")</f>
        <v/>
      </c>
    </row>
    <row r="876">
      <c r="C876" s="64" t="str">
        <f>IFERROR(__xludf.DUMMYFUNCTION(" TRANSPOSE( unique ( QUERY(DATOPRO,""select Col2 where Col1 = '""&amp;B876&amp;""'"")))"),"")</f>
        <v/>
      </c>
    </row>
    <row r="877">
      <c r="C877" s="64" t="str">
        <f>IFERROR(__xludf.DUMMYFUNCTION(" TRANSPOSE( unique ( QUERY(DATOPRO,""select Col2 where Col1 = '""&amp;B877&amp;""'"")))"),"")</f>
        <v/>
      </c>
    </row>
    <row r="878">
      <c r="C878" s="64" t="str">
        <f>IFERROR(__xludf.DUMMYFUNCTION(" TRANSPOSE( unique ( QUERY(DATOPRO,""select Col2 where Col1 = '""&amp;B878&amp;""'"")))"),"")</f>
        <v/>
      </c>
    </row>
    <row r="879">
      <c r="C879" s="64" t="str">
        <f>IFERROR(__xludf.DUMMYFUNCTION(" TRANSPOSE( unique ( QUERY(DATOPRO,""select Col2 where Col1 = '""&amp;B879&amp;""'"")))"),"")</f>
        <v/>
      </c>
    </row>
    <row r="880">
      <c r="C880" s="64" t="str">
        <f>IFERROR(__xludf.DUMMYFUNCTION(" TRANSPOSE( unique ( QUERY(DATOPRO,""select Col2 where Col1 = '""&amp;B880&amp;""'"")))"),"")</f>
        <v/>
      </c>
    </row>
    <row r="881">
      <c r="C881" s="64" t="str">
        <f>IFERROR(__xludf.DUMMYFUNCTION(" TRANSPOSE( unique ( QUERY(DATOPRO,""select Col2 where Col1 = '""&amp;B881&amp;""'"")))"),"")</f>
        <v/>
      </c>
    </row>
    <row r="882">
      <c r="C882" s="64" t="str">
        <f>IFERROR(__xludf.DUMMYFUNCTION(" TRANSPOSE( unique ( QUERY(DATOPRO,""select Col2 where Col1 = '""&amp;B882&amp;""'"")))"),"")</f>
        <v/>
      </c>
    </row>
    <row r="883">
      <c r="C883" s="64" t="str">
        <f>IFERROR(__xludf.DUMMYFUNCTION(" TRANSPOSE( unique ( QUERY(DATOPRO,""select Col2 where Col1 = '""&amp;B883&amp;""'"")))"),"")</f>
        <v/>
      </c>
    </row>
    <row r="884">
      <c r="C884" s="64" t="str">
        <f>IFERROR(__xludf.DUMMYFUNCTION(" TRANSPOSE( unique ( QUERY(DATOPRO,""select Col2 where Col1 = '""&amp;B884&amp;""'"")))"),"")</f>
        <v/>
      </c>
    </row>
    <row r="885">
      <c r="C885" s="64" t="str">
        <f>IFERROR(__xludf.DUMMYFUNCTION(" TRANSPOSE( unique ( QUERY(DATOPRO,""select Col2 where Col1 = '""&amp;B885&amp;""'"")))"),"")</f>
        <v/>
      </c>
    </row>
    <row r="886">
      <c r="C886" s="64" t="str">
        <f>IFERROR(__xludf.DUMMYFUNCTION(" TRANSPOSE( unique ( QUERY(DATOPRO,""select Col2 where Col1 = '""&amp;B886&amp;""'"")))"),"")</f>
        <v/>
      </c>
    </row>
    <row r="887">
      <c r="C887" s="64" t="str">
        <f>IFERROR(__xludf.DUMMYFUNCTION(" TRANSPOSE( unique ( QUERY(DATOPRO,""select Col2 where Col1 = '""&amp;B887&amp;""'"")))"),"")</f>
        <v/>
      </c>
    </row>
    <row r="888">
      <c r="C888" s="64" t="str">
        <f>IFERROR(__xludf.DUMMYFUNCTION(" TRANSPOSE( unique ( QUERY(DATOPRO,""select Col2 where Col1 = '""&amp;B888&amp;""'"")))"),"")</f>
        <v/>
      </c>
    </row>
    <row r="889">
      <c r="C889" s="64" t="str">
        <f>IFERROR(__xludf.DUMMYFUNCTION(" TRANSPOSE( unique ( QUERY(DATOPRO,""select Col2 where Col1 = '""&amp;B889&amp;""'"")))"),"")</f>
        <v/>
      </c>
    </row>
    <row r="890">
      <c r="C890" s="64" t="str">
        <f>IFERROR(__xludf.DUMMYFUNCTION(" TRANSPOSE( unique ( QUERY(DATOPRO,""select Col2 where Col1 = '""&amp;B890&amp;""'"")))"),"")</f>
        <v/>
      </c>
    </row>
    <row r="891">
      <c r="C891" s="64" t="str">
        <f>IFERROR(__xludf.DUMMYFUNCTION(" TRANSPOSE( unique ( QUERY(DATOPRO,""select Col2 where Col1 = '""&amp;B891&amp;""'"")))"),"")</f>
        <v/>
      </c>
    </row>
    <row r="892">
      <c r="C892" s="64" t="str">
        <f>IFERROR(__xludf.DUMMYFUNCTION(" TRANSPOSE( unique ( QUERY(DATOPRO,""select Col2 where Col1 = '""&amp;B892&amp;""'"")))"),"")</f>
        <v/>
      </c>
    </row>
    <row r="893">
      <c r="C893" s="64" t="str">
        <f>IFERROR(__xludf.DUMMYFUNCTION(" TRANSPOSE( unique ( QUERY(DATOPRO,""select Col2 where Col1 = '""&amp;B893&amp;""'"")))"),"")</f>
        <v/>
      </c>
    </row>
    <row r="894">
      <c r="C894" s="64" t="str">
        <f>IFERROR(__xludf.DUMMYFUNCTION(" TRANSPOSE( unique ( QUERY(DATOPRO,""select Col2 where Col1 = '""&amp;B894&amp;""'"")))"),"")</f>
        <v/>
      </c>
    </row>
    <row r="895">
      <c r="C895" s="64" t="str">
        <f>IFERROR(__xludf.DUMMYFUNCTION(" TRANSPOSE( unique ( QUERY(DATOPRO,""select Col2 where Col1 = '""&amp;B895&amp;""'"")))"),"")</f>
        <v/>
      </c>
    </row>
    <row r="896">
      <c r="C896" s="64" t="str">
        <f>IFERROR(__xludf.DUMMYFUNCTION(" TRANSPOSE( unique ( QUERY(DATOPRO,""select Col2 where Col1 = '""&amp;B896&amp;""'"")))"),"")</f>
        <v/>
      </c>
    </row>
    <row r="897">
      <c r="C897" s="64" t="str">
        <f>IFERROR(__xludf.DUMMYFUNCTION(" TRANSPOSE( unique ( QUERY(DATOPRO,""select Col2 where Col1 = '""&amp;B897&amp;""'"")))"),"")</f>
        <v/>
      </c>
    </row>
    <row r="898">
      <c r="C898" s="64" t="str">
        <f>IFERROR(__xludf.DUMMYFUNCTION(" TRANSPOSE( unique ( QUERY(DATOPRO,""select Col2 where Col1 = '""&amp;B898&amp;""'"")))"),"")</f>
        <v/>
      </c>
    </row>
    <row r="899">
      <c r="C899" s="64" t="str">
        <f>IFERROR(__xludf.DUMMYFUNCTION(" TRANSPOSE( unique ( QUERY(DATOPRO,""select Col2 where Col1 = '""&amp;B899&amp;""'"")))"),"")</f>
        <v/>
      </c>
    </row>
    <row r="900">
      <c r="C900" s="64" t="str">
        <f>IFERROR(__xludf.DUMMYFUNCTION(" TRANSPOSE( unique ( QUERY(DATOPRO,""select Col2 where Col1 = '""&amp;B900&amp;""'"")))"),"")</f>
        <v/>
      </c>
    </row>
    <row r="901">
      <c r="C901" s="64" t="str">
        <f>IFERROR(__xludf.DUMMYFUNCTION(" TRANSPOSE( unique ( QUERY(DATOPRO,""select Col2 where Col1 = '""&amp;B901&amp;""'"")))"),"")</f>
        <v/>
      </c>
    </row>
    <row r="902">
      <c r="C902" s="64" t="str">
        <f>IFERROR(__xludf.DUMMYFUNCTION(" TRANSPOSE( unique ( QUERY(DATOPRO,""select Col2 where Col1 = '""&amp;B902&amp;""'"")))"),"")</f>
        <v/>
      </c>
    </row>
    <row r="903">
      <c r="C903" s="64" t="str">
        <f>IFERROR(__xludf.DUMMYFUNCTION(" TRANSPOSE( unique ( QUERY(DATOPRO,""select Col2 where Col1 = '""&amp;B903&amp;""'"")))"),"")</f>
        <v/>
      </c>
    </row>
    <row r="904">
      <c r="C904" s="64" t="str">
        <f>IFERROR(__xludf.DUMMYFUNCTION(" TRANSPOSE( unique ( QUERY(DATOPRO,""select Col2 where Col1 = '""&amp;B904&amp;""'"")))"),"")</f>
        <v/>
      </c>
    </row>
    <row r="905">
      <c r="C905" s="64" t="str">
        <f>IFERROR(__xludf.DUMMYFUNCTION(" TRANSPOSE( unique ( QUERY(DATOPRO,""select Col2 where Col1 = '""&amp;B905&amp;""'"")))"),"")</f>
        <v/>
      </c>
    </row>
    <row r="906">
      <c r="C906" s="64" t="str">
        <f>IFERROR(__xludf.DUMMYFUNCTION(" TRANSPOSE( unique ( QUERY(DATOPRO,""select Col2 where Col1 = '""&amp;B906&amp;""'"")))"),"")</f>
        <v/>
      </c>
    </row>
    <row r="907">
      <c r="C907" s="64" t="str">
        <f>IFERROR(__xludf.DUMMYFUNCTION(" TRANSPOSE( unique ( QUERY(DATOPRO,""select Col2 where Col1 = '""&amp;B907&amp;""'"")))"),"")</f>
        <v/>
      </c>
    </row>
    <row r="908">
      <c r="C908" s="64" t="str">
        <f>IFERROR(__xludf.DUMMYFUNCTION(" TRANSPOSE( unique ( QUERY(DATOPRO,""select Col2 where Col1 = '""&amp;B908&amp;""'"")))"),"")</f>
        <v/>
      </c>
    </row>
    <row r="909">
      <c r="C909" s="64" t="str">
        <f>IFERROR(__xludf.DUMMYFUNCTION(" TRANSPOSE( unique ( QUERY(DATOPRO,""select Col2 where Col1 = '""&amp;B909&amp;""'"")))"),"")</f>
        <v/>
      </c>
    </row>
    <row r="910">
      <c r="C910" s="64" t="str">
        <f>IFERROR(__xludf.DUMMYFUNCTION(" TRANSPOSE( unique ( QUERY(DATOPRO,""select Col2 where Col1 = '""&amp;B910&amp;""'"")))"),"")</f>
        <v/>
      </c>
    </row>
    <row r="911">
      <c r="C911" s="64" t="str">
        <f>IFERROR(__xludf.DUMMYFUNCTION(" TRANSPOSE( unique ( QUERY(DATOPRO,""select Col2 where Col1 = '""&amp;B911&amp;""'"")))"),"")</f>
        <v/>
      </c>
    </row>
    <row r="912">
      <c r="C912" s="64" t="str">
        <f>IFERROR(__xludf.DUMMYFUNCTION(" TRANSPOSE( unique ( QUERY(DATOPRO,""select Col2 where Col1 = '""&amp;B912&amp;""'"")))"),"")</f>
        <v/>
      </c>
    </row>
    <row r="913">
      <c r="C913" s="64" t="str">
        <f>IFERROR(__xludf.DUMMYFUNCTION(" TRANSPOSE( unique ( QUERY(DATOPRO,""select Col2 where Col1 = '""&amp;B913&amp;""'"")))"),"")</f>
        <v/>
      </c>
    </row>
    <row r="914">
      <c r="C914" s="64" t="str">
        <f>IFERROR(__xludf.DUMMYFUNCTION(" TRANSPOSE( unique ( QUERY(DATOPRO,""select Col2 where Col1 = '""&amp;B914&amp;""'"")))"),"")</f>
        <v/>
      </c>
    </row>
    <row r="915">
      <c r="C915" s="64" t="str">
        <f>IFERROR(__xludf.DUMMYFUNCTION(" TRANSPOSE( unique ( QUERY(DATOPRO,""select Col2 where Col1 = '""&amp;B915&amp;""'"")))"),"")</f>
        <v/>
      </c>
    </row>
    <row r="916">
      <c r="C916" s="64" t="str">
        <f>IFERROR(__xludf.DUMMYFUNCTION(" TRANSPOSE( unique ( QUERY(DATOPRO,""select Col2 where Col1 = '""&amp;B916&amp;""'"")))"),"")</f>
        <v/>
      </c>
    </row>
    <row r="917">
      <c r="C917" s="64" t="str">
        <f>IFERROR(__xludf.DUMMYFUNCTION(" TRANSPOSE( unique ( QUERY(DATOPRO,""select Col2 where Col1 = '""&amp;B917&amp;""'"")))"),"")</f>
        <v/>
      </c>
    </row>
    <row r="918">
      <c r="C918" s="64" t="str">
        <f>IFERROR(__xludf.DUMMYFUNCTION(" TRANSPOSE( unique ( QUERY(DATOPRO,""select Col2 where Col1 = '""&amp;B918&amp;""'"")))"),"")</f>
        <v/>
      </c>
    </row>
    <row r="919">
      <c r="C919" s="64" t="str">
        <f>IFERROR(__xludf.DUMMYFUNCTION(" TRANSPOSE( unique ( QUERY(DATOPRO,""select Col2 where Col1 = '""&amp;B919&amp;""'"")))"),"")</f>
        <v/>
      </c>
    </row>
    <row r="920">
      <c r="C920" s="64" t="str">
        <f>IFERROR(__xludf.DUMMYFUNCTION(" TRANSPOSE( unique ( QUERY(DATOPRO,""select Col2 where Col1 = '""&amp;B920&amp;""'"")))"),"")</f>
        <v/>
      </c>
    </row>
    <row r="921">
      <c r="C921" s="64" t="str">
        <f>IFERROR(__xludf.DUMMYFUNCTION(" TRANSPOSE( unique ( QUERY(DATOPRO,""select Col2 where Col1 = '""&amp;B921&amp;""'"")))"),"")</f>
        <v/>
      </c>
    </row>
    <row r="922">
      <c r="C922" s="64" t="str">
        <f>IFERROR(__xludf.DUMMYFUNCTION(" TRANSPOSE( unique ( QUERY(DATOPRO,""select Col2 where Col1 = '""&amp;B922&amp;""'"")))"),"")</f>
        <v/>
      </c>
    </row>
    <row r="923">
      <c r="C923" s="64" t="str">
        <f>IFERROR(__xludf.DUMMYFUNCTION(" TRANSPOSE( unique ( QUERY(DATOPRO,""select Col2 where Col1 = '""&amp;B923&amp;""'"")))"),"")</f>
        <v/>
      </c>
    </row>
    <row r="924">
      <c r="C924" s="64" t="str">
        <f>IFERROR(__xludf.DUMMYFUNCTION(" TRANSPOSE( unique ( QUERY(DATOPRO,""select Col2 where Col1 = '""&amp;B924&amp;""'"")))"),"")</f>
        <v/>
      </c>
    </row>
    <row r="925">
      <c r="C925" s="64" t="str">
        <f>IFERROR(__xludf.DUMMYFUNCTION(" TRANSPOSE( unique ( QUERY(DATOPRO,""select Col2 where Col1 = '""&amp;B925&amp;""'"")))"),"")</f>
        <v/>
      </c>
    </row>
    <row r="926">
      <c r="C926" s="64" t="str">
        <f>IFERROR(__xludf.DUMMYFUNCTION(" TRANSPOSE( unique ( QUERY(DATOPRO,""select Col2 where Col1 = '""&amp;B926&amp;""'"")))"),"")</f>
        <v/>
      </c>
    </row>
    <row r="927">
      <c r="C927" s="64" t="str">
        <f>IFERROR(__xludf.DUMMYFUNCTION(" TRANSPOSE( unique ( QUERY(DATOPRO,""select Col2 where Col1 = '""&amp;B927&amp;""'"")))"),"")</f>
        <v/>
      </c>
    </row>
    <row r="928">
      <c r="C928" s="64" t="str">
        <f>IFERROR(__xludf.DUMMYFUNCTION(" TRANSPOSE( unique ( QUERY(DATOPRO,""select Col2 where Col1 = '""&amp;B928&amp;""'"")))"),"")</f>
        <v/>
      </c>
    </row>
    <row r="929">
      <c r="C929" s="64" t="str">
        <f>IFERROR(__xludf.DUMMYFUNCTION(" TRANSPOSE( unique ( QUERY(DATOPRO,""select Col2 where Col1 = '""&amp;B929&amp;""'"")))"),"")</f>
        <v/>
      </c>
    </row>
    <row r="930">
      <c r="C930" s="64" t="str">
        <f>IFERROR(__xludf.DUMMYFUNCTION(" TRANSPOSE( unique ( QUERY(DATOPRO,""select Col2 where Col1 = '""&amp;B930&amp;""'"")))"),"")</f>
        <v/>
      </c>
    </row>
    <row r="931">
      <c r="C931" s="64" t="str">
        <f>IFERROR(__xludf.DUMMYFUNCTION(" TRANSPOSE( unique ( QUERY(DATOPRO,""select Col2 where Col1 = '""&amp;B931&amp;""'"")))"),"")</f>
        <v/>
      </c>
    </row>
    <row r="932">
      <c r="C932" s="64" t="str">
        <f>IFERROR(__xludf.DUMMYFUNCTION(" TRANSPOSE( unique ( QUERY(DATOPRO,""select Col2 where Col1 = '""&amp;B932&amp;""'"")))"),"")</f>
        <v/>
      </c>
    </row>
    <row r="933">
      <c r="C933" s="64" t="str">
        <f>IFERROR(__xludf.DUMMYFUNCTION(" TRANSPOSE( unique ( QUERY(DATOPRO,""select Col2 where Col1 = '""&amp;B933&amp;""'"")))"),"")</f>
        <v/>
      </c>
    </row>
    <row r="934">
      <c r="C934" s="64" t="str">
        <f>IFERROR(__xludf.DUMMYFUNCTION(" TRANSPOSE( unique ( QUERY(DATOPRO,""select Col2 where Col1 = '""&amp;B934&amp;""'"")))"),"")</f>
        <v/>
      </c>
    </row>
    <row r="935">
      <c r="C935" s="64" t="str">
        <f>IFERROR(__xludf.DUMMYFUNCTION(" TRANSPOSE( unique ( QUERY(DATOPRO,""select Col2 where Col1 = '""&amp;B935&amp;""'"")))"),"")</f>
        <v/>
      </c>
    </row>
    <row r="936">
      <c r="C936" s="64" t="str">
        <f>IFERROR(__xludf.DUMMYFUNCTION(" TRANSPOSE( unique ( QUERY(DATOPRO,""select Col2 where Col1 = '""&amp;B936&amp;""'"")))"),"")</f>
        <v/>
      </c>
    </row>
    <row r="937">
      <c r="C937" s="64" t="str">
        <f>IFERROR(__xludf.DUMMYFUNCTION(" TRANSPOSE( unique ( QUERY(DATOPRO,""select Col2 where Col1 = '""&amp;B937&amp;""'"")))"),"")</f>
        <v/>
      </c>
    </row>
    <row r="938">
      <c r="C938" s="64" t="str">
        <f>IFERROR(__xludf.DUMMYFUNCTION(" TRANSPOSE( unique ( QUERY(DATOPRO,""select Col2 where Col1 = '""&amp;B938&amp;""'"")))"),"")</f>
        <v/>
      </c>
    </row>
    <row r="939">
      <c r="C939" s="64" t="str">
        <f>IFERROR(__xludf.DUMMYFUNCTION(" TRANSPOSE( unique ( QUERY(DATOPRO,""select Col2 where Col1 = '""&amp;B939&amp;""'"")))"),"")</f>
        <v/>
      </c>
    </row>
    <row r="940">
      <c r="C940" s="64" t="str">
        <f>IFERROR(__xludf.DUMMYFUNCTION(" TRANSPOSE( unique ( QUERY(DATOPRO,""select Col2 where Col1 = '""&amp;B940&amp;""'"")))"),"")</f>
        <v/>
      </c>
    </row>
    <row r="941">
      <c r="C941" s="64" t="str">
        <f>IFERROR(__xludf.DUMMYFUNCTION(" TRANSPOSE( unique ( QUERY(DATOPRO,""select Col2 where Col1 = '""&amp;B941&amp;""'"")))"),"")</f>
        <v/>
      </c>
    </row>
    <row r="942">
      <c r="C942" s="64" t="str">
        <f>IFERROR(__xludf.DUMMYFUNCTION(" TRANSPOSE( unique ( QUERY(DATOPRO,""select Col2 where Col1 = '""&amp;B942&amp;""'"")))"),"")</f>
        <v/>
      </c>
    </row>
    <row r="943">
      <c r="C943" s="64" t="str">
        <f>IFERROR(__xludf.DUMMYFUNCTION(" TRANSPOSE( unique ( QUERY(DATOPRO,""select Col2 where Col1 = '""&amp;B943&amp;""'"")))"),"")</f>
        <v/>
      </c>
    </row>
    <row r="944">
      <c r="C944" s="64" t="str">
        <f>IFERROR(__xludf.DUMMYFUNCTION(" TRANSPOSE( unique ( QUERY(DATOPRO,""select Col2 where Col1 = '""&amp;B944&amp;""'"")))"),"")</f>
        <v/>
      </c>
    </row>
    <row r="945">
      <c r="C945" s="64" t="str">
        <f>IFERROR(__xludf.DUMMYFUNCTION(" TRANSPOSE( unique ( QUERY(DATOPRO,""select Col2 where Col1 = '""&amp;B945&amp;""'"")))"),"")</f>
        <v/>
      </c>
    </row>
    <row r="946">
      <c r="C946" s="64" t="str">
        <f>IFERROR(__xludf.DUMMYFUNCTION(" TRANSPOSE( unique ( QUERY(DATOPRO,""select Col2 where Col1 = '""&amp;B946&amp;""'"")))"),"")</f>
        <v/>
      </c>
    </row>
    <row r="947">
      <c r="C947" s="64" t="str">
        <f>IFERROR(__xludf.DUMMYFUNCTION(" TRANSPOSE( unique ( QUERY(DATOPRO,""select Col2 where Col1 = '""&amp;B947&amp;""'"")))"),"")</f>
        <v/>
      </c>
    </row>
    <row r="948">
      <c r="C948" s="64" t="str">
        <f>IFERROR(__xludf.DUMMYFUNCTION(" TRANSPOSE( unique ( QUERY(DATOPRO,""select Col2 where Col1 = '""&amp;B948&amp;""'"")))"),"")</f>
        <v/>
      </c>
    </row>
    <row r="949">
      <c r="C949" s="64" t="str">
        <f>IFERROR(__xludf.DUMMYFUNCTION(" TRANSPOSE( unique ( QUERY(DATOPRO,""select Col2 where Col1 = '""&amp;B949&amp;""'"")))"),"")</f>
        <v/>
      </c>
    </row>
    <row r="950">
      <c r="C950" s="64" t="str">
        <f>IFERROR(__xludf.DUMMYFUNCTION(" TRANSPOSE( unique ( QUERY(DATOPRO,""select Col2 where Col1 = '""&amp;B950&amp;""'"")))"),"")</f>
        <v/>
      </c>
    </row>
    <row r="951">
      <c r="C951" s="64" t="str">
        <f>IFERROR(__xludf.DUMMYFUNCTION(" TRANSPOSE( unique ( QUERY(DATOPRO,""select Col2 where Col1 = '""&amp;B951&amp;""'"")))"),"")</f>
        <v/>
      </c>
    </row>
    <row r="952">
      <c r="C952" s="64" t="str">
        <f>IFERROR(__xludf.DUMMYFUNCTION(" TRANSPOSE( unique ( QUERY(DATOPRO,""select Col2 where Col1 = '""&amp;B952&amp;""'"")))"),"")</f>
        <v/>
      </c>
    </row>
    <row r="953">
      <c r="C953" s="64" t="str">
        <f>IFERROR(__xludf.DUMMYFUNCTION(" TRANSPOSE( unique ( QUERY(DATOPRO,""select Col2 where Col1 = '""&amp;B953&amp;""'"")))"),"")</f>
        <v/>
      </c>
    </row>
    <row r="954">
      <c r="C954" s="64" t="str">
        <f>IFERROR(__xludf.DUMMYFUNCTION(" TRANSPOSE( unique ( QUERY(DATOPRO,""select Col2 where Col1 = '""&amp;B954&amp;""'"")))"),"")</f>
        <v/>
      </c>
    </row>
    <row r="955">
      <c r="C955" s="64" t="str">
        <f>IFERROR(__xludf.DUMMYFUNCTION(" TRANSPOSE( unique ( QUERY(DATOPRO,""select Col2 where Col1 = '""&amp;B955&amp;""'"")))"),"")</f>
        <v/>
      </c>
    </row>
    <row r="956">
      <c r="C956" s="64" t="str">
        <f>IFERROR(__xludf.DUMMYFUNCTION(" TRANSPOSE( unique ( QUERY(DATOPRO,""select Col2 where Col1 = '""&amp;B956&amp;""'"")))"),"")</f>
        <v/>
      </c>
    </row>
    <row r="957">
      <c r="C957" s="64" t="str">
        <f>IFERROR(__xludf.DUMMYFUNCTION(" TRANSPOSE( unique ( QUERY(DATOPRO,""select Col2 where Col1 = '""&amp;B957&amp;""'"")))"),"")</f>
        <v/>
      </c>
    </row>
    <row r="958">
      <c r="C958" s="64" t="str">
        <f>IFERROR(__xludf.DUMMYFUNCTION(" TRANSPOSE( unique ( QUERY(DATOPRO,""select Col2 where Col1 = '""&amp;B958&amp;""'"")))"),"")</f>
        <v/>
      </c>
    </row>
    <row r="959">
      <c r="C959" s="64" t="str">
        <f>IFERROR(__xludf.DUMMYFUNCTION(" TRANSPOSE( unique ( QUERY(DATOPRO,""select Col2 where Col1 = '""&amp;B959&amp;""'"")))"),"")</f>
        <v/>
      </c>
    </row>
    <row r="960">
      <c r="C960" s="64" t="str">
        <f>IFERROR(__xludf.DUMMYFUNCTION(" TRANSPOSE( unique ( QUERY(DATOPRO,""select Col2 where Col1 = '""&amp;B960&amp;""'"")))"),"")</f>
        <v/>
      </c>
    </row>
    <row r="961">
      <c r="C961" s="64" t="str">
        <f>IFERROR(__xludf.DUMMYFUNCTION(" TRANSPOSE( unique ( QUERY(DATOPRO,""select Col2 where Col1 = '""&amp;B961&amp;""'"")))"),"")</f>
        <v/>
      </c>
    </row>
    <row r="962">
      <c r="C962" s="64" t="str">
        <f>IFERROR(__xludf.DUMMYFUNCTION(" TRANSPOSE( unique ( QUERY(DATOPRO,""select Col2 where Col1 = '""&amp;B962&amp;""'"")))"),"")</f>
        <v/>
      </c>
    </row>
    <row r="963">
      <c r="C963" s="64" t="str">
        <f>IFERROR(__xludf.DUMMYFUNCTION(" TRANSPOSE( unique ( QUERY(DATOPRO,""select Col2 where Col1 = '""&amp;B963&amp;""'"")))"),"")</f>
        <v/>
      </c>
    </row>
    <row r="964">
      <c r="C964" s="64" t="str">
        <f>IFERROR(__xludf.DUMMYFUNCTION(" TRANSPOSE( unique ( QUERY(DATOPRO,""select Col2 where Col1 = '""&amp;B964&amp;""'"")))"),"")</f>
        <v/>
      </c>
    </row>
    <row r="965">
      <c r="C965" s="64" t="str">
        <f>IFERROR(__xludf.DUMMYFUNCTION(" TRANSPOSE( unique ( QUERY(DATOPRO,""select Col2 where Col1 = '""&amp;B965&amp;""'"")))"),"")</f>
        <v/>
      </c>
    </row>
    <row r="966">
      <c r="C966" s="64" t="str">
        <f>IFERROR(__xludf.DUMMYFUNCTION(" TRANSPOSE( unique ( QUERY(DATOPRO,""select Col2 where Col1 = '""&amp;B966&amp;""'"")))"),"")</f>
        <v/>
      </c>
    </row>
    <row r="967">
      <c r="C967" s="64" t="str">
        <f>IFERROR(__xludf.DUMMYFUNCTION(" TRANSPOSE( unique ( QUERY(DATOPRO,""select Col2 where Col1 = '""&amp;B967&amp;""'"")))"),"")</f>
        <v/>
      </c>
    </row>
    <row r="968">
      <c r="C968" s="64" t="str">
        <f>IFERROR(__xludf.DUMMYFUNCTION(" TRANSPOSE( unique ( QUERY(DATOPRO,""select Col2 where Col1 = '""&amp;B968&amp;""'"")))"),"")</f>
        <v/>
      </c>
    </row>
    <row r="969">
      <c r="C969" s="64" t="str">
        <f>IFERROR(__xludf.DUMMYFUNCTION(" TRANSPOSE( unique ( QUERY(DATOPRO,""select Col2 where Col1 = '""&amp;B969&amp;""'"")))"),"")</f>
        <v/>
      </c>
    </row>
    <row r="970">
      <c r="C970" s="64" t="str">
        <f>IFERROR(__xludf.DUMMYFUNCTION(" TRANSPOSE( unique ( QUERY(DATOPRO,""select Col2 where Col1 = '""&amp;B970&amp;""'"")))"),"")</f>
        <v/>
      </c>
    </row>
    <row r="971">
      <c r="C971" s="64" t="str">
        <f>IFERROR(__xludf.DUMMYFUNCTION(" TRANSPOSE( unique ( QUERY(DATOPRO,""select Col2 where Col1 = '""&amp;B971&amp;""'"")))"),"")</f>
        <v/>
      </c>
    </row>
    <row r="972">
      <c r="C972" s="64" t="str">
        <f>IFERROR(__xludf.DUMMYFUNCTION(" TRANSPOSE( unique ( QUERY(DATOPRO,""select Col2 where Col1 = '""&amp;B972&amp;""'"")))"),"")</f>
        <v/>
      </c>
    </row>
    <row r="973">
      <c r="C973" s="64" t="str">
        <f>IFERROR(__xludf.DUMMYFUNCTION(" TRANSPOSE( unique ( QUERY(DATOPRO,""select Col2 where Col1 = '""&amp;B973&amp;""'"")))"),"")</f>
        <v/>
      </c>
    </row>
    <row r="974">
      <c r="C974" s="64" t="str">
        <f>IFERROR(__xludf.DUMMYFUNCTION(" TRANSPOSE( unique ( QUERY(DATOPRO,""select Col2 where Col1 = '""&amp;B974&amp;""'"")))"),"")</f>
        <v/>
      </c>
    </row>
    <row r="975">
      <c r="C975" s="64" t="str">
        <f>IFERROR(__xludf.DUMMYFUNCTION(" TRANSPOSE( unique ( QUERY(DATOPRO,""select Col2 where Col1 = '""&amp;B975&amp;""'"")))"),"")</f>
        <v/>
      </c>
    </row>
    <row r="976">
      <c r="C976" s="64" t="str">
        <f>IFERROR(__xludf.DUMMYFUNCTION(" TRANSPOSE( unique ( QUERY(DATOPRO,""select Col2 where Col1 = '""&amp;B976&amp;""'"")))"),"")</f>
        <v/>
      </c>
    </row>
    <row r="977">
      <c r="C977" s="64" t="str">
        <f>IFERROR(__xludf.DUMMYFUNCTION(" TRANSPOSE( unique ( QUERY(DATOPRO,""select Col2 where Col1 = '""&amp;B977&amp;""'"")))"),"")</f>
        <v/>
      </c>
    </row>
    <row r="978">
      <c r="C978" s="64" t="str">
        <f>IFERROR(__xludf.DUMMYFUNCTION(" TRANSPOSE( unique ( QUERY(DATOPRO,""select Col2 where Col1 = '""&amp;B978&amp;""'"")))"),"")</f>
        <v/>
      </c>
    </row>
    <row r="979">
      <c r="C979" s="64" t="str">
        <f>IFERROR(__xludf.DUMMYFUNCTION(" TRANSPOSE( unique ( QUERY(DATOPRO,""select Col2 where Col1 = '""&amp;B979&amp;""'"")))"),"")</f>
        <v/>
      </c>
    </row>
    <row r="980">
      <c r="C980" s="64" t="str">
        <f>IFERROR(__xludf.DUMMYFUNCTION(" TRANSPOSE( unique ( QUERY(DATOPRO,""select Col2 where Col1 = '""&amp;B980&amp;""'"")))"),"")</f>
        <v/>
      </c>
    </row>
    <row r="981">
      <c r="C981" s="64" t="str">
        <f>IFERROR(__xludf.DUMMYFUNCTION(" TRANSPOSE( unique ( QUERY(DATOPRO,""select Col2 where Col1 = '""&amp;B981&amp;""'"")))"),"")</f>
        <v/>
      </c>
    </row>
    <row r="982">
      <c r="C982" s="64" t="str">
        <f>IFERROR(__xludf.DUMMYFUNCTION(" TRANSPOSE( unique ( QUERY(DATOPRO,""select Col2 where Col1 = '""&amp;B982&amp;""'"")))"),"")</f>
        <v/>
      </c>
    </row>
    <row r="983">
      <c r="C983" s="64" t="str">
        <f>IFERROR(__xludf.DUMMYFUNCTION(" TRANSPOSE( unique ( QUERY(DATOPRO,""select Col2 where Col1 = '""&amp;B983&amp;""'"")))"),"")</f>
        <v/>
      </c>
    </row>
    <row r="984">
      <c r="C984" s="64" t="str">
        <f>IFERROR(__xludf.DUMMYFUNCTION(" TRANSPOSE( unique ( QUERY(DATOPRO,""select Col2 where Col1 = '""&amp;B984&amp;""'"")))"),"")</f>
        <v/>
      </c>
    </row>
    <row r="985">
      <c r="C985" s="64" t="str">
        <f>IFERROR(__xludf.DUMMYFUNCTION(" TRANSPOSE( unique ( QUERY(DATOPRO,""select Col2 where Col1 = '""&amp;B985&amp;""'"")))"),"")</f>
        <v/>
      </c>
    </row>
    <row r="986">
      <c r="C986" s="64" t="str">
        <f>IFERROR(__xludf.DUMMYFUNCTION(" TRANSPOSE( unique ( QUERY(DATOPRO,""select Col2 where Col1 = '""&amp;B986&amp;""'"")))"),"")</f>
        <v/>
      </c>
    </row>
    <row r="987">
      <c r="C987" s="64" t="str">
        <f>IFERROR(__xludf.DUMMYFUNCTION(" TRANSPOSE( unique ( QUERY(DATOPRO,""select Col2 where Col1 = '""&amp;B987&amp;""'"")))"),"")</f>
        <v/>
      </c>
    </row>
    <row r="988">
      <c r="C988" s="64" t="str">
        <f>IFERROR(__xludf.DUMMYFUNCTION(" TRANSPOSE( unique ( QUERY(DATOPRO,""select Col2 where Col1 = '""&amp;B988&amp;""'"")))"),"")</f>
        <v/>
      </c>
    </row>
    <row r="989">
      <c r="C989" s="64" t="str">
        <f>IFERROR(__xludf.DUMMYFUNCTION(" TRANSPOSE( unique ( QUERY(DATOPRO,""select Col2 where Col1 = '""&amp;B989&amp;""'"")))"),"")</f>
        <v/>
      </c>
    </row>
    <row r="990">
      <c r="C990" s="64" t="str">
        <f>IFERROR(__xludf.DUMMYFUNCTION(" TRANSPOSE( unique ( QUERY(DATOPRO,""select Col2 where Col1 = '""&amp;B990&amp;""'"")))"),"")</f>
        <v/>
      </c>
    </row>
    <row r="991">
      <c r="C991" s="64" t="str">
        <f>IFERROR(__xludf.DUMMYFUNCTION(" TRANSPOSE( unique ( QUERY(DATOPRO,""select Col2 where Col1 = '""&amp;B991&amp;""'"")))"),"")</f>
        <v/>
      </c>
    </row>
    <row r="992">
      <c r="C992" s="64" t="str">
        <f>IFERROR(__xludf.DUMMYFUNCTION(" TRANSPOSE( unique ( QUERY(DATOPRO,""select Col2 where Col1 = '""&amp;B992&amp;""'"")))"),"")</f>
        <v/>
      </c>
    </row>
    <row r="993">
      <c r="C993" s="64" t="str">
        <f>IFERROR(__xludf.DUMMYFUNCTION(" TRANSPOSE( unique ( QUERY(DATOPRO,""select Col2 where Col1 = '""&amp;B993&amp;""'"")))"),"")</f>
        <v/>
      </c>
    </row>
    <row r="994">
      <c r="C994" s="64" t="str">
        <f>IFERROR(__xludf.DUMMYFUNCTION(" TRANSPOSE( unique ( QUERY(DATOPRO,""select Col2 where Col1 = '""&amp;B994&amp;""'"")))"),"")</f>
        <v/>
      </c>
    </row>
    <row r="995">
      <c r="C995" s="64" t="str">
        <f>IFERROR(__xludf.DUMMYFUNCTION(" TRANSPOSE( unique ( QUERY(DATOPRO,""select Col2 where Col1 = '""&amp;B995&amp;""'"")))"),"")</f>
        <v/>
      </c>
    </row>
    <row r="996">
      <c r="C996" s="64" t="str">
        <f>IFERROR(__xludf.DUMMYFUNCTION(" TRANSPOSE( unique ( QUERY(DATOPRO,""select Col2 where Col1 = '""&amp;B996&amp;""'"")))"),"")</f>
        <v/>
      </c>
    </row>
    <row r="997">
      <c r="C997" s="64" t="str">
        <f>IFERROR(__xludf.DUMMYFUNCTION(" TRANSPOSE( unique ( QUERY(DATOPRO,""select Col2 where Col1 = '""&amp;B997&amp;""'"")))"),"")</f>
        <v/>
      </c>
    </row>
    <row r="998">
      <c r="C998" s="64" t="str">
        <f>IFERROR(__xludf.DUMMYFUNCTION(" TRANSPOSE( unique ( QUERY(DATOPRO,""select Col2 where Col1 = '""&amp;B998&amp;""'"")))"),"")</f>
        <v/>
      </c>
    </row>
    <row r="999">
      <c r="C999" s="64" t="str">
        <f>IFERROR(__xludf.DUMMYFUNCTION(" TRANSPOSE( unique ( QUERY(DATOPRO,""select Col2 where Col1 = '""&amp;B999&amp;""'"")))"),"")</f>
        <v/>
      </c>
    </row>
    <row r="1000">
      <c r="C1000" s="64" t="str">
        <f>IFERROR(__xludf.DUMMYFUNCTION(" TRANSPOSE( unique ( QUERY(DATOPRO,""select Col2 where Col1 = '""&amp;B1000&amp;""'"")))"),"")</f>
        <v/>
      </c>
    </row>
    <row r="1001">
      <c r="C1001" s="64" t="str">
        <f>IFERROR(__xludf.DUMMYFUNCTION(" TRANSPOSE( unique ( QUERY(DATOPRO,""select Col2 where Col1 = '""&amp;B1001&amp;""'"")))"),"")</f>
        <v/>
      </c>
    </row>
    <row r="1002">
      <c r="C1002" s="64" t="str">
        <f>IFERROR(__xludf.DUMMYFUNCTION(" TRANSPOSE( unique ( QUERY(DATOPRO,""select Col2 where Col1 = '""&amp;B1002&amp;""'"")))"),"")</f>
        <v/>
      </c>
    </row>
    <row r="1003">
      <c r="C1003" s="64" t="str">
        <f>IFERROR(__xludf.DUMMYFUNCTION(" TRANSPOSE( unique ( QUERY(DATOPRO,""select Col2 where Col1 = '""&amp;B1003&amp;""'"")))"),"")</f>
        <v/>
      </c>
    </row>
    <row r="1004">
      <c r="C1004" s="64" t="str">
        <f>IFERROR(__xludf.DUMMYFUNCTION(" TRANSPOSE( unique ( QUERY(DATOPRO,""select Col2 where Col1 = '""&amp;B1004&amp;""'"")))"),"")</f>
        <v/>
      </c>
    </row>
    <row r="1005">
      <c r="C1005" s="64" t="str">
        <f>IFERROR(__xludf.DUMMYFUNCTION(" TRANSPOSE( unique ( QUERY(DATOPRO,""select Col2 where Col1 = '""&amp;B1005&amp;""'"")))"),"")</f>
        <v/>
      </c>
    </row>
    <row r="1006">
      <c r="C1006" s="64" t="str">
        <f>IFERROR(__xludf.DUMMYFUNCTION(" TRANSPOSE( unique ( QUERY(DATOPRO,""select Col2 where Col1 = '""&amp;B1006&amp;""'"")))"),"")</f>
        <v/>
      </c>
    </row>
    <row r="1007">
      <c r="C1007" s="64" t="str">
        <f>IFERROR(__xludf.DUMMYFUNCTION(" TRANSPOSE( unique ( QUERY(DATOPRO,""select Col2 where Col1 = '""&amp;B1007&amp;""'"")))"),"")</f>
        <v/>
      </c>
    </row>
    <row r="1008">
      <c r="C1008" s="64" t="str">
        <f>IFERROR(__xludf.DUMMYFUNCTION(" TRANSPOSE( unique ( QUERY(DATOPRO,""select Col2 where Col1 = '""&amp;B1008&amp;""'"")))"),"")</f>
        <v/>
      </c>
    </row>
    <row r="1009">
      <c r="C1009" s="64" t="str">
        <f>IFERROR(__xludf.DUMMYFUNCTION(" TRANSPOSE( unique ( QUERY(DATOPRO,""select Col2 where Col1 = '""&amp;B1009&amp;""'"")))"),"")</f>
        <v/>
      </c>
    </row>
    <row r="1010">
      <c r="C1010" s="64" t="str">
        <f>IFERROR(__xludf.DUMMYFUNCTION(" TRANSPOSE( unique ( QUERY(DATOPRO,""select Col2 where Col1 = '""&amp;B1010&amp;""'"")))"),"")</f>
        <v/>
      </c>
    </row>
    <row r="1011">
      <c r="C1011" s="64" t="str">
        <f>IFERROR(__xludf.DUMMYFUNCTION(" TRANSPOSE( unique ( QUERY(DATOPRO,""select Col2 where Col1 = '""&amp;B1011&amp;""'"")))"),"")</f>
        <v/>
      </c>
    </row>
    <row r="1012">
      <c r="C1012" s="64" t="str">
        <f>IFERROR(__xludf.DUMMYFUNCTION(" TRANSPOSE( unique ( QUERY(DATOPRO,""select Col2 where Col1 = '""&amp;B1012&amp;""'"")))"),"")</f>
        <v/>
      </c>
    </row>
    <row r="1013">
      <c r="C1013" s="64" t="str">
        <f>IFERROR(__xludf.DUMMYFUNCTION(" TRANSPOSE( unique ( QUERY(DATOPRO,""select Col2 where Col1 = '""&amp;B1013&amp;""'"")))"),"")</f>
        <v/>
      </c>
    </row>
    <row r="1014">
      <c r="C1014" s="64" t="str">
        <f>IFERROR(__xludf.DUMMYFUNCTION(" TRANSPOSE( unique ( QUERY(DATOPRO,""select Col2 where Col1 = '""&amp;B1014&amp;""'"")))"),"")</f>
        <v/>
      </c>
    </row>
    <row r="1015">
      <c r="C1015" s="64" t="str">
        <f>IFERROR(__xludf.DUMMYFUNCTION(" TRANSPOSE( unique ( QUERY(DATOPRO,""select Col2 where Col1 = '""&amp;B1015&amp;""'"")))"),"")</f>
        <v/>
      </c>
    </row>
    <row r="1016">
      <c r="C1016" s="64" t="str">
        <f>IFERROR(__xludf.DUMMYFUNCTION(" TRANSPOSE( unique ( QUERY(DATOPRO,""select Col2 where Col1 = '""&amp;B1016&amp;""'"")))"),"")</f>
        <v/>
      </c>
    </row>
    <row r="1017">
      <c r="C1017" s="64" t="str">
        <f>IFERROR(__xludf.DUMMYFUNCTION(" TRANSPOSE( unique ( QUERY(DATOPRO,""select Col2 where Col1 = '""&amp;B1017&amp;""'"")))"),"")</f>
        <v/>
      </c>
    </row>
    <row r="1018">
      <c r="C1018" s="64" t="str">
        <f>IFERROR(__xludf.DUMMYFUNCTION(" TRANSPOSE( unique ( QUERY(DATOPRO,""select Col2 where Col1 = '""&amp;B1018&amp;""'"")))"),"")</f>
        <v/>
      </c>
    </row>
    <row r="1019">
      <c r="C1019" s="64" t="str">
        <f>IFERROR(__xludf.DUMMYFUNCTION(" TRANSPOSE( unique ( QUERY(DATOPRO,""select Col2 where Col1 = '""&amp;B1019&amp;""'"")))"),"")</f>
        <v/>
      </c>
    </row>
    <row r="1020">
      <c r="C1020" s="64" t="str">
        <f>IFERROR(__xludf.DUMMYFUNCTION(" TRANSPOSE( unique ( QUERY(DATOPRO,""select Col2 where Col1 = '""&amp;B1020&amp;""'"")))"),"")</f>
        <v/>
      </c>
    </row>
    <row r="1021">
      <c r="C1021" s="64" t="str">
        <f>IFERROR(__xludf.DUMMYFUNCTION(" TRANSPOSE( unique ( QUERY(DATOPRO,""select Col2 where Col1 = '""&amp;B1021&amp;""'"")))"),"")</f>
        <v/>
      </c>
    </row>
    <row r="1022">
      <c r="C1022" s="64" t="str">
        <f>IFERROR(__xludf.DUMMYFUNCTION(" TRANSPOSE( unique ( QUERY(DATOPRO,""select Col2 where Col1 = '""&amp;B1022&amp;""'"")))"),"")</f>
        <v/>
      </c>
    </row>
    <row r="1023">
      <c r="C1023" s="64" t="str">
        <f>IFERROR(__xludf.DUMMYFUNCTION(" TRANSPOSE( unique ( QUERY(DATOPRO,""select Col2 where Col1 = '""&amp;B1023&amp;""'"")))"),"")</f>
        <v/>
      </c>
    </row>
    <row r="1024">
      <c r="C1024" s="64" t="str">
        <f>IFERROR(__xludf.DUMMYFUNCTION(" TRANSPOSE( unique ( QUERY(DATOPRO,""select Col2 where Col1 = '""&amp;B1024&amp;""'"")))"),"")</f>
        <v/>
      </c>
    </row>
    <row r="1025">
      <c r="C1025" s="64" t="str">
        <f>IFERROR(__xludf.DUMMYFUNCTION(" TRANSPOSE( unique ( QUERY(DATOPRO,""select Col2 where Col1 = '""&amp;B1025&amp;""'"")))"),"")</f>
        <v/>
      </c>
    </row>
    <row r="1026">
      <c r="C1026" s="64" t="str">
        <f>IFERROR(__xludf.DUMMYFUNCTION(" TRANSPOSE( unique ( QUERY(DATOPRO,""select Col2 where Col1 = '""&amp;B1026&amp;""'"")))"),"")</f>
        <v/>
      </c>
    </row>
    <row r="1027">
      <c r="C1027" s="64" t="str">
        <f>IFERROR(__xludf.DUMMYFUNCTION(" TRANSPOSE( unique ( QUERY(DATOPRO,""select Col2 where Col1 = '""&amp;B1027&amp;""'"")))"),"")</f>
        <v/>
      </c>
    </row>
    <row r="1028">
      <c r="C1028" s="64" t="str">
        <f>IFERROR(__xludf.DUMMYFUNCTION(" TRANSPOSE( unique ( QUERY(DATOPRO,""select Col2 where Col1 = '""&amp;B1028&amp;""'"")))"),"")</f>
        <v/>
      </c>
    </row>
    <row r="1029">
      <c r="C1029" s="64" t="str">
        <f>IFERROR(__xludf.DUMMYFUNCTION(" TRANSPOSE( unique ( QUERY(DATOPRO,""select Col2 where Col1 = '""&amp;B1029&amp;""'"")))"),"")</f>
        <v/>
      </c>
    </row>
    <row r="1030">
      <c r="C1030" s="64" t="str">
        <f>IFERROR(__xludf.DUMMYFUNCTION(" TRANSPOSE( unique ( QUERY(DATOPRO,""select Col2 where Col1 = '""&amp;B1030&amp;""'"")))"),"")</f>
        <v/>
      </c>
    </row>
    <row r="1031">
      <c r="C1031" s="64" t="str">
        <f>IFERROR(__xludf.DUMMYFUNCTION(" TRANSPOSE( unique ( QUERY(DATOPRO,""select Col2 where Col1 = '""&amp;B1031&amp;""'"")))"),"")</f>
        <v/>
      </c>
    </row>
    <row r="1032">
      <c r="C1032" s="64" t="str">
        <f>IFERROR(__xludf.DUMMYFUNCTION(" TRANSPOSE( unique ( QUERY(DATOPRO,""select Col2 where Col1 = '""&amp;B1032&amp;""'"")))"),"")</f>
        <v/>
      </c>
    </row>
    <row r="1033">
      <c r="C1033" s="64" t="str">
        <f>IFERROR(__xludf.DUMMYFUNCTION(" TRANSPOSE( unique ( QUERY(DATOPRO,""select Col2 where Col1 = '""&amp;B1033&amp;""'"")))"),"")</f>
        <v/>
      </c>
    </row>
    <row r="1034">
      <c r="C1034" s="64" t="str">
        <f>IFERROR(__xludf.DUMMYFUNCTION(" TRANSPOSE( unique ( QUERY(DATOPRO,""select Col2 where Col1 = '""&amp;B1034&amp;""'"")))"),"")</f>
        <v/>
      </c>
    </row>
    <row r="1035">
      <c r="C1035" s="64" t="str">
        <f>IFERROR(__xludf.DUMMYFUNCTION(" TRANSPOSE( unique ( QUERY(DATOPRO,""select Col2 where Col1 = '""&amp;B1035&amp;""'"")))"),"")</f>
        <v/>
      </c>
    </row>
    <row r="1036">
      <c r="C1036" s="64" t="str">
        <f>IFERROR(__xludf.DUMMYFUNCTION(" TRANSPOSE( unique ( QUERY(DATOPRO,""select Col2 where Col1 = '""&amp;B1036&amp;""'"")))"),"")</f>
        <v/>
      </c>
    </row>
    <row r="1037">
      <c r="C1037" s="64" t="str">
        <f>IFERROR(__xludf.DUMMYFUNCTION(" TRANSPOSE( unique ( QUERY(DATOPRO,""select Col2 where Col1 = '""&amp;B1037&amp;""'"")))"),"")</f>
        <v/>
      </c>
    </row>
    <row r="1038">
      <c r="C1038" s="64" t="str">
        <f>IFERROR(__xludf.DUMMYFUNCTION(" TRANSPOSE( unique ( QUERY(DATOPRO,""select Col2 where Col1 = '""&amp;B1038&amp;""'"")))"),"")</f>
        <v/>
      </c>
    </row>
    <row r="1039">
      <c r="C1039" s="64" t="str">
        <f>IFERROR(__xludf.DUMMYFUNCTION(" TRANSPOSE( unique ( QUERY(DATOPRO,""select Col2 where Col1 = '""&amp;B1039&amp;""'"")))"),"")</f>
        <v/>
      </c>
    </row>
    <row r="1040">
      <c r="C1040" s="64" t="str">
        <f>IFERROR(__xludf.DUMMYFUNCTION(" TRANSPOSE( unique ( QUERY(DATOPRO,""select Col2 where Col1 = '""&amp;B1040&amp;""'"")))"),"")</f>
        <v/>
      </c>
    </row>
    <row r="1041">
      <c r="C1041" s="64" t="str">
        <f>IFERROR(__xludf.DUMMYFUNCTION(" TRANSPOSE( unique ( QUERY(DATOPRO,""select Col2 where Col1 = '""&amp;B1041&amp;""'"")))"),"")</f>
        <v/>
      </c>
    </row>
    <row r="1042">
      <c r="C1042" s="64" t="str">
        <f>IFERROR(__xludf.DUMMYFUNCTION(" TRANSPOSE( unique ( QUERY(DATOPRO,""select Col2 where Col1 = '""&amp;B1042&amp;""'"")))"),"")</f>
        <v/>
      </c>
    </row>
    <row r="1043">
      <c r="C1043" s="64" t="str">
        <f>IFERROR(__xludf.DUMMYFUNCTION(" TRANSPOSE( unique ( QUERY(DATOPRO,""select Col2 where Col1 = '""&amp;B1043&amp;""'"")))"),"")</f>
        <v/>
      </c>
    </row>
    <row r="1044">
      <c r="C1044" s="64" t="str">
        <f>IFERROR(__xludf.DUMMYFUNCTION(" TRANSPOSE( unique ( QUERY(DATOPRO,""select Col2 where Col1 = '""&amp;B1044&amp;""'"")))"),"")</f>
        <v/>
      </c>
    </row>
    <row r="1045">
      <c r="C1045" s="64" t="str">
        <f>IFERROR(__xludf.DUMMYFUNCTION(" TRANSPOSE( unique ( QUERY(DATOPRO,""select Col2 where Col1 = '""&amp;B1045&amp;""'"")))"),"")</f>
        <v/>
      </c>
    </row>
    <row r="1046">
      <c r="C1046" s="64" t="str">
        <f>IFERROR(__xludf.DUMMYFUNCTION(" TRANSPOSE( unique ( QUERY(DATOPRO,""select Col2 where Col1 = '""&amp;B1046&amp;""'"")))"),"")</f>
        <v/>
      </c>
    </row>
    <row r="1047">
      <c r="C1047" s="64" t="str">
        <f>IFERROR(__xludf.DUMMYFUNCTION(" TRANSPOSE( unique ( QUERY(DATOPRO,""select Col2 where Col1 = '""&amp;B1047&amp;""'"")))"),"")</f>
        <v/>
      </c>
    </row>
    <row r="1048">
      <c r="C1048" s="64" t="str">
        <f>IFERROR(__xludf.DUMMYFUNCTION(" TRANSPOSE( unique ( QUERY(DATOPRO,""select Col2 where Col1 = '""&amp;B1048&amp;""'"")))"),"")</f>
        <v/>
      </c>
    </row>
    <row r="1049">
      <c r="C1049" s="64" t="str">
        <f>IFERROR(__xludf.DUMMYFUNCTION(" TRANSPOSE( unique ( QUERY(DATOPRO,""select Col2 where Col1 = '""&amp;B1049&amp;""'"")))"),"")</f>
        <v/>
      </c>
    </row>
    <row r="1050">
      <c r="C1050" s="64" t="str">
        <f>IFERROR(__xludf.DUMMYFUNCTION(" TRANSPOSE( unique ( QUERY(DATOPRO,""select Col2 where Col1 = '""&amp;B1050&amp;""'"")))"),"")</f>
        <v/>
      </c>
    </row>
    <row r="1051">
      <c r="C1051" s="64" t="str">
        <f>IFERROR(__xludf.DUMMYFUNCTION(" TRANSPOSE( unique ( QUERY(DATOPRO,""select Col2 where Col1 = '""&amp;B1051&amp;""'"")))"),"")</f>
        <v/>
      </c>
    </row>
    <row r="1052">
      <c r="C1052" s="64" t="str">
        <f>IFERROR(__xludf.DUMMYFUNCTION(" TRANSPOSE( unique ( QUERY(DATOPRO,""select Col2 where Col1 = '""&amp;B1052&amp;""'"")))"),"")</f>
        <v/>
      </c>
    </row>
    <row r="1053">
      <c r="C1053" s="64" t="str">
        <f>IFERROR(__xludf.DUMMYFUNCTION(" TRANSPOSE( unique ( QUERY(DATOPRO,""select Col2 where Col1 = '""&amp;B1053&amp;""'"")))"),"")</f>
        <v/>
      </c>
    </row>
    <row r="1054">
      <c r="C1054" s="64" t="str">
        <f>IFERROR(__xludf.DUMMYFUNCTION(" TRANSPOSE( unique ( QUERY(DATOPRO,""select Col2 where Col1 = '""&amp;B1054&amp;""'"")))"),"")</f>
        <v/>
      </c>
    </row>
    <row r="1055">
      <c r="C1055" s="64" t="str">
        <f>IFERROR(__xludf.DUMMYFUNCTION(" TRANSPOSE( unique ( QUERY(DATOPRO,""select Col2 where Col1 = '""&amp;B1055&amp;""'"")))"),"")</f>
        <v/>
      </c>
    </row>
    <row r="1056">
      <c r="C1056" s="64" t="str">
        <f>IFERROR(__xludf.DUMMYFUNCTION(" TRANSPOSE( unique ( QUERY(DATOPRO,""select Col2 where Col1 = '""&amp;B1056&amp;""'"")))"),"")</f>
        <v/>
      </c>
    </row>
    <row r="1057">
      <c r="C1057" s="64" t="str">
        <f>IFERROR(__xludf.DUMMYFUNCTION(" TRANSPOSE( unique ( QUERY(DATOPRO,""select Col2 where Col1 = '""&amp;B1057&amp;""'"")))"),"")</f>
        <v/>
      </c>
    </row>
    <row r="1058">
      <c r="C1058" s="64" t="str">
        <f>IFERROR(__xludf.DUMMYFUNCTION(" TRANSPOSE( unique ( QUERY(DATOPRO,""select Col2 where Col1 = '""&amp;B1058&amp;""'"")))"),"")</f>
        <v/>
      </c>
    </row>
    <row r="1059">
      <c r="C1059" s="64" t="str">
        <f>IFERROR(__xludf.DUMMYFUNCTION(" TRANSPOSE( unique ( QUERY(DATOPRO,""select Col2 where Col1 = '""&amp;B1059&amp;""'"")))"),"")</f>
        <v/>
      </c>
    </row>
    <row r="1060">
      <c r="C1060" s="64" t="str">
        <f>IFERROR(__xludf.DUMMYFUNCTION(" TRANSPOSE( unique ( QUERY(DATOPRO,""select Col2 where Col1 = '""&amp;B1060&amp;""'"")))"),"")</f>
        <v/>
      </c>
    </row>
    <row r="1061">
      <c r="C1061" s="64" t="str">
        <f>IFERROR(__xludf.DUMMYFUNCTION(" TRANSPOSE( unique ( QUERY(DATOPRO,""select Col2 where Col1 = '""&amp;B1061&amp;""'"")))"),"")</f>
        <v/>
      </c>
    </row>
    <row r="1062">
      <c r="C1062" s="64" t="str">
        <f>IFERROR(__xludf.DUMMYFUNCTION(" TRANSPOSE( unique ( QUERY(DATOPRO,""select Col2 where Col1 = '""&amp;B1062&amp;""'"")))"),"")</f>
        <v/>
      </c>
    </row>
    <row r="1063">
      <c r="C1063" s="64" t="str">
        <f>IFERROR(__xludf.DUMMYFUNCTION(" TRANSPOSE( unique ( QUERY(DATOPRO,""select Col2 where Col1 = '""&amp;B1063&amp;""'"")))"),"")</f>
        <v/>
      </c>
    </row>
    <row r="1064">
      <c r="C1064" s="64" t="str">
        <f>IFERROR(__xludf.DUMMYFUNCTION(" TRANSPOSE( unique ( QUERY(DATOPRO,""select Col2 where Col1 = '""&amp;B1064&amp;""'"")))"),"")</f>
        <v/>
      </c>
    </row>
    <row r="1065">
      <c r="C1065" s="64" t="str">
        <f>IFERROR(__xludf.DUMMYFUNCTION(" TRANSPOSE( unique ( QUERY(DATOPRO,""select Col2 where Col1 = '""&amp;B1065&amp;""'"")))"),"")</f>
        <v/>
      </c>
    </row>
    <row r="1066">
      <c r="C1066" s="64" t="str">
        <f>IFERROR(__xludf.DUMMYFUNCTION(" TRANSPOSE( unique ( QUERY(DATOPRO,""select Col2 where Col1 = '""&amp;B1066&amp;""'"")))"),"")</f>
        <v/>
      </c>
    </row>
    <row r="1067">
      <c r="C1067" s="64" t="str">
        <f>IFERROR(__xludf.DUMMYFUNCTION(" TRANSPOSE( unique ( QUERY(DATOPRO,""select Col2 where Col1 = '""&amp;B1067&amp;""'"")))"),"")</f>
        <v/>
      </c>
    </row>
    <row r="1068">
      <c r="C1068" s="64" t="str">
        <f>IFERROR(__xludf.DUMMYFUNCTION(" TRANSPOSE( unique ( QUERY(DATOPRO,""select Col2 where Col1 = '""&amp;B1068&amp;""'"")))"),"")</f>
        <v/>
      </c>
    </row>
    <row r="1069">
      <c r="C1069" s="64" t="str">
        <f>IFERROR(__xludf.DUMMYFUNCTION(" TRANSPOSE( unique ( QUERY(DATOPRO,""select Col2 where Col1 = '""&amp;B1069&amp;""'"")))"),"")</f>
        <v/>
      </c>
    </row>
    <row r="1070">
      <c r="C1070" s="64" t="str">
        <f>IFERROR(__xludf.DUMMYFUNCTION(" TRANSPOSE( unique ( QUERY(DATOPRO,""select Col2 where Col1 = '""&amp;B1070&amp;""'"")))"),"")</f>
        <v/>
      </c>
    </row>
    <row r="1071">
      <c r="C1071" s="64" t="str">
        <f>IFERROR(__xludf.DUMMYFUNCTION(" TRANSPOSE( unique ( QUERY(DATOPRO,""select Col2 where Col1 = '""&amp;B1071&amp;""'"")))"),"")</f>
        <v/>
      </c>
    </row>
    <row r="1072">
      <c r="C1072" s="64" t="str">
        <f>IFERROR(__xludf.DUMMYFUNCTION(" TRANSPOSE( unique ( QUERY(DATOPRO,""select Col2 where Col1 = '""&amp;B1072&amp;""'"")))"),"")</f>
        <v/>
      </c>
    </row>
    <row r="1073">
      <c r="C1073" s="64" t="str">
        <f>IFERROR(__xludf.DUMMYFUNCTION(" TRANSPOSE( unique ( QUERY(DATOPRO,""select Col2 where Col1 = '""&amp;B1073&amp;""'"")))"),"")</f>
        <v/>
      </c>
    </row>
    <row r="1074">
      <c r="C1074" s="64" t="str">
        <f>IFERROR(__xludf.DUMMYFUNCTION(" TRANSPOSE( unique ( QUERY(DATOPRO,""select Col2 where Col1 = '""&amp;B1074&amp;""'"")))"),"")</f>
        <v/>
      </c>
    </row>
    <row r="1075">
      <c r="C1075" s="64" t="str">
        <f>IFERROR(__xludf.DUMMYFUNCTION(" TRANSPOSE( unique ( QUERY(DATOPRO,""select Col2 where Col1 = '""&amp;B1075&amp;""'"")))"),"")</f>
        <v/>
      </c>
    </row>
    <row r="1076">
      <c r="C1076" s="64" t="str">
        <f>IFERROR(__xludf.DUMMYFUNCTION(" TRANSPOSE( unique ( QUERY(DATOPRO,""select Col2 where Col1 = '""&amp;B1076&amp;""'"")))"),"")</f>
        <v/>
      </c>
    </row>
    <row r="1077">
      <c r="C1077" s="64" t="str">
        <f>IFERROR(__xludf.DUMMYFUNCTION(" TRANSPOSE( unique ( QUERY(DATOPRO,""select Col2 where Col1 = '""&amp;B1077&amp;""'"")))"),"")</f>
        <v/>
      </c>
    </row>
    <row r="1078">
      <c r="C1078" s="64" t="str">
        <f>IFERROR(__xludf.DUMMYFUNCTION(" TRANSPOSE( unique ( QUERY(DATOPRO,""select Col2 where Col1 = '""&amp;B1078&amp;""'"")))"),"")</f>
        <v/>
      </c>
    </row>
    <row r="1079">
      <c r="C1079" s="64" t="str">
        <f>IFERROR(__xludf.DUMMYFUNCTION(" TRANSPOSE( unique ( QUERY(DATOPRO,""select Col2 where Col1 = '""&amp;B1079&amp;""'"")))"),"")</f>
        <v/>
      </c>
    </row>
    <row r="1080">
      <c r="C1080" s="64" t="str">
        <f>IFERROR(__xludf.DUMMYFUNCTION(" TRANSPOSE( unique ( QUERY(DATOPRO,""select Col2 where Col1 = '""&amp;B1080&amp;""'"")))"),"")</f>
        <v/>
      </c>
    </row>
    <row r="1081">
      <c r="C1081" s="64" t="str">
        <f>IFERROR(__xludf.DUMMYFUNCTION(" TRANSPOSE( unique ( QUERY(DATOPRO,""select Col2 where Col1 = '""&amp;B1081&amp;""'"")))"),"")</f>
        <v/>
      </c>
    </row>
    <row r="1082">
      <c r="C1082" s="64" t="str">
        <f>IFERROR(__xludf.DUMMYFUNCTION(" TRANSPOSE( unique ( QUERY(DATOPRO,""select Col2 where Col1 = '""&amp;B1082&amp;""'"")))"),"")</f>
        <v/>
      </c>
    </row>
    <row r="1083">
      <c r="C1083" s="64" t="str">
        <f>IFERROR(__xludf.DUMMYFUNCTION(" TRANSPOSE( unique ( QUERY(DATOPRO,""select Col2 where Col1 = '""&amp;B1083&amp;""'"")))"),"")</f>
        <v/>
      </c>
    </row>
    <row r="1084">
      <c r="C1084" s="64" t="str">
        <f>IFERROR(__xludf.DUMMYFUNCTION(" TRANSPOSE( unique ( QUERY(DATOPRO,""select Col2 where Col1 = '""&amp;B1084&amp;""'"")))"),"")</f>
        <v/>
      </c>
    </row>
    <row r="1085">
      <c r="C1085" s="64" t="str">
        <f>IFERROR(__xludf.DUMMYFUNCTION(" TRANSPOSE( unique ( QUERY(DATOPRO,""select Col2 where Col1 = '""&amp;B1085&amp;""'"")))"),"")</f>
        <v/>
      </c>
    </row>
    <row r="1086">
      <c r="C1086" s="64" t="str">
        <f>IFERROR(__xludf.DUMMYFUNCTION(" TRANSPOSE( unique ( QUERY(DATOPRO,""select Col2 where Col1 = '""&amp;B1086&amp;""'"")))"),"")</f>
        <v/>
      </c>
    </row>
    <row r="1087">
      <c r="C1087" s="64" t="str">
        <f>IFERROR(__xludf.DUMMYFUNCTION(" TRANSPOSE( unique ( QUERY(DATOPRO,""select Col2 where Col1 = '""&amp;B1087&amp;""'"")))"),"")</f>
        <v/>
      </c>
    </row>
    <row r="1088">
      <c r="C1088" s="64" t="str">
        <f>IFERROR(__xludf.DUMMYFUNCTION(" TRANSPOSE( unique ( QUERY(DATOPRO,""select Col2 where Col1 = '""&amp;B1088&amp;""'"")))"),"")</f>
        <v/>
      </c>
    </row>
    <row r="1089">
      <c r="C1089" s="64" t="str">
        <f>IFERROR(__xludf.DUMMYFUNCTION(" TRANSPOSE( unique ( QUERY(DATOPRO,""select Col2 where Col1 = '""&amp;B1089&amp;""'"")))"),"")</f>
        <v/>
      </c>
    </row>
    <row r="1090">
      <c r="C1090" s="64" t="str">
        <f>IFERROR(__xludf.DUMMYFUNCTION(" TRANSPOSE( unique ( QUERY(DATOPRO,""select Col2 where Col1 = '""&amp;B1090&amp;""'"")))"),"")</f>
        <v/>
      </c>
    </row>
    <row r="1091">
      <c r="C1091" s="64" t="str">
        <f>IFERROR(__xludf.DUMMYFUNCTION(" TRANSPOSE( unique ( QUERY(DATOPRO,""select Col2 where Col1 = '""&amp;B1091&amp;""'"")))"),"")</f>
        <v/>
      </c>
    </row>
    <row r="1092">
      <c r="C1092" s="64" t="str">
        <f>IFERROR(__xludf.DUMMYFUNCTION(" TRANSPOSE( unique ( QUERY(DATOPRO,""select Col2 where Col1 = '""&amp;B1092&amp;""'"")))"),"")</f>
        <v/>
      </c>
    </row>
    <row r="1093">
      <c r="C1093" s="64" t="str">
        <f>IFERROR(__xludf.DUMMYFUNCTION(" TRANSPOSE( unique ( QUERY(DATOPRO,""select Col2 where Col1 = '""&amp;B1093&amp;""'"")))"),"")</f>
        <v/>
      </c>
    </row>
    <row r="1094">
      <c r="C1094" s="64" t="str">
        <f>IFERROR(__xludf.DUMMYFUNCTION(" TRANSPOSE( unique ( QUERY(DATOPRO,""select Col2 where Col1 = '""&amp;B1094&amp;""'"")))"),"")</f>
        <v/>
      </c>
    </row>
    <row r="1095">
      <c r="C1095" s="64" t="str">
        <f>IFERROR(__xludf.DUMMYFUNCTION(" TRANSPOSE( unique ( QUERY(DATOPRO,""select Col2 where Col1 = '""&amp;B1095&amp;""'"")))"),"")</f>
        <v/>
      </c>
    </row>
    <row r="1096">
      <c r="C1096" s="64" t="str">
        <f>IFERROR(__xludf.DUMMYFUNCTION(" TRANSPOSE( unique ( QUERY(DATOPRO,""select Col2 where Col1 = '""&amp;B1096&amp;""'"")))"),"")</f>
        <v/>
      </c>
    </row>
    <row r="1097">
      <c r="C1097" s="64" t="str">
        <f>IFERROR(__xludf.DUMMYFUNCTION(" TRANSPOSE( unique ( QUERY(DATOPRO,""select Col2 where Col1 = '""&amp;B1097&amp;""'"")))"),"")</f>
        <v/>
      </c>
    </row>
    <row r="1098">
      <c r="C1098" s="64" t="str">
        <f>IFERROR(__xludf.DUMMYFUNCTION(" TRANSPOSE( unique ( QUERY(DATOPRO,""select Col2 where Col1 = '""&amp;B1098&amp;""'"")))"),"")</f>
        <v/>
      </c>
    </row>
    <row r="1099">
      <c r="C1099" s="64" t="str">
        <f>IFERROR(__xludf.DUMMYFUNCTION(" TRANSPOSE( unique ( QUERY(DATOPRO,""select Col2 where Col1 = '""&amp;B1099&amp;""'"")))"),"")</f>
        <v/>
      </c>
    </row>
    <row r="1100">
      <c r="C1100" s="64" t="str">
        <f>IFERROR(__xludf.DUMMYFUNCTION(" TRANSPOSE( unique ( QUERY(DATOPRO,""select Col2 where Col1 = '""&amp;B1100&amp;""'"")))"),"")</f>
        <v/>
      </c>
    </row>
    <row r="1101">
      <c r="C1101" s="64" t="str">
        <f>IFERROR(__xludf.DUMMYFUNCTION(" TRANSPOSE( unique ( QUERY(DATOPRO,""select Col2 where Col1 = '""&amp;B1101&amp;""'"")))"),"")</f>
        <v/>
      </c>
    </row>
    <row r="1102">
      <c r="C1102" s="64" t="str">
        <f>IFERROR(__xludf.DUMMYFUNCTION(" TRANSPOSE( unique ( QUERY(DATOPRO,""select Col2 where Col1 = '""&amp;B1102&amp;""'"")))"),"")</f>
        <v/>
      </c>
    </row>
    <row r="1103">
      <c r="C1103" s="64" t="str">
        <f>IFERROR(__xludf.DUMMYFUNCTION(" TRANSPOSE( unique ( QUERY(DATOPRO,""select Col2 where Col1 = '""&amp;B1103&amp;""'"")))"),"")</f>
        <v/>
      </c>
    </row>
    <row r="1104">
      <c r="C1104" s="64" t="str">
        <f>IFERROR(__xludf.DUMMYFUNCTION(" TRANSPOSE( unique ( QUERY(DATOPRO,""select Col2 where Col1 = '""&amp;B1104&amp;""'"")))"),"")</f>
        <v/>
      </c>
    </row>
    <row r="1105">
      <c r="C1105" s="64" t="str">
        <f>IFERROR(__xludf.DUMMYFUNCTION(" TRANSPOSE( unique ( QUERY(DATOPRO,""select Col2 where Col1 = '""&amp;B1105&amp;""'"")))"),"")</f>
        <v/>
      </c>
    </row>
    <row r="1106">
      <c r="C1106" s="64" t="str">
        <f>IFERROR(__xludf.DUMMYFUNCTION(" TRANSPOSE( unique ( QUERY(DATOPRO,""select Col2 where Col1 = '""&amp;B1106&amp;""'"")))"),"")</f>
        <v/>
      </c>
    </row>
    <row r="1107">
      <c r="C1107" s="64" t="str">
        <f>IFERROR(__xludf.DUMMYFUNCTION(" TRANSPOSE( unique ( QUERY(DATOPRO,""select Col2 where Col1 = '""&amp;B1107&amp;""'"")))"),"")</f>
        <v/>
      </c>
    </row>
    <row r="1108">
      <c r="C1108" s="64" t="str">
        <f>IFERROR(__xludf.DUMMYFUNCTION(" TRANSPOSE( unique ( QUERY(DATOPRO,""select Col2 where Col1 = '""&amp;B1108&amp;""'"")))"),"")</f>
        <v/>
      </c>
    </row>
    <row r="1109">
      <c r="C1109" s="64" t="str">
        <f>IFERROR(__xludf.DUMMYFUNCTION(" TRANSPOSE( unique ( QUERY(DATOPRO,""select Col2 where Col1 = '""&amp;B1109&amp;""'"")))"),"")</f>
        <v/>
      </c>
    </row>
    <row r="1110">
      <c r="C1110" s="64" t="str">
        <f>IFERROR(__xludf.DUMMYFUNCTION(" TRANSPOSE( unique ( QUERY(DATOPRO,""select Col2 where Col1 = '""&amp;B1110&amp;""'"")))"),"")</f>
        <v/>
      </c>
    </row>
    <row r="1111">
      <c r="C1111" s="64" t="str">
        <f>IFERROR(__xludf.DUMMYFUNCTION(" TRANSPOSE( unique ( QUERY(DATOPRO,""select Col2 where Col1 = '""&amp;B1111&amp;""'"")))"),"")</f>
        <v/>
      </c>
    </row>
    <row r="1112">
      <c r="C1112" s="64" t="str">
        <f>IFERROR(__xludf.DUMMYFUNCTION(" TRANSPOSE( unique ( QUERY(DATOPRO,""select Col2 where Col1 = '""&amp;B1112&amp;""'"")))"),"")</f>
        <v/>
      </c>
    </row>
    <row r="1113">
      <c r="C1113" s="64" t="str">
        <f>IFERROR(__xludf.DUMMYFUNCTION(" TRANSPOSE( unique ( QUERY(DATOPRO,""select Col2 where Col1 = '""&amp;B1113&amp;""'"")))"),"")</f>
        <v/>
      </c>
    </row>
    <row r="1114">
      <c r="C1114" s="64" t="str">
        <f>IFERROR(__xludf.DUMMYFUNCTION(" TRANSPOSE( unique ( QUERY(DATOPRO,""select Col2 where Col1 = '""&amp;B1114&amp;""'"")))"),"")</f>
        <v/>
      </c>
    </row>
    <row r="1115">
      <c r="C1115" s="64" t="str">
        <f>IFERROR(__xludf.DUMMYFUNCTION(" TRANSPOSE( unique ( QUERY(DATOPRO,""select Col2 where Col1 = '""&amp;B1115&amp;""'"")))"),"")</f>
        <v/>
      </c>
    </row>
    <row r="1116">
      <c r="C1116" s="64" t="str">
        <f>IFERROR(__xludf.DUMMYFUNCTION(" TRANSPOSE( unique ( QUERY(DATOPRO,""select Col2 where Col1 = '""&amp;B1116&amp;""'"")))"),"")</f>
        <v/>
      </c>
    </row>
    <row r="1117">
      <c r="C1117" s="64" t="str">
        <f>IFERROR(__xludf.DUMMYFUNCTION(" TRANSPOSE( unique ( QUERY(DATOPRO,""select Col2 where Col1 = '""&amp;B1117&amp;""'"")))"),"")</f>
        <v/>
      </c>
    </row>
    <row r="1118">
      <c r="C1118" s="64" t="str">
        <f>IFERROR(__xludf.DUMMYFUNCTION(" TRANSPOSE( unique ( QUERY(DATOPRO,""select Col2 where Col1 = '""&amp;B1118&amp;""'"")))"),"")</f>
        <v/>
      </c>
    </row>
    <row r="1119">
      <c r="C1119" s="64" t="str">
        <f>IFERROR(__xludf.DUMMYFUNCTION(" TRANSPOSE( unique ( QUERY(DATOPRO,""select Col2 where Col1 = '""&amp;B1119&amp;""'"")))"),"")</f>
        <v/>
      </c>
    </row>
    <row r="1120">
      <c r="C1120" s="64" t="str">
        <f>IFERROR(__xludf.DUMMYFUNCTION(" TRANSPOSE( unique ( QUERY(DATOPRO,""select Col2 where Col1 = '""&amp;B1120&amp;""'"")))"),"")</f>
        <v/>
      </c>
    </row>
    <row r="1121">
      <c r="C1121" s="64" t="str">
        <f>IFERROR(__xludf.DUMMYFUNCTION(" TRANSPOSE( unique ( QUERY(DATOPRO,""select Col2 where Col1 = '""&amp;B1121&amp;""'"")))"),"")</f>
        <v/>
      </c>
    </row>
    <row r="1122">
      <c r="C1122" s="64" t="str">
        <f>IFERROR(__xludf.DUMMYFUNCTION(" TRANSPOSE( unique ( QUERY(DATOPRO,""select Col2 where Col1 = '""&amp;B1122&amp;""'"")))"),"")</f>
        <v/>
      </c>
    </row>
    <row r="1123">
      <c r="C1123" s="64" t="str">
        <f>IFERROR(__xludf.DUMMYFUNCTION(" TRANSPOSE( unique ( QUERY(DATOPRO,""select Col2 where Col1 = '""&amp;B1123&amp;""'"")))"),"")</f>
        <v/>
      </c>
    </row>
    <row r="1124">
      <c r="C1124" s="64" t="str">
        <f>IFERROR(__xludf.DUMMYFUNCTION(" TRANSPOSE( unique ( QUERY(DATOPRO,""select Col2 where Col1 = '""&amp;B1124&amp;""'"")))"),"")</f>
        <v/>
      </c>
    </row>
    <row r="1125">
      <c r="C1125" s="64" t="str">
        <f>IFERROR(__xludf.DUMMYFUNCTION(" TRANSPOSE( unique ( QUERY(DATOPRO,""select Col2 where Col1 = '""&amp;B1125&amp;""'"")))"),"")</f>
        <v/>
      </c>
    </row>
    <row r="1126">
      <c r="C1126" s="64" t="str">
        <f>IFERROR(__xludf.DUMMYFUNCTION(" TRANSPOSE( unique ( QUERY(DATOPRO,""select Col2 where Col1 = '""&amp;B1126&amp;""'"")))"),"")</f>
        <v/>
      </c>
    </row>
    <row r="1127">
      <c r="C1127" s="64" t="str">
        <f>IFERROR(__xludf.DUMMYFUNCTION(" TRANSPOSE( unique ( QUERY(DATOPRO,""select Col2 where Col1 = '""&amp;B1127&amp;""'"")))"),"")</f>
        <v/>
      </c>
    </row>
    <row r="1128">
      <c r="C1128" s="64" t="str">
        <f>IFERROR(__xludf.DUMMYFUNCTION(" TRANSPOSE( unique ( QUERY(DATOPRO,""select Col2 where Col1 = '""&amp;B1128&amp;""'"")))"),"")</f>
        <v/>
      </c>
    </row>
    <row r="1129">
      <c r="C1129" s="64" t="str">
        <f>IFERROR(__xludf.DUMMYFUNCTION(" TRANSPOSE( unique ( QUERY(DATOPRO,""select Col2 where Col1 = '""&amp;B1129&amp;""'"")))"),"")</f>
        <v/>
      </c>
    </row>
    <row r="1130">
      <c r="C1130" s="64" t="str">
        <f>IFERROR(__xludf.DUMMYFUNCTION(" TRANSPOSE( unique ( QUERY(DATOPRO,""select Col2 where Col1 = '""&amp;B1130&amp;""'"")))"),"")</f>
        <v/>
      </c>
    </row>
    <row r="1131">
      <c r="C1131" s="64" t="str">
        <f>IFERROR(__xludf.DUMMYFUNCTION(" TRANSPOSE( unique ( QUERY(DATOPRO,""select Col2 where Col1 = '""&amp;B1131&amp;""'"")))"),"")</f>
        <v/>
      </c>
    </row>
    <row r="1132">
      <c r="C1132" s="64" t="str">
        <f>IFERROR(__xludf.DUMMYFUNCTION(" TRANSPOSE( unique ( QUERY(DATOPRO,""select Col2 where Col1 = '""&amp;B1132&amp;""'"")))"),"")</f>
        <v/>
      </c>
    </row>
    <row r="1133">
      <c r="C1133" s="64" t="str">
        <f>IFERROR(__xludf.DUMMYFUNCTION(" TRANSPOSE( unique ( QUERY(DATOPRO,""select Col2 where Col1 = '""&amp;B1133&amp;""'"")))"),"")</f>
        <v/>
      </c>
    </row>
    <row r="1134">
      <c r="C1134" s="64" t="str">
        <f>IFERROR(__xludf.DUMMYFUNCTION(" TRANSPOSE( unique ( QUERY(DATOPRO,""select Col2 where Col1 = '""&amp;B1134&amp;""'"")))"),"")</f>
        <v/>
      </c>
    </row>
    <row r="1135">
      <c r="C1135" s="64" t="str">
        <f>IFERROR(__xludf.DUMMYFUNCTION(" TRANSPOSE( unique ( QUERY(DATOPRO,""select Col2 where Col1 = '""&amp;B1135&amp;""'"")))"),"")</f>
        <v/>
      </c>
    </row>
    <row r="1136">
      <c r="C1136" s="64" t="str">
        <f>IFERROR(__xludf.DUMMYFUNCTION(" TRANSPOSE( unique ( QUERY(DATOPRO,""select Col2 where Col1 = '""&amp;B1136&amp;""'"")))"),"")</f>
        <v/>
      </c>
    </row>
    <row r="1137">
      <c r="C1137" s="64" t="str">
        <f>IFERROR(__xludf.DUMMYFUNCTION(" TRANSPOSE( unique ( QUERY(DATOPRO,""select Col2 where Col1 = '""&amp;B1137&amp;""'"")))"),"")</f>
        <v/>
      </c>
    </row>
    <row r="1138">
      <c r="C1138" s="64" t="str">
        <f>IFERROR(__xludf.DUMMYFUNCTION(" TRANSPOSE( unique ( QUERY(DATOPRO,""select Col2 where Col1 = '""&amp;B1138&amp;""'"")))"),"")</f>
        <v/>
      </c>
    </row>
    <row r="1139">
      <c r="C1139" s="64" t="str">
        <f>IFERROR(__xludf.DUMMYFUNCTION(" TRANSPOSE( unique ( QUERY(DATOPRO,""select Col2 where Col1 = '""&amp;B1139&amp;""'"")))"),"")</f>
        <v/>
      </c>
    </row>
    <row r="1140">
      <c r="C1140" s="64" t="str">
        <f>IFERROR(__xludf.DUMMYFUNCTION(" TRANSPOSE( unique ( QUERY(DATOPRO,""select Col2 where Col1 = '""&amp;B1140&amp;""'"")))"),"")</f>
        <v/>
      </c>
    </row>
    <row r="1141">
      <c r="C1141" s="64" t="str">
        <f>IFERROR(__xludf.DUMMYFUNCTION(" TRANSPOSE( unique ( QUERY(DATOPRO,""select Col2 where Col1 = '""&amp;B1141&amp;""'"")))"),"")</f>
        <v/>
      </c>
    </row>
    <row r="1142">
      <c r="C1142" s="64" t="str">
        <f>IFERROR(__xludf.DUMMYFUNCTION(" TRANSPOSE( unique ( QUERY(DATOPRO,""select Col2 where Col1 = '""&amp;B1142&amp;""'"")))"),"")</f>
        <v/>
      </c>
    </row>
    <row r="1143">
      <c r="C1143" s="64" t="str">
        <f>IFERROR(__xludf.DUMMYFUNCTION(" TRANSPOSE( unique ( QUERY(DATOPRO,""select Col2 where Col1 = '""&amp;B1143&amp;""'"")))"),"")</f>
        <v/>
      </c>
    </row>
    <row r="1144">
      <c r="C1144" s="64" t="str">
        <f>IFERROR(__xludf.DUMMYFUNCTION(" TRANSPOSE( unique ( QUERY(DATOPRO,""select Col2 where Col1 = '""&amp;B1144&amp;""'"")))"),"")</f>
        <v/>
      </c>
    </row>
    <row r="1145">
      <c r="C1145" s="64" t="str">
        <f>IFERROR(__xludf.DUMMYFUNCTION(" TRANSPOSE( unique ( QUERY(DATOPRO,""select Col2 where Col1 = '""&amp;B1145&amp;""'"")))"),"")</f>
        <v/>
      </c>
    </row>
    <row r="1146">
      <c r="C1146" s="64" t="str">
        <f>IFERROR(__xludf.DUMMYFUNCTION(" TRANSPOSE( unique ( QUERY(DATOPRO,""select Col2 where Col1 = '""&amp;B1146&amp;""'"")))"),"")</f>
        <v/>
      </c>
    </row>
    <row r="1147">
      <c r="C1147" s="64" t="str">
        <f>IFERROR(__xludf.DUMMYFUNCTION(" TRANSPOSE( unique ( QUERY(DATOPRO,""select Col2 where Col1 = '""&amp;B1147&amp;""'"")))"),"")</f>
        <v/>
      </c>
    </row>
    <row r="1148">
      <c r="C1148" s="64" t="str">
        <f>IFERROR(__xludf.DUMMYFUNCTION(" TRANSPOSE( unique ( QUERY(DATOPRO,""select Col2 where Col1 = '""&amp;B1148&amp;""'"")))"),"")</f>
        <v/>
      </c>
    </row>
    <row r="1149">
      <c r="C1149" s="64" t="str">
        <f>IFERROR(__xludf.DUMMYFUNCTION(" TRANSPOSE( unique ( QUERY(DATOPRO,""select Col2 where Col1 = '""&amp;B1149&amp;""'"")))"),"")</f>
        <v/>
      </c>
    </row>
    <row r="1150">
      <c r="C1150" s="64" t="str">
        <f>IFERROR(__xludf.DUMMYFUNCTION(" TRANSPOSE( unique ( QUERY(DATOPRO,""select Col2 where Col1 = '""&amp;B1150&amp;""'"")))"),"")</f>
        <v/>
      </c>
    </row>
    <row r="1151">
      <c r="C1151" s="64" t="str">
        <f>IFERROR(__xludf.DUMMYFUNCTION(" TRANSPOSE( unique ( QUERY(DATOPRO,""select Col2 where Col1 = '""&amp;B1151&amp;""'"")))"),"")</f>
        <v/>
      </c>
    </row>
    <row r="1152">
      <c r="C1152" s="64" t="str">
        <f>IFERROR(__xludf.DUMMYFUNCTION(" TRANSPOSE( unique ( QUERY(DATOPRO,""select Col2 where Col1 = '""&amp;B1152&amp;""'"")))"),"")</f>
        <v/>
      </c>
    </row>
    <row r="1153">
      <c r="C1153" s="64" t="str">
        <f>IFERROR(__xludf.DUMMYFUNCTION(" TRANSPOSE( unique ( QUERY(DATOPRO,""select Col2 where Col1 = '""&amp;B1153&amp;""'"")))"),"")</f>
        <v/>
      </c>
    </row>
    <row r="1154">
      <c r="C1154" s="64" t="str">
        <f>IFERROR(__xludf.DUMMYFUNCTION(" TRANSPOSE( unique ( QUERY(DATOPRO,""select Col2 where Col1 = '""&amp;B1154&amp;""'"")))"),"")</f>
        <v/>
      </c>
    </row>
    <row r="1155">
      <c r="C1155" s="64" t="str">
        <f>IFERROR(__xludf.DUMMYFUNCTION(" TRANSPOSE( unique ( QUERY(DATOPRO,""select Col2 where Col1 = '""&amp;B1155&amp;""'"")))"),"")</f>
        <v/>
      </c>
    </row>
    <row r="1156">
      <c r="C1156" s="64" t="str">
        <f>IFERROR(__xludf.DUMMYFUNCTION(" TRANSPOSE( unique ( QUERY(DATOPRO,""select Col2 where Col1 = '""&amp;B1156&amp;""'"")))"),"")</f>
        <v/>
      </c>
    </row>
    <row r="1157">
      <c r="C1157" s="64" t="str">
        <f>IFERROR(__xludf.DUMMYFUNCTION(" TRANSPOSE( unique ( QUERY(DATOPRO,""select Col2 where Col1 = '""&amp;B1157&amp;""'"")))"),"")</f>
        <v/>
      </c>
    </row>
    <row r="1158">
      <c r="C1158" s="64" t="str">
        <f>IFERROR(__xludf.DUMMYFUNCTION(" TRANSPOSE( unique ( QUERY(DATOPRO,""select Col2 where Col1 = '""&amp;B1158&amp;""'"")))"),"")</f>
        <v/>
      </c>
    </row>
    <row r="1159">
      <c r="C1159" s="64" t="str">
        <f>IFERROR(__xludf.DUMMYFUNCTION(" TRANSPOSE( unique ( QUERY(DATOPRO,""select Col2 where Col1 = '""&amp;B1159&amp;""'"")))"),"")</f>
        <v/>
      </c>
    </row>
    <row r="1160">
      <c r="C1160" s="64" t="str">
        <f>IFERROR(__xludf.DUMMYFUNCTION(" TRANSPOSE( unique ( QUERY(DATOPRO,""select Col2 where Col1 = '""&amp;B1160&amp;""'"")))"),"")</f>
        <v/>
      </c>
    </row>
    <row r="1161">
      <c r="C1161" s="64" t="str">
        <f>IFERROR(__xludf.DUMMYFUNCTION(" TRANSPOSE( unique ( QUERY(DATOPRO,""select Col2 where Col1 = '""&amp;B1161&amp;""'"")))"),"")</f>
        <v/>
      </c>
    </row>
    <row r="1162">
      <c r="C1162" s="64" t="str">
        <f>IFERROR(__xludf.DUMMYFUNCTION(" TRANSPOSE( unique ( QUERY(DATOPRO,""select Col2 where Col1 = '""&amp;B1162&amp;""'"")))"),"")</f>
        <v/>
      </c>
    </row>
    <row r="1163">
      <c r="C1163" s="64" t="str">
        <f>IFERROR(__xludf.DUMMYFUNCTION(" TRANSPOSE( unique ( QUERY(DATOPRO,""select Col2 where Col1 = '""&amp;B1163&amp;""'"")))"),"")</f>
        <v/>
      </c>
    </row>
    <row r="1164">
      <c r="C1164" s="64" t="str">
        <f>IFERROR(__xludf.DUMMYFUNCTION(" TRANSPOSE( unique ( QUERY(DATOPRO,""select Col2 where Col1 = '""&amp;B1164&amp;""'"")))"),"")</f>
        <v/>
      </c>
    </row>
    <row r="1165">
      <c r="C1165" s="64" t="str">
        <f>IFERROR(__xludf.DUMMYFUNCTION(" TRANSPOSE( unique ( QUERY(DATOPRO,""select Col2 where Col1 = '""&amp;B1165&amp;""'"")))"),"")</f>
        <v/>
      </c>
    </row>
    <row r="1166">
      <c r="C1166" s="64" t="str">
        <f>IFERROR(__xludf.DUMMYFUNCTION(" TRANSPOSE( unique ( QUERY(DATOPRO,""select Col2 where Col1 = '""&amp;B1166&amp;""'"")))"),"")</f>
        <v/>
      </c>
    </row>
    <row r="1167">
      <c r="C1167" s="64" t="str">
        <f>IFERROR(__xludf.DUMMYFUNCTION(" TRANSPOSE( unique ( QUERY(DATOPRO,""select Col2 where Col1 = '""&amp;B1167&amp;""'"")))"),"")</f>
        <v/>
      </c>
    </row>
    <row r="1168">
      <c r="C1168" s="64" t="str">
        <f>IFERROR(__xludf.DUMMYFUNCTION(" TRANSPOSE( unique ( QUERY(DATOPRO,""select Col2 where Col1 = '""&amp;B1168&amp;""'"")))"),"")</f>
        <v/>
      </c>
    </row>
    <row r="1169">
      <c r="C1169" s="64" t="str">
        <f>IFERROR(__xludf.DUMMYFUNCTION(" TRANSPOSE( unique ( QUERY(DATOPRO,""select Col2 where Col1 = '""&amp;B1169&amp;""'"")))"),"")</f>
        <v/>
      </c>
    </row>
    <row r="1170">
      <c r="C1170" s="64" t="str">
        <f>IFERROR(__xludf.DUMMYFUNCTION(" TRANSPOSE( unique ( QUERY(DATOPRO,""select Col2 where Col1 = '""&amp;B1170&amp;""'"")))"),"")</f>
        <v/>
      </c>
    </row>
    <row r="1171">
      <c r="C1171" s="64" t="str">
        <f>IFERROR(__xludf.DUMMYFUNCTION(" TRANSPOSE( unique ( QUERY(DATOPRO,""select Col2 where Col1 = '""&amp;B1171&amp;""'"")))"),"")</f>
        <v/>
      </c>
    </row>
    <row r="1172">
      <c r="C1172" s="64" t="str">
        <f>IFERROR(__xludf.DUMMYFUNCTION(" TRANSPOSE( unique ( QUERY(DATOPRO,""select Col2 where Col1 = '""&amp;B1172&amp;""'"")))"),"")</f>
        <v/>
      </c>
    </row>
    <row r="1173">
      <c r="C1173" s="64" t="str">
        <f>IFERROR(__xludf.DUMMYFUNCTION(" TRANSPOSE( unique ( QUERY(DATOPRO,""select Col2 where Col1 = '""&amp;B1173&amp;""'"")))"),"")</f>
        <v/>
      </c>
    </row>
    <row r="1174">
      <c r="C1174" s="64" t="str">
        <f>IFERROR(__xludf.DUMMYFUNCTION(" TRANSPOSE( unique ( QUERY(DATOPRO,""select Col2 where Col1 = '""&amp;B1174&amp;""'"")))"),"")</f>
        <v/>
      </c>
    </row>
    <row r="1175">
      <c r="C1175" s="64" t="str">
        <f>IFERROR(__xludf.DUMMYFUNCTION(" TRANSPOSE( unique ( QUERY(DATOPRO,""select Col2 where Col1 = '""&amp;B1175&amp;""'"")))"),"")</f>
        <v/>
      </c>
    </row>
    <row r="1176">
      <c r="C1176" s="64" t="str">
        <f>IFERROR(__xludf.DUMMYFUNCTION(" TRANSPOSE( unique ( QUERY(DATOPRO,""select Col2 where Col1 = '""&amp;B1176&amp;""'"")))"),"")</f>
        <v/>
      </c>
    </row>
    <row r="1177">
      <c r="C1177" s="64" t="str">
        <f>IFERROR(__xludf.DUMMYFUNCTION(" TRANSPOSE( unique ( QUERY(DATOPRO,""select Col2 where Col1 = '""&amp;B1177&amp;""'"")))"),"")</f>
        <v/>
      </c>
    </row>
    <row r="1178">
      <c r="C1178" s="64" t="str">
        <f>IFERROR(__xludf.DUMMYFUNCTION(" TRANSPOSE( unique ( QUERY(DATOPRO,""select Col2 where Col1 = '""&amp;B1178&amp;""'"")))"),"")</f>
        <v/>
      </c>
    </row>
    <row r="1179">
      <c r="C1179" s="64" t="str">
        <f>IFERROR(__xludf.DUMMYFUNCTION(" TRANSPOSE( unique ( QUERY(DATOPRO,""select Col2 where Col1 = '""&amp;B1179&amp;""'"")))"),"")</f>
        <v/>
      </c>
    </row>
    <row r="1180">
      <c r="C1180" s="64" t="str">
        <f>IFERROR(__xludf.DUMMYFUNCTION(" TRANSPOSE( unique ( QUERY(DATOPRO,""select Col2 where Col1 = '""&amp;B1180&amp;""'"")))"),"")</f>
        <v/>
      </c>
    </row>
    <row r="1181">
      <c r="C1181" s="64" t="str">
        <f>IFERROR(__xludf.DUMMYFUNCTION(" TRANSPOSE( unique ( QUERY(DATOPRO,""select Col2 where Col1 = '""&amp;B1181&amp;""'"")))"),"")</f>
        <v/>
      </c>
    </row>
    <row r="1182">
      <c r="C1182" s="64" t="str">
        <f>IFERROR(__xludf.DUMMYFUNCTION(" TRANSPOSE( unique ( QUERY(DATOPRO,""select Col2 where Col1 = '""&amp;B1182&amp;""'"")))"),"")</f>
        <v/>
      </c>
    </row>
    <row r="1183">
      <c r="C1183" s="64" t="str">
        <f>IFERROR(__xludf.DUMMYFUNCTION(" TRANSPOSE( unique ( QUERY(DATOPRO,""select Col2 where Col1 = '""&amp;B1183&amp;""'"")))"),"")</f>
        <v/>
      </c>
    </row>
    <row r="1184">
      <c r="C1184" s="64" t="str">
        <f>IFERROR(__xludf.DUMMYFUNCTION(" TRANSPOSE( unique ( QUERY(DATOPRO,""select Col2 where Col1 = '""&amp;B1184&amp;""'"")))"),"")</f>
        <v/>
      </c>
    </row>
    <row r="1185">
      <c r="C1185" s="64" t="str">
        <f>IFERROR(__xludf.DUMMYFUNCTION(" TRANSPOSE( unique ( QUERY(DATOPRO,""select Col2 where Col1 = '""&amp;B1185&amp;""'"")))"),"")</f>
        <v/>
      </c>
    </row>
    <row r="1186">
      <c r="C1186" s="64" t="str">
        <f>IFERROR(__xludf.DUMMYFUNCTION(" TRANSPOSE( unique ( QUERY(DATOPRO,""select Col2 where Col1 = '""&amp;B1186&amp;""'"")))"),"")</f>
        <v/>
      </c>
    </row>
    <row r="1187">
      <c r="C1187" s="64" t="str">
        <f>IFERROR(__xludf.DUMMYFUNCTION(" TRANSPOSE( unique ( QUERY(DATOPRO,""select Col2 where Col1 = '""&amp;B1187&amp;""'"")))"),"")</f>
        <v/>
      </c>
    </row>
    <row r="1188">
      <c r="C1188" s="64" t="str">
        <f>IFERROR(__xludf.DUMMYFUNCTION(" TRANSPOSE( unique ( QUERY(DATOPRO,""select Col2 where Col1 = '""&amp;B1188&amp;""'"")))"),"")</f>
        <v/>
      </c>
    </row>
    <row r="1189">
      <c r="C1189" s="64" t="str">
        <f>IFERROR(__xludf.DUMMYFUNCTION(" TRANSPOSE( unique ( QUERY(DATOPRO,""select Col2 where Col1 = '""&amp;B1189&amp;""'"")))"),"")</f>
        <v/>
      </c>
    </row>
    <row r="1190">
      <c r="C1190" s="64" t="str">
        <f>IFERROR(__xludf.DUMMYFUNCTION(" TRANSPOSE( unique ( QUERY(DATOPRO,""select Col2 where Col1 = '""&amp;B1190&amp;""'"")))"),"")</f>
        <v/>
      </c>
    </row>
    <row r="1191">
      <c r="C1191" s="64" t="str">
        <f>IFERROR(__xludf.DUMMYFUNCTION(" TRANSPOSE( unique ( QUERY(DATOPRO,""select Col2 where Col1 = '""&amp;B1191&amp;""'"")))"),"")</f>
        <v/>
      </c>
    </row>
    <row r="1192">
      <c r="C1192" s="64" t="str">
        <f>IFERROR(__xludf.DUMMYFUNCTION(" TRANSPOSE( unique ( QUERY(DATOPRO,""select Col2 where Col1 = '""&amp;B1192&amp;""'"")))"),"")</f>
        <v/>
      </c>
    </row>
    <row r="1193">
      <c r="C1193" s="64" t="str">
        <f>IFERROR(__xludf.DUMMYFUNCTION(" TRANSPOSE( unique ( QUERY(DATOPRO,""select Col2 where Col1 = '""&amp;B1193&amp;""'"")))"),"")</f>
        <v/>
      </c>
    </row>
    <row r="1194">
      <c r="C1194" s="64" t="str">
        <f>IFERROR(__xludf.DUMMYFUNCTION(" TRANSPOSE( unique ( QUERY(DATOPRO,""select Col2 where Col1 = '""&amp;B1194&amp;""'"")))"),"")</f>
        <v/>
      </c>
    </row>
    <row r="1195">
      <c r="C1195" s="64" t="str">
        <f>IFERROR(__xludf.DUMMYFUNCTION(" TRANSPOSE( unique ( QUERY(DATOPRO,""select Col2 where Col1 = '""&amp;B1195&amp;""'"")))"),"")</f>
        <v/>
      </c>
    </row>
    <row r="1196">
      <c r="C1196" s="64" t="str">
        <f>IFERROR(__xludf.DUMMYFUNCTION(" TRANSPOSE( unique ( QUERY(DATOPRO,""select Col2 where Col1 = '""&amp;B1196&amp;""'"")))"),"")</f>
        <v/>
      </c>
    </row>
    <row r="1197">
      <c r="C1197" s="64" t="str">
        <f>IFERROR(__xludf.DUMMYFUNCTION(" TRANSPOSE( unique ( QUERY(DATOPRO,""select Col2 where Col1 = '""&amp;B1197&amp;""'"")))"),"")</f>
        <v/>
      </c>
    </row>
    <row r="1198">
      <c r="C1198" s="64" t="str">
        <f>IFERROR(__xludf.DUMMYFUNCTION(" TRANSPOSE( unique ( QUERY(DATOPRO,""select Col2 where Col1 = '""&amp;B1198&amp;""'"")))"),"")</f>
        <v/>
      </c>
    </row>
    <row r="1199">
      <c r="C1199" s="64" t="str">
        <f>IFERROR(__xludf.DUMMYFUNCTION(" TRANSPOSE( unique ( QUERY(DATOPRO,""select Col2 where Col1 = '""&amp;B1199&amp;""'"")))"),"")</f>
        <v/>
      </c>
    </row>
    <row r="1200">
      <c r="C1200" s="64" t="str">
        <f>IFERROR(__xludf.DUMMYFUNCTION(" TRANSPOSE( unique ( QUERY(DATOPRO,""select Col2 where Col1 = '""&amp;B1200&amp;""'"")))"),"")</f>
        <v/>
      </c>
    </row>
    <row r="1201">
      <c r="C1201" s="64" t="str">
        <f>IFERROR(__xludf.DUMMYFUNCTION(" TRANSPOSE( unique ( QUERY(DATOPRO,""select Col2 where Col1 = '""&amp;B1201&amp;""'"")))"),"")</f>
        <v/>
      </c>
    </row>
    <row r="1202">
      <c r="C1202" s="64" t="str">
        <f>IFERROR(__xludf.DUMMYFUNCTION(" TRANSPOSE( unique ( QUERY(DATOPRO,""select Col2 where Col1 = '""&amp;B1202&amp;""'"")))"),"")</f>
        <v/>
      </c>
    </row>
    <row r="1203">
      <c r="C1203" s="64" t="str">
        <f>IFERROR(__xludf.DUMMYFUNCTION(" TRANSPOSE( unique ( QUERY(DATOPRO,""select Col2 where Col1 = '""&amp;B1203&amp;""'"")))"),"")</f>
        <v/>
      </c>
    </row>
    <row r="1204">
      <c r="C1204" s="64" t="str">
        <f>IFERROR(__xludf.DUMMYFUNCTION(" TRANSPOSE( unique ( QUERY(DATOPRO,""select Col2 where Col1 = '""&amp;B1204&amp;""'"")))"),"")</f>
        <v/>
      </c>
    </row>
    <row r="1205">
      <c r="C1205" s="64" t="str">
        <f>IFERROR(__xludf.DUMMYFUNCTION(" TRANSPOSE( unique ( QUERY(DATOPRO,""select Col2 where Col1 = '""&amp;B1205&amp;""'"")))"),"")</f>
        <v/>
      </c>
    </row>
    <row r="1206">
      <c r="C1206" s="64" t="str">
        <f>IFERROR(__xludf.DUMMYFUNCTION(" TRANSPOSE( unique ( QUERY(DATOPRO,""select Col2 where Col1 = '""&amp;B1206&amp;""'"")))"),"")</f>
        <v/>
      </c>
    </row>
    <row r="1207">
      <c r="C1207" s="64" t="str">
        <f>IFERROR(__xludf.DUMMYFUNCTION(" TRANSPOSE( unique ( QUERY(DATOPRO,""select Col2 where Col1 = '""&amp;B1207&amp;""'"")))"),"")</f>
        <v/>
      </c>
    </row>
    <row r="1208">
      <c r="C1208" s="64" t="str">
        <f>IFERROR(__xludf.DUMMYFUNCTION(" TRANSPOSE( unique ( QUERY(DATOPRO,""select Col2 where Col1 = '""&amp;B1208&amp;""'"")))"),"")</f>
        <v/>
      </c>
    </row>
    <row r="1209">
      <c r="C1209" s="64" t="str">
        <f>IFERROR(__xludf.DUMMYFUNCTION(" TRANSPOSE( unique ( QUERY(DATOPRO,""select Col2 where Col1 = '""&amp;B1209&amp;""'"")))"),"")</f>
        <v/>
      </c>
    </row>
    <row r="1210">
      <c r="C1210" s="64" t="str">
        <f>IFERROR(__xludf.DUMMYFUNCTION(" TRANSPOSE( unique ( QUERY(DATOPRO,""select Col2 where Col1 = '""&amp;B1210&amp;""'"")))"),"")</f>
        <v/>
      </c>
    </row>
    <row r="1211">
      <c r="C1211" s="64" t="str">
        <f>IFERROR(__xludf.DUMMYFUNCTION(" TRANSPOSE( unique ( QUERY(DATOPRO,""select Col2 where Col1 = '""&amp;B1211&amp;""'"")))"),"")</f>
        <v/>
      </c>
    </row>
    <row r="1212">
      <c r="C1212" s="64" t="str">
        <f>IFERROR(__xludf.DUMMYFUNCTION(" TRANSPOSE( unique ( QUERY(DATOPRO,""select Col2 where Col1 = '""&amp;B1212&amp;""'"")))"),"")</f>
        <v/>
      </c>
    </row>
    <row r="1213">
      <c r="C1213" s="64" t="str">
        <f>IFERROR(__xludf.DUMMYFUNCTION(" TRANSPOSE( unique ( QUERY(DATOPRO,""select Col2 where Col1 = '""&amp;B1213&amp;""'"")))"),"")</f>
        <v/>
      </c>
    </row>
    <row r="1214">
      <c r="C1214" s="64" t="str">
        <f>IFERROR(__xludf.DUMMYFUNCTION(" TRANSPOSE( unique ( QUERY(DATOPRO,""select Col2 where Col1 = '""&amp;B1214&amp;""'"")))"),"")</f>
        <v/>
      </c>
    </row>
    <row r="1215">
      <c r="C1215" s="64" t="str">
        <f>IFERROR(__xludf.DUMMYFUNCTION(" TRANSPOSE( unique ( QUERY(DATOPRO,""select Col2 where Col1 = '""&amp;B1215&amp;""'"")))"),"")</f>
        <v/>
      </c>
    </row>
    <row r="1216">
      <c r="C1216" s="64" t="str">
        <f>IFERROR(__xludf.DUMMYFUNCTION(" TRANSPOSE( unique ( QUERY(DATOPRO,""select Col2 where Col1 = '""&amp;B1216&amp;""'"")))"),"")</f>
        <v/>
      </c>
    </row>
    <row r="1217">
      <c r="C1217" s="64" t="str">
        <f>IFERROR(__xludf.DUMMYFUNCTION(" TRANSPOSE( unique ( QUERY(DATOPRO,""select Col2 where Col1 = '""&amp;B1217&amp;""'"")))"),"")</f>
        <v/>
      </c>
    </row>
    <row r="1218">
      <c r="C1218" s="64" t="str">
        <f>IFERROR(__xludf.DUMMYFUNCTION(" TRANSPOSE( unique ( QUERY(DATOPRO,""select Col2 where Col1 = '""&amp;B1218&amp;""'"")))"),"")</f>
        <v/>
      </c>
    </row>
    <row r="1219">
      <c r="C1219" s="64" t="str">
        <f>IFERROR(__xludf.DUMMYFUNCTION(" TRANSPOSE( unique ( QUERY(DATOPRO,""select Col2 where Col1 = '""&amp;B1219&amp;""'"")))"),"")</f>
        <v/>
      </c>
    </row>
    <row r="1220">
      <c r="C1220" s="64" t="str">
        <f>IFERROR(__xludf.DUMMYFUNCTION(" TRANSPOSE( unique ( QUERY(DATOPRO,""select Col2 where Col1 = '""&amp;B1220&amp;""'"")))"),"")</f>
        <v/>
      </c>
    </row>
    <row r="1221">
      <c r="C1221" s="64" t="str">
        <f>IFERROR(__xludf.DUMMYFUNCTION(" TRANSPOSE( unique ( QUERY(DATOPRO,""select Col2 where Col1 = '""&amp;B1221&amp;""'"")))"),"")</f>
        <v/>
      </c>
    </row>
    <row r="1222">
      <c r="C1222" s="64" t="str">
        <f>IFERROR(__xludf.DUMMYFUNCTION(" TRANSPOSE( unique ( QUERY(DATOPRO,""select Col2 where Col1 = '""&amp;B1222&amp;""'"")))"),"")</f>
        <v/>
      </c>
    </row>
    <row r="1223">
      <c r="C1223" s="64" t="str">
        <f>IFERROR(__xludf.DUMMYFUNCTION(" TRANSPOSE( unique ( QUERY(DATOPRO,""select Col2 where Col1 = '""&amp;B1223&amp;""'"")))"),"")</f>
        <v/>
      </c>
    </row>
    <row r="1224">
      <c r="C1224" s="64" t="str">
        <f>IFERROR(__xludf.DUMMYFUNCTION(" TRANSPOSE( unique ( QUERY(DATOPRO,""select Col2 where Col1 = '""&amp;B1224&amp;""'"")))"),"")</f>
        <v/>
      </c>
    </row>
    <row r="1225">
      <c r="C1225" s="64" t="str">
        <f>IFERROR(__xludf.DUMMYFUNCTION(" TRANSPOSE( unique ( QUERY(DATOPRO,""select Col2 where Col1 = '""&amp;B1225&amp;""'"")))"),"")</f>
        <v/>
      </c>
    </row>
    <row r="1226">
      <c r="C1226" s="64" t="str">
        <f>IFERROR(__xludf.DUMMYFUNCTION(" TRANSPOSE( unique ( QUERY(DATOPRO,""select Col2 where Col1 = '""&amp;B1226&amp;""'"")))"),"")</f>
        <v/>
      </c>
    </row>
    <row r="1227">
      <c r="C1227" s="64" t="str">
        <f>IFERROR(__xludf.DUMMYFUNCTION(" TRANSPOSE( unique ( QUERY(DATOPRO,""select Col2 where Col1 = '""&amp;B1227&amp;""'"")))"),"")</f>
        <v/>
      </c>
    </row>
    <row r="1228">
      <c r="C1228" s="64" t="str">
        <f>IFERROR(__xludf.DUMMYFUNCTION(" TRANSPOSE( unique ( QUERY(DATOPRO,""select Col2 where Col1 = '""&amp;B1228&amp;""'"")))"),"")</f>
        <v/>
      </c>
    </row>
    <row r="1229">
      <c r="C1229" s="64" t="str">
        <f>IFERROR(__xludf.DUMMYFUNCTION(" TRANSPOSE( unique ( QUERY(DATOPRO,""select Col2 where Col1 = '""&amp;B1229&amp;""'"")))"),"")</f>
        <v/>
      </c>
    </row>
    <row r="1230">
      <c r="C1230" s="64" t="str">
        <f>IFERROR(__xludf.DUMMYFUNCTION(" TRANSPOSE( unique ( QUERY(DATOPRO,""select Col2 where Col1 = '""&amp;B1230&amp;""'"")))"),"")</f>
        <v/>
      </c>
    </row>
    <row r="1231">
      <c r="C1231" s="64" t="str">
        <f>IFERROR(__xludf.DUMMYFUNCTION(" TRANSPOSE( unique ( QUERY(DATOPRO,""select Col2 where Col1 = '""&amp;B1231&amp;""'"")))"),"")</f>
        <v/>
      </c>
    </row>
    <row r="1232">
      <c r="C1232" s="64" t="str">
        <f>IFERROR(__xludf.DUMMYFUNCTION(" TRANSPOSE( unique ( QUERY(DATOPRO,""select Col2 where Col1 = '""&amp;B1232&amp;""'"")))"),"")</f>
        <v/>
      </c>
    </row>
    <row r="1233">
      <c r="C1233" s="64" t="str">
        <f>IFERROR(__xludf.DUMMYFUNCTION(" TRANSPOSE( unique ( QUERY(DATOPRO,""select Col2 where Col1 = '""&amp;B1233&amp;""'"")))"),"")</f>
        <v/>
      </c>
    </row>
    <row r="1234">
      <c r="C1234" s="64" t="str">
        <f>IFERROR(__xludf.DUMMYFUNCTION(" TRANSPOSE( unique ( QUERY(DATOPRO,""select Col2 where Col1 = '""&amp;B1234&amp;""'"")))"),"")</f>
        <v/>
      </c>
    </row>
    <row r="1235">
      <c r="C1235" s="64" t="str">
        <f>IFERROR(__xludf.DUMMYFUNCTION(" TRANSPOSE( unique ( QUERY(DATOPRO,""select Col2 where Col1 = '""&amp;B1235&amp;""'"")))"),"")</f>
        <v/>
      </c>
    </row>
    <row r="1236">
      <c r="C1236" s="64" t="str">
        <f>IFERROR(__xludf.DUMMYFUNCTION(" TRANSPOSE( unique ( QUERY(DATOPRO,""select Col2 where Col1 = '""&amp;B1236&amp;""'"")))"),"")</f>
        <v/>
      </c>
    </row>
    <row r="1237">
      <c r="C1237" s="64" t="str">
        <f>IFERROR(__xludf.DUMMYFUNCTION(" TRANSPOSE( unique ( QUERY(DATOPRO,""select Col2 where Col1 = '""&amp;B1237&amp;""'"")))"),"")</f>
        <v/>
      </c>
    </row>
    <row r="1238">
      <c r="C1238" s="64" t="str">
        <f>IFERROR(__xludf.DUMMYFUNCTION(" TRANSPOSE( unique ( QUERY(DATOPRO,""select Col2 where Col1 = '""&amp;B1238&amp;""'"")))"),"")</f>
        <v/>
      </c>
    </row>
    <row r="1239">
      <c r="C1239" s="64" t="str">
        <f>IFERROR(__xludf.DUMMYFUNCTION(" TRANSPOSE( unique ( QUERY(DATOPRO,""select Col2 where Col1 = '""&amp;B1239&amp;""'"")))"),"")</f>
        <v/>
      </c>
    </row>
    <row r="1240">
      <c r="C1240" s="64" t="str">
        <f>IFERROR(__xludf.DUMMYFUNCTION(" TRANSPOSE( unique ( QUERY(DATOPRO,""select Col2 where Col1 = '""&amp;B1240&amp;""'"")))"),"")</f>
        <v/>
      </c>
    </row>
    <row r="1241">
      <c r="C1241" s="64" t="str">
        <f>IFERROR(__xludf.DUMMYFUNCTION(" TRANSPOSE( unique ( QUERY(DATOPRO,""select Col2 where Col1 = '""&amp;B1241&amp;""'"")))"),"")</f>
        <v/>
      </c>
    </row>
    <row r="1242">
      <c r="C1242" s="64" t="str">
        <f>IFERROR(__xludf.DUMMYFUNCTION(" TRANSPOSE( unique ( QUERY(DATOPRO,""select Col2 where Col1 = '""&amp;B1242&amp;""'"")))"),"")</f>
        <v/>
      </c>
    </row>
    <row r="1243">
      <c r="C1243" s="64" t="str">
        <f>IFERROR(__xludf.DUMMYFUNCTION(" TRANSPOSE( unique ( QUERY(DATOPRO,""select Col2 where Col1 = '""&amp;B1243&amp;""'"")))"),"")</f>
        <v/>
      </c>
    </row>
    <row r="1244">
      <c r="C1244" s="64" t="str">
        <f>IFERROR(__xludf.DUMMYFUNCTION(" TRANSPOSE( unique ( QUERY(DATOPRO,""select Col2 where Col1 = '""&amp;B1244&amp;""'"")))"),"")</f>
        <v/>
      </c>
    </row>
    <row r="1245">
      <c r="C1245" s="64" t="str">
        <f>IFERROR(__xludf.DUMMYFUNCTION(" TRANSPOSE( unique ( QUERY(DATOPRO,""select Col2 where Col1 = '""&amp;B1245&amp;""'"")))"),"")</f>
        <v/>
      </c>
    </row>
    <row r="1246">
      <c r="C1246" s="64" t="str">
        <f>IFERROR(__xludf.DUMMYFUNCTION(" TRANSPOSE( unique ( QUERY(DATOPRO,""select Col2 where Col1 = '""&amp;B1246&amp;""'"")))"),"")</f>
        <v/>
      </c>
    </row>
    <row r="1247">
      <c r="C1247" s="64" t="str">
        <f>IFERROR(__xludf.DUMMYFUNCTION(" TRANSPOSE( unique ( QUERY(DATOPRO,""select Col2 where Col1 = '""&amp;B1247&amp;""'"")))"),"")</f>
        <v/>
      </c>
    </row>
    <row r="1248">
      <c r="C1248" s="64" t="str">
        <f>IFERROR(__xludf.DUMMYFUNCTION(" TRANSPOSE( unique ( QUERY(DATOPRO,""select Col2 where Col1 = '""&amp;B1248&amp;""'"")))"),"")</f>
        <v/>
      </c>
    </row>
    <row r="1249">
      <c r="C1249" s="64" t="str">
        <f>IFERROR(__xludf.DUMMYFUNCTION(" TRANSPOSE( unique ( QUERY(DATOPRO,""select Col2 where Col1 = '""&amp;B1249&amp;""'"")))"),"")</f>
        <v/>
      </c>
    </row>
    <row r="1250">
      <c r="C1250" s="64" t="str">
        <f>IFERROR(__xludf.DUMMYFUNCTION(" TRANSPOSE( unique ( QUERY(DATOPRO,""select Col2 where Col1 = '""&amp;B1250&amp;""'"")))"),"")</f>
        <v/>
      </c>
    </row>
    <row r="1251">
      <c r="C1251" s="64" t="str">
        <f>IFERROR(__xludf.DUMMYFUNCTION(" TRANSPOSE( unique ( QUERY(DATOPRO,""select Col2 where Col1 = '""&amp;B1251&amp;""'"")))"),"")</f>
        <v/>
      </c>
    </row>
    <row r="1252">
      <c r="C1252" s="64" t="str">
        <f>IFERROR(__xludf.DUMMYFUNCTION(" TRANSPOSE( unique ( QUERY(DATOPRO,""select Col2 where Col1 = '""&amp;B1252&amp;""'"")))"),"")</f>
        <v/>
      </c>
    </row>
    <row r="1253">
      <c r="C1253" s="64" t="str">
        <f>IFERROR(__xludf.DUMMYFUNCTION(" TRANSPOSE( unique ( QUERY(DATOPRO,""select Col2 where Col1 = '""&amp;B1253&amp;""'"")))"),"")</f>
        <v/>
      </c>
    </row>
    <row r="1254">
      <c r="C1254" s="64" t="str">
        <f>IFERROR(__xludf.DUMMYFUNCTION(" TRANSPOSE( unique ( QUERY(DATOPRO,""select Col2 where Col1 = '""&amp;B1254&amp;""'"")))"),"")</f>
        <v/>
      </c>
    </row>
    <row r="1255">
      <c r="C1255" s="64" t="str">
        <f>IFERROR(__xludf.DUMMYFUNCTION(" TRANSPOSE( unique ( QUERY(DATOPRO,""select Col2 where Col1 = '""&amp;B1255&amp;""'"")))"),"")</f>
        <v/>
      </c>
    </row>
    <row r="1256">
      <c r="C1256" s="64" t="str">
        <f>IFERROR(__xludf.DUMMYFUNCTION(" TRANSPOSE( unique ( QUERY(DATOPRO,""select Col2 where Col1 = '""&amp;B1256&amp;""'"")))"),"")</f>
        <v/>
      </c>
    </row>
    <row r="1257">
      <c r="C1257" s="64" t="str">
        <f>IFERROR(__xludf.DUMMYFUNCTION(" TRANSPOSE( unique ( QUERY(DATOPRO,""select Col2 where Col1 = '""&amp;B1257&amp;""'"")))"),"")</f>
        <v/>
      </c>
    </row>
    <row r="1258">
      <c r="C1258" s="64" t="str">
        <f>IFERROR(__xludf.DUMMYFUNCTION(" TRANSPOSE( unique ( QUERY(DATOPRO,""select Col2 where Col1 = '""&amp;B1258&amp;""'"")))"),"")</f>
        <v/>
      </c>
    </row>
    <row r="1259">
      <c r="C1259" s="64" t="str">
        <f>IFERROR(__xludf.DUMMYFUNCTION(" TRANSPOSE( unique ( QUERY(DATOPRO,""select Col2 where Col1 = '""&amp;B1259&amp;""'"")))"),"")</f>
        <v/>
      </c>
    </row>
    <row r="1260">
      <c r="C1260" s="64" t="str">
        <f>IFERROR(__xludf.DUMMYFUNCTION(" TRANSPOSE( unique ( QUERY(DATOPRO,""select Col2 where Col1 = '""&amp;B1260&amp;""'"")))"),"")</f>
        <v/>
      </c>
    </row>
    <row r="1261">
      <c r="C1261" s="64" t="str">
        <f>IFERROR(__xludf.DUMMYFUNCTION(" TRANSPOSE( unique ( QUERY(DATOPRO,""select Col2 where Col1 = '""&amp;B1261&amp;""'"")))"),"")</f>
        <v/>
      </c>
    </row>
    <row r="1262">
      <c r="C1262" s="64" t="str">
        <f>IFERROR(__xludf.DUMMYFUNCTION(" TRANSPOSE( unique ( QUERY(DATOPRO,""select Col2 where Col1 = '""&amp;B1262&amp;""'"")))"),"")</f>
        <v/>
      </c>
    </row>
    <row r="1263">
      <c r="C1263" s="64" t="str">
        <f>IFERROR(__xludf.DUMMYFUNCTION(" TRANSPOSE( unique ( QUERY(DATOPRO,""select Col2 where Col1 = '""&amp;B1263&amp;""'"")))"),"")</f>
        <v/>
      </c>
    </row>
    <row r="1264">
      <c r="C1264" s="64" t="str">
        <f>IFERROR(__xludf.DUMMYFUNCTION(" TRANSPOSE( unique ( QUERY(DATOPRO,""select Col2 where Col1 = '""&amp;B1264&amp;""'"")))"),"")</f>
        <v/>
      </c>
    </row>
    <row r="1265">
      <c r="C1265" s="64" t="str">
        <f>IFERROR(__xludf.DUMMYFUNCTION(" TRANSPOSE( unique ( QUERY(DATOPRO,""select Col2 where Col1 = '""&amp;B1265&amp;""'"")))"),"")</f>
        <v/>
      </c>
    </row>
    <row r="1266">
      <c r="C1266" s="64" t="str">
        <f>IFERROR(__xludf.DUMMYFUNCTION(" TRANSPOSE( unique ( QUERY(DATOPRO,""select Col2 where Col1 = '""&amp;B1266&amp;""'"")))"),"")</f>
        <v/>
      </c>
    </row>
    <row r="1267">
      <c r="C1267" s="64" t="str">
        <f>IFERROR(__xludf.DUMMYFUNCTION(" TRANSPOSE( unique ( QUERY(DATOPRO,""select Col2 where Col1 = '""&amp;B1267&amp;""'"")))"),"")</f>
        <v/>
      </c>
    </row>
    <row r="1268">
      <c r="C1268" s="64" t="str">
        <f>IFERROR(__xludf.DUMMYFUNCTION(" TRANSPOSE( unique ( QUERY(DATOPRO,""select Col2 where Col1 = '""&amp;B1268&amp;""'"")))"),"")</f>
        <v/>
      </c>
    </row>
    <row r="1269">
      <c r="C1269" s="64" t="str">
        <f>IFERROR(__xludf.DUMMYFUNCTION(" TRANSPOSE( unique ( QUERY(DATOPRO,""select Col2 where Col1 = '""&amp;B1269&amp;""'"")))"),"")</f>
        <v/>
      </c>
    </row>
    <row r="1270">
      <c r="C1270" s="64" t="str">
        <f>IFERROR(__xludf.DUMMYFUNCTION(" TRANSPOSE( unique ( QUERY(DATOPRO,""select Col2 where Col1 = '""&amp;B1270&amp;""'"")))"),"")</f>
        <v/>
      </c>
    </row>
    <row r="1271">
      <c r="C1271" s="64" t="str">
        <f>IFERROR(__xludf.DUMMYFUNCTION(" TRANSPOSE( unique ( QUERY(DATOPRO,""select Col2 where Col1 = '""&amp;B1271&amp;""'"")))"),"")</f>
        <v/>
      </c>
    </row>
    <row r="1272">
      <c r="C1272" s="64" t="str">
        <f>IFERROR(__xludf.DUMMYFUNCTION(" TRANSPOSE( unique ( QUERY(DATOPRO,""select Col2 where Col1 = '""&amp;B1272&amp;""'"")))"),"")</f>
        <v/>
      </c>
    </row>
    <row r="1273">
      <c r="C1273" s="64" t="str">
        <f>IFERROR(__xludf.DUMMYFUNCTION(" TRANSPOSE( unique ( QUERY(DATOPRO,""select Col2 where Col1 = '""&amp;B1273&amp;""'"")))"),"")</f>
        <v/>
      </c>
    </row>
    <row r="1274">
      <c r="C1274" s="64" t="str">
        <f>IFERROR(__xludf.DUMMYFUNCTION(" TRANSPOSE( unique ( QUERY(DATOPRO,""select Col2 where Col1 = '""&amp;B1274&amp;""'"")))"),"")</f>
        <v/>
      </c>
    </row>
    <row r="1275">
      <c r="C1275" s="64" t="str">
        <f>IFERROR(__xludf.DUMMYFUNCTION(" TRANSPOSE( unique ( QUERY(DATOPRO,""select Col2 where Col1 = '""&amp;B1275&amp;""'"")))"),"")</f>
        <v/>
      </c>
    </row>
    <row r="1276">
      <c r="C1276" s="64" t="str">
        <f>IFERROR(__xludf.DUMMYFUNCTION(" TRANSPOSE( unique ( QUERY(DATOPRO,""select Col2 where Col1 = '""&amp;B1276&amp;""'"")))"),"")</f>
        <v/>
      </c>
    </row>
    <row r="1277">
      <c r="C1277" s="64" t="str">
        <f>IFERROR(__xludf.DUMMYFUNCTION(" TRANSPOSE( unique ( QUERY(DATOPRO,""select Col2 where Col1 = '""&amp;B1277&amp;""'"")))"),"")</f>
        <v/>
      </c>
    </row>
    <row r="1278">
      <c r="C1278" s="64" t="str">
        <f>IFERROR(__xludf.DUMMYFUNCTION(" TRANSPOSE( unique ( QUERY(DATOPRO,""select Col2 where Col1 = '""&amp;B1278&amp;""'"")))"),"")</f>
        <v/>
      </c>
    </row>
    <row r="1279">
      <c r="C1279" s="64" t="str">
        <f>IFERROR(__xludf.DUMMYFUNCTION(" TRANSPOSE( unique ( QUERY(DATOPRO,""select Col2 where Col1 = '""&amp;B1279&amp;""'"")))"),"")</f>
        <v/>
      </c>
    </row>
    <row r="1280">
      <c r="C1280" s="64" t="str">
        <f>IFERROR(__xludf.DUMMYFUNCTION(" TRANSPOSE( unique ( QUERY(DATOPRO,""select Col2 where Col1 = '""&amp;B1280&amp;""'"")))"),"")</f>
        <v/>
      </c>
    </row>
    <row r="1281">
      <c r="C1281" s="64" t="str">
        <f>IFERROR(__xludf.DUMMYFUNCTION(" TRANSPOSE( unique ( QUERY(DATOPRO,""select Col2 where Col1 = '""&amp;B1281&amp;""'"")))"),"")</f>
        <v/>
      </c>
    </row>
    <row r="1282">
      <c r="C1282" s="64" t="str">
        <f>IFERROR(__xludf.DUMMYFUNCTION(" TRANSPOSE( unique ( QUERY(DATOPRO,""select Col2 where Col1 = '""&amp;B1282&amp;""'"")))"),"")</f>
        <v/>
      </c>
    </row>
    <row r="1283">
      <c r="C1283" s="64" t="str">
        <f>IFERROR(__xludf.DUMMYFUNCTION(" TRANSPOSE( unique ( QUERY(DATOPRO,""select Col2 where Col1 = '""&amp;B1283&amp;""'"")))"),"")</f>
        <v/>
      </c>
    </row>
    <row r="1284">
      <c r="C1284" s="64" t="str">
        <f>IFERROR(__xludf.DUMMYFUNCTION(" TRANSPOSE( unique ( QUERY(DATOPRO,""select Col2 where Col1 = '""&amp;B1284&amp;""'"")))"),"")</f>
        <v/>
      </c>
    </row>
    <row r="1285">
      <c r="C1285" s="64" t="str">
        <f>IFERROR(__xludf.DUMMYFUNCTION(" TRANSPOSE( unique ( QUERY(DATOPRO,""select Col2 where Col1 = '""&amp;B1285&amp;""'"")))"),"")</f>
        <v/>
      </c>
    </row>
    <row r="1286">
      <c r="C1286" s="64" t="str">
        <f>IFERROR(__xludf.DUMMYFUNCTION(" TRANSPOSE( unique ( QUERY(DATOPRO,""select Col2 where Col1 = '""&amp;B1286&amp;""'"")))"),"")</f>
        <v/>
      </c>
    </row>
    <row r="1287">
      <c r="C1287" s="64" t="str">
        <f>IFERROR(__xludf.DUMMYFUNCTION(" TRANSPOSE( unique ( QUERY(DATOPRO,""select Col2 where Col1 = '""&amp;B1287&amp;""'"")))"),"")</f>
        <v/>
      </c>
    </row>
    <row r="1288">
      <c r="C1288" s="64" t="str">
        <f>IFERROR(__xludf.DUMMYFUNCTION(" TRANSPOSE( unique ( QUERY(DATOPRO,""select Col2 where Col1 = '""&amp;B1288&amp;""'"")))"),"")</f>
        <v/>
      </c>
    </row>
    <row r="1289">
      <c r="C1289" s="64" t="str">
        <f>IFERROR(__xludf.DUMMYFUNCTION(" TRANSPOSE( unique ( QUERY(DATOPRO,""select Col2 where Col1 = '""&amp;B1289&amp;""'"")))"),"")</f>
        <v/>
      </c>
    </row>
    <row r="1290">
      <c r="C1290" s="64" t="str">
        <f>IFERROR(__xludf.DUMMYFUNCTION(" TRANSPOSE( unique ( QUERY(DATOPRO,""select Col2 where Col1 = '""&amp;B1290&amp;""'"")))"),"")</f>
        <v/>
      </c>
    </row>
    <row r="1291">
      <c r="C1291" s="64" t="str">
        <f>IFERROR(__xludf.DUMMYFUNCTION(" TRANSPOSE( unique ( QUERY(DATOPRO,""select Col2 where Col1 = '""&amp;B1291&amp;""'"")))"),"")</f>
        <v/>
      </c>
    </row>
    <row r="1292">
      <c r="C1292" s="64" t="str">
        <f>IFERROR(__xludf.DUMMYFUNCTION(" TRANSPOSE( unique ( QUERY(DATOPRO,""select Col2 where Col1 = '""&amp;B1292&amp;""'"")))"),"")</f>
        <v/>
      </c>
    </row>
    <row r="1293">
      <c r="C1293" s="64" t="str">
        <f>IFERROR(__xludf.DUMMYFUNCTION(" TRANSPOSE( unique ( QUERY(DATOPRO,""select Col2 where Col1 = '""&amp;B1293&amp;""'"")))"),"")</f>
        <v/>
      </c>
    </row>
    <row r="1294">
      <c r="C1294" s="64" t="str">
        <f>IFERROR(__xludf.DUMMYFUNCTION(" TRANSPOSE( unique ( QUERY(DATOPRO,""select Col2 where Col1 = '""&amp;B1294&amp;""'"")))"),"")</f>
        <v/>
      </c>
    </row>
    <row r="1295">
      <c r="C1295" s="64" t="str">
        <f>IFERROR(__xludf.DUMMYFUNCTION(" TRANSPOSE( unique ( QUERY(DATOPRO,""select Col2 where Col1 = '""&amp;B1295&amp;""'"")))"),"")</f>
        <v/>
      </c>
    </row>
    <row r="1296">
      <c r="C1296" s="64" t="str">
        <f>IFERROR(__xludf.DUMMYFUNCTION(" TRANSPOSE( unique ( QUERY(DATOPRO,""select Col2 where Col1 = '""&amp;B1296&amp;""'"")))"),"")</f>
        <v/>
      </c>
    </row>
    <row r="1297">
      <c r="C1297" s="64" t="str">
        <f>IFERROR(__xludf.DUMMYFUNCTION(" TRANSPOSE( unique ( QUERY(DATOPRO,""select Col2 where Col1 = '""&amp;B1297&amp;""'"")))"),"")</f>
        <v/>
      </c>
    </row>
    <row r="1298">
      <c r="C1298" s="64" t="str">
        <f>IFERROR(__xludf.DUMMYFUNCTION(" TRANSPOSE( unique ( QUERY(DATOPRO,""select Col2 where Col1 = '""&amp;B1298&amp;""'"")))"),"")</f>
        <v/>
      </c>
    </row>
    <row r="1299">
      <c r="C1299" s="64" t="str">
        <f>IFERROR(__xludf.DUMMYFUNCTION(" TRANSPOSE( unique ( QUERY(DATOPRO,""select Col2 where Col1 = '""&amp;B1299&amp;""'"")))"),"")</f>
        <v/>
      </c>
    </row>
    <row r="1300">
      <c r="C1300" s="64" t="str">
        <f>IFERROR(__xludf.DUMMYFUNCTION(" TRANSPOSE( unique ( QUERY(DATOPRO,""select Col2 where Col1 = '""&amp;B1300&amp;""'"")))"),"")</f>
        <v/>
      </c>
    </row>
    <row r="1301">
      <c r="C1301" s="64" t="str">
        <f>IFERROR(__xludf.DUMMYFUNCTION(" TRANSPOSE( unique ( QUERY(DATOPRO,""select Col2 where Col1 = '""&amp;B1301&amp;""'"")))"),"")</f>
        <v/>
      </c>
    </row>
    <row r="1302">
      <c r="C1302" s="64" t="str">
        <f>IFERROR(__xludf.DUMMYFUNCTION(" TRANSPOSE( unique ( QUERY(DATOPRO,""select Col2 where Col1 = '""&amp;B1302&amp;""'"")))"),"")</f>
        <v/>
      </c>
    </row>
    <row r="1303">
      <c r="C1303" s="64" t="str">
        <f>IFERROR(__xludf.DUMMYFUNCTION(" TRANSPOSE( unique ( QUERY(DATOPRO,""select Col2 where Col1 = '""&amp;B1303&amp;""'"")))"),"")</f>
        <v/>
      </c>
    </row>
    <row r="1304">
      <c r="C1304" s="64" t="str">
        <f>IFERROR(__xludf.DUMMYFUNCTION(" TRANSPOSE( unique ( QUERY(DATOPRO,""select Col2 where Col1 = '""&amp;B1304&amp;""'"")))"),"")</f>
        <v/>
      </c>
    </row>
    <row r="1305">
      <c r="C1305" s="64" t="str">
        <f>IFERROR(__xludf.DUMMYFUNCTION(" TRANSPOSE( unique ( QUERY(DATOPRO,""select Col2 where Col1 = '""&amp;B1305&amp;""'"")))"),"")</f>
        <v/>
      </c>
    </row>
    <row r="1306">
      <c r="C1306" s="64" t="str">
        <f>IFERROR(__xludf.DUMMYFUNCTION(" TRANSPOSE( unique ( QUERY(DATOPRO,""select Col2 where Col1 = '""&amp;B1306&amp;""'"")))"),"")</f>
        <v/>
      </c>
    </row>
    <row r="1307">
      <c r="C1307" s="64" t="str">
        <f>IFERROR(__xludf.DUMMYFUNCTION(" TRANSPOSE( unique ( QUERY(DATOPRO,""select Col2 where Col1 = '""&amp;B1307&amp;""'"")))"),"")</f>
        <v/>
      </c>
    </row>
    <row r="1308">
      <c r="C1308" s="64" t="str">
        <f>IFERROR(__xludf.DUMMYFUNCTION(" TRANSPOSE( unique ( QUERY(DATOPRO,""select Col2 where Col1 = '""&amp;B1308&amp;""'"")))"),"")</f>
        <v/>
      </c>
    </row>
    <row r="1309">
      <c r="C1309" s="64" t="str">
        <f>IFERROR(__xludf.DUMMYFUNCTION(" TRANSPOSE( unique ( QUERY(DATOPRO,""select Col2 where Col1 = '""&amp;B1309&amp;""'"")))"),"")</f>
        <v/>
      </c>
    </row>
    <row r="1310">
      <c r="C1310" s="64" t="str">
        <f>IFERROR(__xludf.DUMMYFUNCTION(" TRANSPOSE( unique ( QUERY(DATOPRO,""select Col2 where Col1 = '""&amp;B1310&amp;""'"")))"),"")</f>
        <v/>
      </c>
    </row>
    <row r="1311">
      <c r="C1311" s="64" t="str">
        <f>IFERROR(__xludf.DUMMYFUNCTION(" TRANSPOSE( unique ( QUERY(DATOPRO,""select Col2 where Col1 = '""&amp;B1311&amp;""'"")))"),"")</f>
        <v/>
      </c>
    </row>
    <row r="1312">
      <c r="C1312" s="64" t="str">
        <f>IFERROR(__xludf.DUMMYFUNCTION(" TRANSPOSE( unique ( QUERY(DATOPRO,""select Col2 where Col1 = '""&amp;B1312&amp;""'"")))"),"")</f>
        <v/>
      </c>
    </row>
    <row r="1313">
      <c r="C1313" s="64" t="str">
        <f>IFERROR(__xludf.DUMMYFUNCTION(" TRANSPOSE( unique ( QUERY(DATOPRO,""select Col2 where Col1 = '""&amp;B1313&amp;""'"")))"),"")</f>
        <v/>
      </c>
    </row>
    <row r="1314">
      <c r="C1314" s="64" t="str">
        <f>IFERROR(__xludf.DUMMYFUNCTION(" TRANSPOSE( unique ( QUERY(DATOPRO,""select Col2 where Col1 = '""&amp;B1314&amp;""'"")))"),"")</f>
        <v/>
      </c>
    </row>
    <row r="1315">
      <c r="C1315" s="64" t="str">
        <f>IFERROR(__xludf.DUMMYFUNCTION(" TRANSPOSE( unique ( QUERY(DATOPRO,""select Col2 where Col1 = '""&amp;B1315&amp;""'"")))"),"")</f>
        <v/>
      </c>
    </row>
    <row r="1316">
      <c r="C1316" s="64" t="str">
        <f>IFERROR(__xludf.DUMMYFUNCTION(" TRANSPOSE( unique ( QUERY(DATOPRO,""select Col2 where Col1 = '""&amp;B1316&amp;""'"")))"),"")</f>
        <v/>
      </c>
    </row>
    <row r="1317">
      <c r="C1317" s="64" t="str">
        <f>IFERROR(__xludf.DUMMYFUNCTION(" TRANSPOSE( unique ( QUERY(DATOPRO,""select Col2 where Col1 = '""&amp;B1317&amp;""'"")))"),"")</f>
        <v/>
      </c>
    </row>
    <row r="1318">
      <c r="C1318" s="64" t="str">
        <f>IFERROR(__xludf.DUMMYFUNCTION(" TRANSPOSE( unique ( QUERY(DATOPRO,""select Col2 where Col1 = '""&amp;B1318&amp;""'"")))"),"")</f>
        <v/>
      </c>
    </row>
    <row r="1319">
      <c r="C1319" s="64" t="str">
        <f>IFERROR(__xludf.DUMMYFUNCTION(" TRANSPOSE( unique ( QUERY(DATOPRO,""select Col2 where Col1 = '""&amp;B1319&amp;""'"")))"),"")</f>
        <v/>
      </c>
    </row>
    <row r="1320">
      <c r="C1320" s="64" t="str">
        <f>IFERROR(__xludf.DUMMYFUNCTION(" TRANSPOSE( unique ( QUERY(DATOPRO,""select Col2 where Col1 = '""&amp;B1320&amp;""'"")))"),"")</f>
        <v/>
      </c>
    </row>
    <row r="1321">
      <c r="C1321" s="64" t="str">
        <f>IFERROR(__xludf.DUMMYFUNCTION(" TRANSPOSE( unique ( QUERY(DATOPRO,""select Col2 where Col1 = '""&amp;B1321&amp;""'"")))"),"")</f>
        <v/>
      </c>
    </row>
    <row r="1322">
      <c r="C1322" s="64" t="str">
        <f>IFERROR(__xludf.DUMMYFUNCTION(" TRANSPOSE( unique ( QUERY(DATOPRO,""select Col2 where Col1 = '""&amp;B1322&amp;""'"")))"),"")</f>
        <v/>
      </c>
    </row>
    <row r="1323">
      <c r="C1323" s="64" t="str">
        <f>IFERROR(__xludf.DUMMYFUNCTION(" TRANSPOSE( unique ( QUERY(DATOPRO,""select Col2 where Col1 = '""&amp;B1323&amp;""'"")))"),"")</f>
        <v/>
      </c>
    </row>
    <row r="1324">
      <c r="C1324" s="64" t="str">
        <f>IFERROR(__xludf.DUMMYFUNCTION(" TRANSPOSE( unique ( QUERY(DATOPRO,""select Col2 where Col1 = '""&amp;B1324&amp;""'"")))"),"")</f>
        <v/>
      </c>
    </row>
    <row r="1325">
      <c r="C1325" s="64" t="str">
        <f>IFERROR(__xludf.DUMMYFUNCTION(" TRANSPOSE( unique ( QUERY(DATOPRO,""select Col2 where Col1 = '""&amp;B1325&amp;""'"")))"),"")</f>
        <v/>
      </c>
    </row>
    <row r="1326">
      <c r="C1326" s="64" t="str">
        <f>IFERROR(__xludf.DUMMYFUNCTION(" TRANSPOSE( unique ( QUERY(DATOPRO,""select Col2 where Col1 = '""&amp;B1326&amp;""'"")))"),"")</f>
        <v/>
      </c>
    </row>
    <row r="1327">
      <c r="C1327" s="64" t="str">
        <f>IFERROR(__xludf.DUMMYFUNCTION(" TRANSPOSE( unique ( QUERY(DATOPRO,""select Col2 where Col1 = '""&amp;B1327&amp;""'"")))"),"")</f>
        <v/>
      </c>
    </row>
    <row r="1328">
      <c r="C1328" s="64" t="str">
        <f>IFERROR(__xludf.DUMMYFUNCTION(" TRANSPOSE( unique ( QUERY(DATOPRO,""select Col2 where Col1 = '""&amp;B1328&amp;""'"")))"),"")</f>
        <v/>
      </c>
    </row>
    <row r="1329">
      <c r="C1329" s="64" t="str">
        <f>IFERROR(__xludf.DUMMYFUNCTION(" TRANSPOSE( unique ( QUERY(DATOPRO,""select Col2 where Col1 = '""&amp;B1329&amp;""'"")))"),"")</f>
        <v/>
      </c>
    </row>
    <row r="1330">
      <c r="C1330" s="64" t="str">
        <f>IFERROR(__xludf.DUMMYFUNCTION(" TRANSPOSE( unique ( QUERY(DATOPRO,""select Col2 where Col1 = '""&amp;B1330&amp;""'"")))"),"")</f>
        <v/>
      </c>
    </row>
    <row r="1331">
      <c r="C1331" s="64" t="str">
        <f>IFERROR(__xludf.DUMMYFUNCTION(" TRANSPOSE( unique ( QUERY(DATOPRO,""select Col2 where Col1 = '""&amp;B1331&amp;""'"")))"),"")</f>
        <v/>
      </c>
    </row>
    <row r="1332">
      <c r="C1332" s="64" t="str">
        <f>IFERROR(__xludf.DUMMYFUNCTION(" TRANSPOSE( unique ( QUERY(DATOPRO,""select Col2 where Col1 = '""&amp;B1332&amp;""'"")))"),"")</f>
        <v/>
      </c>
    </row>
    <row r="1333">
      <c r="C1333" s="64" t="str">
        <f>IFERROR(__xludf.DUMMYFUNCTION(" TRANSPOSE( unique ( QUERY(DATOPRO,""select Col2 where Col1 = '""&amp;B1333&amp;""'"")))"),"")</f>
        <v/>
      </c>
    </row>
    <row r="1334">
      <c r="C1334" s="64" t="str">
        <f>IFERROR(__xludf.DUMMYFUNCTION(" TRANSPOSE( unique ( QUERY(DATOPRO,""select Col2 where Col1 = '""&amp;B1334&amp;""'"")))"),"")</f>
        <v/>
      </c>
    </row>
    <row r="1335">
      <c r="C1335" s="64" t="str">
        <f>IFERROR(__xludf.DUMMYFUNCTION(" TRANSPOSE( unique ( QUERY(DATOPRO,""select Col2 where Col1 = '""&amp;B1335&amp;""'"")))"),"")</f>
        <v/>
      </c>
    </row>
    <row r="1336">
      <c r="C1336" s="64" t="str">
        <f>IFERROR(__xludf.DUMMYFUNCTION(" TRANSPOSE( unique ( QUERY(DATOPRO,""select Col2 where Col1 = '""&amp;B1336&amp;""'"")))"),"")</f>
        <v/>
      </c>
    </row>
    <row r="1337">
      <c r="C1337" s="64" t="str">
        <f>IFERROR(__xludf.DUMMYFUNCTION(" TRANSPOSE( unique ( QUERY(DATOPRO,""select Col2 where Col1 = '""&amp;B1337&amp;""'"")))"),"")</f>
        <v/>
      </c>
    </row>
    <row r="1338">
      <c r="C1338" s="64" t="str">
        <f>IFERROR(__xludf.DUMMYFUNCTION(" TRANSPOSE( unique ( QUERY(DATOPRO,""select Col2 where Col1 = '""&amp;B1338&amp;""'"")))"),"")</f>
        <v/>
      </c>
    </row>
    <row r="1339">
      <c r="C1339" s="64" t="str">
        <f>IFERROR(__xludf.DUMMYFUNCTION(" TRANSPOSE( unique ( QUERY(DATOPRO,""select Col2 where Col1 = '""&amp;B1339&amp;""'"")))"),"")</f>
        <v/>
      </c>
    </row>
    <row r="1340">
      <c r="C1340" s="64" t="str">
        <f>IFERROR(__xludf.DUMMYFUNCTION(" TRANSPOSE( unique ( QUERY(DATOPRO,""select Col2 where Col1 = '""&amp;B1340&amp;""'"")))"),"")</f>
        <v/>
      </c>
    </row>
    <row r="1341">
      <c r="C1341" s="64" t="str">
        <f>IFERROR(__xludf.DUMMYFUNCTION(" TRANSPOSE( unique ( QUERY(DATOPRO,""select Col2 where Col1 = '""&amp;B1341&amp;""'"")))"),"")</f>
        <v/>
      </c>
    </row>
    <row r="1342">
      <c r="C1342" s="64" t="str">
        <f>IFERROR(__xludf.DUMMYFUNCTION(" TRANSPOSE( unique ( QUERY(DATOPRO,""select Col2 where Col1 = '""&amp;B1342&amp;""'"")))"),"")</f>
        <v/>
      </c>
    </row>
    <row r="1343">
      <c r="C1343" s="64" t="str">
        <f>IFERROR(__xludf.DUMMYFUNCTION(" TRANSPOSE( unique ( QUERY(DATOPRO,""select Col2 where Col1 = '""&amp;B1343&amp;""'"")))"),"")</f>
        <v/>
      </c>
    </row>
    <row r="1344">
      <c r="C1344" s="64" t="str">
        <f>IFERROR(__xludf.DUMMYFUNCTION(" TRANSPOSE( unique ( QUERY(DATOPRO,""select Col2 where Col1 = '""&amp;B1344&amp;""'"")))"),"")</f>
        <v/>
      </c>
    </row>
    <row r="1345">
      <c r="C1345" s="64" t="str">
        <f>IFERROR(__xludf.DUMMYFUNCTION(" TRANSPOSE( unique ( QUERY(DATOPRO,""select Col2 where Col1 = '""&amp;B1345&amp;""'"")))"),"")</f>
        <v/>
      </c>
    </row>
    <row r="1346">
      <c r="C1346" s="64" t="str">
        <f>IFERROR(__xludf.DUMMYFUNCTION(" TRANSPOSE( unique ( QUERY(DATOPRO,""select Col2 where Col1 = '""&amp;B1346&amp;""'"")))"),"")</f>
        <v/>
      </c>
    </row>
    <row r="1347">
      <c r="C1347" s="64" t="str">
        <f>IFERROR(__xludf.DUMMYFUNCTION(" TRANSPOSE( unique ( QUERY(DATOPRO,""select Col2 where Col1 = '""&amp;B1347&amp;""'"")))"),"")</f>
        <v/>
      </c>
    </row>
    <row r="1348">
      <c r="C1348" s="64" t="str">
        <f>IFERROR(__xludf.DUMMYFUNCTION(" TRANSPOSE( unique ( QUERY(DATOPRO,""select Col2 where Col1 = '""&amp;B1348&amp;""'"")))"),"")</f>
        <v/>
      </c>
    </row>
    <row r="1349">
      <c r="C1349" s="64" t="str">
        <f>IFERROR(__xludf.DUMMYFUNCTION(" TRANSPOSE( unique ( QUERY(DATOPRO,""select Col2 where Col1 = '""&amp;B1349&amp;""'"")))"),"")</f>
        <v/>
      </c>
    </row>
    <row r="1350">
      <c r="C1350" s="64" t="str">
        <f>IFERROR(__xludf.DUMMYFUNCTION(" TRANSPOSE( unique ( QUERY(DATOPRO,""select Col2 where Col1 = '""&amp;B1350&amp;""'"")))"),"")</f>
        <v/>
      </c>
    </row>
    <row r="1351">
      <c r="C1351" s="64" t="str">
        <f>IFERROR(__xludf.DUMMYFUNCTION(" TRANSPOSE( unique ( QUERY(DATOPRO,""select Col2 where Col1 = '""&amp;B1351&amp;""'"")))"),"")</f>
        <v/>
      </c>
    </row>
    <row r="1352">
      <c r="C1352" s="64" t="str">
        <f>IFERROR(__xludf.DUMMYFUNCTION(" TRANSPOSE( unique ( QUERY(DATOPRO,""select Col2 where Col1 = '""&amp;B1352&amp;""'"")))"),"")</f>
        <v/>
      </c>
    </row>
    <row r="1353">
      <c r="C1353" s="64" t="str">
        <f>IFERROR(__xludf.DUMMYFUNCTION(" TRANSPOSE( unique ( QUERY(DATOPRO,""select Col2 where Col1 = '""&amp;B1353&amp;""'"")))"),"")</f>
        <v/>
      </c>
    </row>
    <row r="1354">
      <c r="C1354" s="64" t="str">
        <f>IFERROR(__xludf.DUMMYFUNCTION(" TRANSPOSE( unique ( QUERY(DATOPRO,""select Col2 where Col1 = '""&amp;B1354&amp;""'"")))"),"")</f>
        <v/>
      </c>
    </row>
    <row r="1355">
      <c r="C1355" s="64" t="str">
        <f>IFERROR(__xludf.DUMMYFUNCTION(" TRANSPOSE( unique ( QUERY(DATOPRO,""select Col2 where Col1 = '""&amp;B1355&amp;""'"")))"),"")</f>
        <v/>
      </c>
    </row>
    <row r="1356">
      <c r="C1356" s="64" t="str">
        <f>IFERROR(__xludf.DUMMYFUNCTION(" TRANSPOSE( unique ( QUERY(DATOPRO,""select Col2 where Col1 = '""&amp;B1356&amp;""'"")))"),"")</f>
        <v/>
      </c>
    </row>
    <row r="1357">
      <c r="C1357" s="64" t="str">
        <f>IFERROR(__xludf.DUMMYFUNCTION(" TRANSPOSE( unique ( QUERY(DATOPRO,""select Col2 where Col1 = '""&amp;B1357&amp;""'"")))"),"")</f>
        <v/>
      </c>
    </row>
    <row r="1358">
      <c r="C1358" s="64" t="str">
        <f>IFERROR(__xludf.DUMMYFUNCTION(" TRANSPOSE( unique ( QUERY(DATOPRO,""select Col2 where Col1 = '""&amp;B1358&amp;""'"")))"),"")</f>
        <v/>
      </c>
    </row>
    <row r="1359">
      <c r="C1359" s="64" t="str">
        <f>IFERROR(__xludf.DUMMYFUNCTION(" TRANSPOSE( unique ( QUERY(DATOPRO,""select Col2 where Col1 = '""&amp;B1359&amp;""'"")))"),"")</f>
        <v/>
      </c>
    </row>
    <row r="1360">
      <c r="C1360" s="64" t="str">
        <f>IFERROR(__xludf.DUMMYFUNCTION(" TRANSPOSE( unique ( QUERY(DATOPRO,""select Col2 where Col1 = '""&amp;B1360&amp;""'"")))"),"")</f>
        <v/>
      </c>
    </row>
    <row r="1361">
      <c r="C1361" s="64" t="str">
        <f>IFERROR(__xludf.DUMMYFUNCTION(" TRANSPOSE( unique ( QUERY(DATOPRO,""select Col2 where Col1 = '""&amp;B1361&amp;""'"")))"),"")</f>
        <v/>
      </c>
    </row>
    <row r="1362">
      <c r="C1362" s="64" t="str">
        <f>IFERROR(__xludf.DUMMYFUNCTION(" TRANSPOSE( unique ( QUERY(DATOPRO,""select Col2 where Col1 = '""&amp;B1362&amp;""'"")))"),"")</f>
        <v/>
      </c>
    </row>
    <row r="1363">
      <c r="C1363" s="64" t="str">
        <f>IFERROR(__xludf.DUMMYFUNCTION(" TRANSPOSE( unique ( QUERY(DATOPRO,""select Col2 where Col1 = '""&amp;B1363&amp;""'"")))"),"")</f>
        <v/>
      </c>
    </row>
    <row r="1364">
      <c r="C1364" s="64" t="str">
        <f>IFERROR(__xludf.DUMMYFUNCTION(" TRANSPOSE( unique ( QUERY(DATOPRO,""select Col2 where Col1 = '""&amp;B1364&amp;""'"")))"),"")</f>
        <v/>
      </c>
    </row>
    <row r="1365">
      <c r="C1365" s="64" t="str">
        <f>IFERROR(__xludf.DUMMYFUNCTION(" TRANSPOSE( unique ( QUERY(DATOPRO,""select Col2 where Col1 = '""&amp;B1365&amp;""'"")))"),"")</f>
        <v/>
      </c>
    </row>
    <row r="1366">
      <c r="C1366" s="64" t="str">
        <f>IFERROR(__xludf.DUMMYFUNCTION(" TRANSPOSE( unique ( QUERY(DATOPRO,""select Col2 where Col1 = '""&amp;B1366&amp;""'"")))"),"")</f>
        <v/>
      </c>
    </row>
    <row r="1367">
      <c r="C1367" s="64" t="str">
        <f>IFERROR(__xludf.DUMMYFUNCTION(" TRANSPOSE( unique ( QUERY(DATOPRO,""select Col2 where Col1 = '""&amp;B1367&amp;""'"")))"),"")</f>
        <v/>
      </c>
    </row>
    <row r="1368">
      <c r="C1368" s="64" t="str">
        <f>IFERROR(__xludf.DUMMYFUNCTION(" TRANSPOSE( unique ( QUERY(DATOPRO,""select Col2 where Col1 = '""&amp;B1368&amp;""'"")))"),"")</f>
        <v/>
      </c>
    </row>
    <row r="1369">
      <c r="C1369" s="64" t="str">
        <f>IFERROR(__xludf.DUMMYFUNCTION(" TRANSPOSE( unique ( QUERY(DATOPRO,""select Col2 where Col1 = '""&amp;B1369&amp;""'"")))"),"")</f>
        <v/>
      </c>
    </row>
    <row r="1370">
      <c r="C1370" s="64" t="str">
        <f>IFERROR(__xludf.DUMMYFUNCTION(" TRANSPOSE( unique ( QUERY(DATOPRO,""select Col2 where Col1 = '""&amp;B1370&amp;""'"")))"),"")</f>
        <v/>
      </c>
    </row>
    <row r="1371">
      <c r="C1371" s="64" t="str">
        <f>IFERROR(__xludf.DUMMYFUNCTION(" TRANSPOSE( unique ( QUERY(DATOPRO,""select Col2 where Col1 = '""&amp;B1371&amp;""'"")))"),"")</f>
        <v/>
      </c>
    </row>
    <row r="1372">
      <c r="C1372" s="64" t="str">
        <f>IFERROR(__xludf.DUMMYFUNCTION(" TRANSPOSE( unique ( QUERY(DATOPRO,""select Col2 where Col1 = '""&amp;B1372&amp;""'"")))"),"")</f>
        <v/>
      </c>
    </row>
    <row r="1373">
      <c r="C1373" s="64" t="str">
        <f>IFERROR(__xludf.DUMMYFUNCTION(" TRANSPOSE( unique ( QUERY(DATOPRO,""select Col2 where Col1 = '""&amp;B1373&amp;""'"")))"),"")</f>
        <v/>
      </c>
    </row>
    <row r="1374">
      <c r="C1374" s="64" t="str">
        <f>IFERROR(__xludf.DUMMYFUNCTION(" TRANSPOSE( unique ( QUERY(DATOPRO,""select Col2 where Col1 = '""&amp;B1374&amp;""'"")))"),"")</f>
        <v/>
      </c>
    </row>
    <row r="1375">
      <c r="C1375" s="64" t="str">
        <f>IFERROR(__xludf.DUMMYFUNCTION(" TRANSPOSE( unique ( QUERY(DATOPRO,""select Col2 where Col1 = '""&amp;B1375&amp;""'"")))"),"")</f>
        <v/>
      </c>
    </row>
    <row r="1376">
      <c r="C1376" s="64" t="str">
        <f>IFERROR(__xludf.DUMMYFUNCTION(" TRANSPOSE( unique ( QUERY(DATOPRO,""select Col2 where Col1 = '""&amp;B1376&amp;""'"")))"),"")</f>
        <v/>
      </c>
    </row>
    <row r="1377">
      <c r="C1377" s="64" t="str">
        <f>IFERROR(__xludf.DUMMYFUNCTION(" TRANSPOSE( unique ( QUERY(DATOPRO,""select Col2 where Col1 = '""&amp;B1377&amp;""'"")))"),"")</f>
        <v/>
      </c>
    </row>
    <row r="1378">
      <c r="C1378" s="64" t="str">
        <f>IFERROR(__xludf.DUMMYFUNCTION(" TRANSPOSE( unique ( QUERY(DATOPRO,""select Col2 where Col1 = '""&amp;B1378&amp;""'"")))"),"")</f>
        <v/>
      </c>
    </row>
    <row r="1379">
      <c r="C1379" s="64" t="str">
        <f>IFERROR(__xludf.DUMMYFUNCTION(" TRANSPOSE( unique ( QUERY(DATOPRO,""select Col2 where Col1 = '""&amp;B1379&amp;""'"")))"),"")</f>
        <v/>
      </c>
    </row>
    <row r="1380">
      <c r="C1380" s="64" t="str">
        <f>IFERROR(__xludf.DUMMYFUNCTION(" TRANSPOSE( unique ( QUERY(DATOPRO,""select Col2 where Col1 = '""&amp;B1380&amp;""'"")))"),"")</f>
        <v/>
      </c>
    </row>
    <row r="1381">
      <c r="C1381" s="64" t="str">
        <f>IFERROR(__xludf.DUMMYFUNCTION(" TRANSPOSE( unique ( QUERY(DATOPRO,""select Col2 where Col1 = '""&amp;B1381&amp;""'"")))"),"")</f>
        <v/>
      </c>
    </row>
    <row r="1382">
      <c r="C1382" s="64" t="str">
        <f>IFERROR(__xludf.DUMMYFUNCTION(" TRANSPOSE( unique ( QUERY(DATOPRO,""select Col2 where Col1 = '""&amp;B1382&amp;""'"")))"),"")</f>
        <v/>
      </c>
    </row>
    <row r="1383">
      <c r="C1383" s="64" t="str">
        <f>IFERROR(__xludf.DUMMYFUNCTION(" TRANSPOSE( unique ( QUERY(DATOPRO,""select Col2 where Col1 = '""&amp;B1383&amp;""'"")))"),"")</f>
        <v/>
      </c>
    </row>
    <row r="1384">
      <c r="C1384" s="64" t="str">
        <f>IFERROR(__xludf.DUMMYFUNCTION(" TRANSPOSE( unique ( QUERY(DATOPRO,""select Col2 where Col1 = '""&amp;B1384&amp;""'"")))"),"")</f>
        <v/>
      </c>
    </row>
    <row r="1385">
      <c r="C1385" s="64" t="str">
        <f>IFERROR(__xludf.DUMMYFUNCTION(" TRANSPOSE( unique ( QUERY(DATOPRO,""select Col2 where Col1 = '""&amp;B1385&amp;""'"")))"),"")</f>
        <v/>
      </c>
    </row>
    <row r="1386">
      <c r="C1386" s="64" t="str">
        <f>IFERROR(__xludf.DUMMYFUNCTION(" TRANSPOSE( unique ( QUERY(DATOPRO,""select Col2 where Col1 = '""&amp;B1386&amp;""'"")))"),"")</f>
        <v/>
      </c>
    </row>
    <row r="1387">
      <c r="C1387" s="64" t="str">
        <f>IFERROR(__xludf.DUMMYFUNCTION(" TRANSPOSE( unique ( QUERY(DATOPRO,""select Col2 where Col1 = '""&amp;B1387&amp;""'"")))"),"")</f>
        <v/>
      </c>
    </row>
    <row r="1388">
      <c r="C1388" s="64" t="str">
        <f>IFERROR(__xludf.DUMMYFUNCTION(" TRANSPOSE( unique ( QUERY(DATOPRO,""select Col2 where Col1 = '""&amp;B1388&amp;""'"")))"),"")</f>
        <v/>
      </c>
    </row>
    <row r="1389">
      <c r="C1389" s="64" t="str">
        <f>IFERROR(__xludf.DUMMYFUNCTION(" TRANSPOSE( unique ( QUERY(DATOPRO,""select Col2 where Col1 = '""&amp;B1389&amp;""'"")))"),"")</f>
        <v/>
      </c>
    </row>
    <row r="1390">
      <c r="C1390" s="64" t="str">
        <f>IFERROR(__xludf.DUMMYFUNCTION(" TRANSPOSE( unique ( QUERY(DATOPRO,""select Col2 where Col1 = '""&amp;B1390&amp;""'"")))"),"")</f>
        <v/>
      </c>
    </row>
    <row r="1391">
      <c r="C1391" s="64" t="str">
        <f>IFERROR(__xludf.DUMMYFUNCTION(" TRANSPOSE( unique ( QUERY(DATOPRO,""select Col2 where Col1 = '""&amp;B1391&amp;""'"")))"),"")</f>
        <v/>
      </c>
    </row>
    <row r="1392">
      <c r="C1392" s="64" t="str">
        <f>IFERROR(__xludf.DUMMYFUNCTION(" TRANSPOSE( unique ( QUERY(DATOPRO,""select Col2 where Col1 = '""&amp;B1392&amp;""'"")))"),"")</f>
        <v/>
      </c>
    </row>
    <row r="1393">
      <c r="C1393" s="64" t="str">
        <f>IFERROR(__xludf.DUMMYFUNCTION(" TRANSPOSE( unique ( QUERY(DATOPRO,""select Col2 where Col1 = '""&amp;B1393&amp;""'"")))"),"")</f>
        <v/>
      </c>
    </row>
    <row r="1394">
      <c r="C1394" s="64" t="str">
        <f>IFERROR(__xludf.DUMMYFUNCTION(" TRANSPOSE( unique ( QUERY(DATOPRO,""select Col2 where Col1 = '""&amp;B1394&amp;""'"")))"),"")</f>
        <v/>
      </c>
    </row>
    <row r="1395">
      <c r="C1395" s="64" t="str">
        <f>IFERROR(__xludf.DUMMYFUNCTION(" TRANSPOSE( unique ( QUERY(DATOPRO,""select Col2 where Col1 = '""&amp;B1395&amp;""'"")))"),"")</f>
        <v/>
      </c>
    </row>
    <row r="1396">
      <c r="C1396" s="64" t="str">
        <f>IFERROR(__xludf.DUMMYFUNCTION(" TRANSPOSE( unique ( QUERY(DATOPRO,""select Col2 where Col1 = '""&amp;B1396&amp;""'"")))"),"")</f>
        <v/>
      </c>
    </row>
    <row r="1397">
      <c r="C1397" s="64" t="str">
        <f>IFERROR(__xludf.DUMMYFUNCTION(" TRANSPOSE( unique ( QUERY(DATOPRO,""select Col2 where Col1 = '""&amp;B1397&amp;""'"")))"),"")</f>
        <v/>
      </c>
    </row>
    <row r="1398">
      <c r="C1398" s="64" t="str">
        <f>IFERROR(__xludf.DUMMYFUNCTION(" TRANSPOSE( unique ( QUERY(DATOPRO,""select Col2 where Col1 = '""&amp;B1398&amp;""'"")))"),"")</f>
        <v/>
      </c>
    </row>
    <row r="1399">
      <c r="C1399" s="64" t="str">
        <f>IFERROR(__xludf.DUMMYFUNCTION(" TRANSPOSE( unique ( QUERY(DATOPRO,""select Col2 where Col1 = '""&amp;B1399&amp;""'"")))"),"")</f>
        <v/>
      </c>
    </row>
    <row r="1400">
      <c r="C1400" s="64" t="str">
        <f>IFERROR(__xludf.DUMMYFUNCTION(" TRANSPOSE( unique ( QUERY(DATOPRO,""select Col2 where Col1 = '""&amp;B1400&amp;""'"")))"),"")</f>
        <v/>
      </c>
    </row>
    <row r="1401">
      <c r="C1401" s="64" t="str">
        <f>IFERROR(__xludf.DUMMYFUNCTION(" TRANSPOSE( unique ( QUERY(DATOPRO,""select Col2 where Col1 = '""&amp;B1401&amp;""'"")))"),"")</f>
        <v/>
      </c>
    </row>
    <row r="1402">
      <c r="C1402" s="64" t="str">
        <f>IFERROR(__xludf.DUMMYFUNCTION(" TRANSPOSE( unique ( QUERY(DATOPRO,""select Col2 where Col1 = '""&amp;B1402&amp;""'"")))"),"")</f>
        <v/>
      </c>
    </row>
    <row r="1403">
      <c r="C1403" s="64" t="str">
        <f>IFERROR(__xludf.DUMMYFUNCTION(" TRANSPOSE( unique ( QUERY(DATOPRO,""select Col2 where Col1 = '""&amp;B1403&amp;""'"")))"),"")</f>
        <v/>
      </c>
    </row>
    <row r="1404">
      <c r="C1404" s="64" t="str">
        <f>IFERROR(__xludf.DUMMYFUNCTION(" TRANSPOSE( unique ( QUERY(DATOPRO,""select Col2 where Col1 = '""&amp;B1404&amp;""'"")))"),"")</f>
        <v/>
      </c>
    </row>
    <row r="1405">
      <c r="C1405" s="64" t="str">
        <f>IFERROR(__xludf.DUMMYFUNCTION(" TRANSPOSE( unique ( QUERY(DATOPRO,""select Col2 where Col1 = '""&amp;B1405&amp;""'"")))"),"")</f>
        <v/>
      </c>
    </row>
    <row r="1406">
      <c r="C1406" s="64" t="str">
        <f>IFERROR(__xludf.DUMMYFUNCTION(" TRANSPOSE( unique ( QUERY(DATOPRO,""select Col2 where Col1 = '""&amp;B1406&amp;""'"")))"),"")</f>
        <v/>
      </c>
    </row>
    <row r="1407">
      <c r="C1407" s="64" t="str">
        <f>IFERROR(__xludf.DUMMYFUNCTION(" TRANSPOSE( unique ( QUERY(DATOPRO,""select Col2 where Col1 = '""&amp;B1407&amp;""'"")))"),"")</f>
        <v/>
      </c>
    </row>
    <row r="1408">
      <c r="C1408" s="64" t="str">
        <f>IFERROR(__xludf.DUMMYFUNCTION(" TRANSPOSE( unique ( QUERY(DATOPRO,""select Col2 where Col1 = '""&amp;B1408&amp;""'"")))"),"")</f>
        <v/>
      </c>
    </row>
    <row r="1409">
      <c r="C1409" s="64" t="str">
        <f>IFERROR(__xludf.DUMMYFUNCTION(" TRANSPOSE( unique ( QUERY(DATOPRO,""select Col2 where Col1 = '""&amp;B1409&amp;""'"")))"),"")</f>
        <v/>
      </c>
    </row>
    <row r="1410">
      <c r="C1410" s="64" t="str">
        <f>IFERROR(__xludf.DUMMYFUNCTION(" TRANSPOSE( unique ( QUERY(DATOPRO,""select Col2 where Col1 = '""&amp;B1410&amp;""'"")))"),"")</f>
        <v/>
      </c>
    </row>
    <row r="1411">
      <c r="C1411" s="64" t="str">
        <f>IFERROR(__xludf.DUMMYFUNCTION(" TRANSPOSE( unique ( QUERY(DATOPRO,""select Col2 where Col1 = '""&amp;B1411&amp;""'"")))"),"")</f>
        <v/>
      </c>
    </row>
    <row r="1412">
      <c r="C1412" s="64" t="str">
        <f>IFERROR(__xludf.DUMMYFUNCTION(" TRANSPOSE( unique ( QUERY(DATOPRO,""select Col2 where Col1 = '""&amp;B1412&amp;""'"")))"),"")</f>
        <v/>
      </c>
    </row>
    <row r="1413">
      <c r="C1413" s="64" t="str">
        <f>IFERROR(__xludf.DUMMYFUNCTION(" TRANSPOSE( unique ( QUERY(DATOPRO,""select Col2 where Col1 = '""&amp;B1413&amp;""'"")))"),"")</f>
        <v/>
      </c>
    </row>
    <row r="1414">
      <c r="C1414" s="64" t="str">
        <f>IFERROR(__xludf.DUMMYFUNCTION(" TRANSPOSE( unique ( QUERY(DATOPRO,""select Col2 where Col1 = '""&amp;B1414&amp;""'"")))"),"")</f>
        <v/>
      </c>
    </row>
    <row r="1415">
      <c r="C1415" s="64" t="str">
        <f>IFERROR(__xludf.DUMMYFUNCTION(" TRANSPOSE( unique ( QUERY(DATOPRO,""select Col2 where Col1 = '""&amp;B1415&amp;""'"")))"),"")</f>
        <v/>
      </c>
    </row>
    <row r="1416">
      <c r="C1416" s="64" t="str">
        <f>IFERROR(__xludf.DUMMYFUNCTION(" TRANSPOSE( unique ( QUERY(DATOPRO,""select Col2 where Col1 = '""&amp;B1416&amp;""'"")))"),"")</f>
        <v/>
      </c>
    </row>
    <row r="1417">
      <c r="C1417" s="64" t="str">
        <f>IFERROR(__xludf.DUMMYFUNCTION(" TRANSPOSE( unique ( QUERY(DATOPRO,""select Col2 where Col1 = '""&amp;B1417&amp;""'"")))"),"")</f>
        <v/>
      </c>
    </row>
    <row r="1418">
      <c r="C1418" s="64" t="str">
        <f>IFERROR(__xludf.DUMMYFUNCTION(" TRANSPOSE( unique ( QUERY(DATOPRO,""select Col2 where Col1 = '""&amp;B1418&amp;""'"")))"),"")</f>
        <v/>
      </c>
    </row>
    <row r="1419">
      <c r="C1419" s="64" t="str">
        <f>IFERROR(__xludf.DUMMYFUNCTION(" TRANSPOSE( unique ( QUERY(DATOPRO,""select Col2 where Col1 = '""&amp;B1419&amp;""'"")))"),"")</f>
        <v/>
      </c>
    </row>
    <row r="1420">
      <c r="C1420" s="64" t="str">
        <f>IFERROR(__xludf.DUMMYFUNCTION(" TRANSPOSE( unique ( QUERY(DATOPRO,""select Col2 where Col1 = '""&amp;B1420&amp;""'"")))"),"")</f>
        <v/>
      </c>
    </row>
    <row r="1421">
      <c r="C1421" s="64" t="str">
        <f>IFERROR(__xludf.DUMMYFUNCTION(" TRANSPOSE( unique ( QUERY(DATOPRO,""select Col2 where Col1 = '""&amp;B1421&amp;""'"")))"),"")</f>
        <v/>
      </c>
    </row>
    <row r="1422">
      <c r="C1422" s="64" t="str">
        <f>IFERROR(__xludf.DUMMYFUNCTION(" TRANSPOSE( unique ( QUERY(DATOPRO,""select Col2 where Col1 = '""&amp;B1422&amp;""'"")))"),"")</f>
        <v/>
      </c>
    </row>
    <row r="1423">
      <c r="C1423" s="64" t="str">
        <f>IFERROR(__xludf.DUMMYFUNCTION(" TRANSPOSE( unique ( QUERY(DATOPRO,""select Col2 where Col1 = '""&amp;B1423&amp;""'"")))"),"")</f>
        <v/>
      </c>
    </row>
    <row r="1424">
      <c r="C1424" s="64" t="str">
        <f>IFERROR(__xludf.DUMMYFUNCTION(" TRANSPOSE( unique ( QUERY(DATOPRO,""select Col2 where Col1 = '""&amp;B1424&amp;""'"")))"),"")</f>
        <v/>
      </c>
    </row>
    <row r="1425">
      <c r="C1425" s="64" t="str">
        <f>IFERROR(__xludf.DUMMYFUNCTION(" TRANSPOSE( unique ( QUERY(DATOPRO,""select Col2 where Col1 = '""&amp;B1425&amp;""'"")))"),"")</f>
        <v/>
      </c>
    </row>
    <row r="1426">
      <c r="C1426" s="64" t="str">
        <f>IFERROR(__xludf.DUMMYFUNCTION(" TRANSPOSE( unique ( QUERY(DATOPRO,""select Col2 where Col1 = '""&amp;B1426&amp;""'"")))"),"")</f>
        <v/>
      </c>
    </row>
    <row r="1427">
      <c r="C1427" s="64" t="str">
        <f>IFERROR(__xludf.DUMMYFUNCTION(" TRANSPOSE( unique ( QUERY(DATOPRO,""select Col2 where Col1 = '""&amp;B1427&amp;""'"")))"),"")</f>
        <v/>
      </c>
    </row>
    <row r="1428">
      <c r="C1428" s="64" t="str">
        <f>IFERROR(__xludf.DUMMYFUNCTION(" TRANSPOSE( unique ( QUERY(DATOPRO,""select Col2 where Col1 = '""&amp;B1428&amp;""'"")))"),"")</f>
        <v/>
      </c>
    </row>
    <row r="1429">
      <c r="C1429" s="64" t="str">
        <f>IFERROR(__xludf.DUMMYFUNCTION(" TRANSPOSE( unique ( QUERY(DATOPRO,""select Col2 where Col1 = '""&amp;B1429&amp;""'"")))"),"")</f>
        <v/>
      </c>
    </row>
    <row r="1430">
      <c r="C1430" s="64" t="str">
        <f>IFERROR(__xludf.DUMMYFUNCTION(" TRANSPOSE( unique ( QUERY(DATOPRO,""select Col2 where Col1 = '""&amp;B1430&amp;""'"")))"),"")</f>
        <v/>
      </c>
    </row>
    <row r="1431">
      <c r="C1431" s="64" t="str">
        <f>IFERROR(__xludf.DUMMYFUNCTION(" TRANSPOSE( unique ( QUERY(DATOPRO,""select Col2 where Col1 = '""&amp;B1431&amp;""'"")))"),"")</f>
        <v/>
      </c>
    </row>
    <row r="1432">
      <c r="C1432" s="64" t="str">
        <f>IFERROR(__xludf.DUMMYFUNCTION(" TRANSPOSE( unique ( QUERY(DATOPRO,""select Col2 where Col1 = '""&amp;B1432&amp;""'"")))"),"")</f>
        <v/>
      </c>
    </row>
    <row r="1433">
      <c r="C1433" s="64" t="str">
        <f>IFERROR(__xludf.DUMMYFUNCTION(" TRANSPOSE( unique ( QUERY(DATOPRO,""select Col2 where Col1 = '""&amp;B1433&amp;""'"")))"),"")</f>
        <v/>
      </c>
    </row>
    <row r="1434">
      <c r="C1434" s="64" t="str">
        <f>IFERROR(__xludf.DUMMYFUNCTION(" TRANSPOSE( unique ( QUERY(DATOPRO,""select Col2 where Col1 = '""&amp;B1434&amp;""'"")))"),"")</f>
        <v/>
      </c>
    </row>
    <row r="1435">
      <c r="C1435" s="64" t="str">
        <f>IFERROR(__xludf.DUMMYFUNCTION(" TRANSPOSE( unique ( QUERY(DATOPRO,""select Col2 where Col1 = '""&amp;B1435&amp;""'"")))"),"")</f>
        <v/>
      </c>
    </row>
    <row r="1436">
      <c r="C1436" s="64" t="str">
        <f>IFERROR(__xludf.DUMMYFUNCTION(" TRANSPOSE( unique ( QUERY(DATOPRO,""select Col2 where Col1 = '""&amp;B1436&amp;""'"")))"),"")</f>
        <v/>
      </c>
    </row>
    <row r="1437">
      <c r="C1437" s="64" t="str">
        <f>IFERROR(__xludf.DUMMYFUNCTION(" TRANSPOSE( unique ( QUERY(DATOPRO,""select Col2 where Col1 = '""&amp;B1437&amp;""'"")))"),"")</f>
        <v/>
      </c>
    </row>
    <row r="1438">
      <c r="C1438" s="64" t="str">
        <f>IFERROR(__xludf.DUMMYFUNCTION(" TRANSPOSE( unique ( QUERY(DATOPRO,""select Col2 where Col1 = '""&amp;B1438&amp;""'"")))"),"")</f>
        <v/>
      </c>
    </row>
    <row r="1439">
      <c r="C1439" s="64" t="str">
        <f>IFERROR(__xludf.DUMMYFUNCTION(" TRANSPOSE( unique ( QUERY(DATOPRO,""select Col2 where Col1 = '""&amp;B1439&amp;""'"")))"),"")</f>
        <v/>
      </c>
    </row>
    <row r="1440">
      <c r="C1440" s="64" t="str">
        <f>IFERROR(__xludf.DUMMYFUNCTION(" TRANSPOSE( unique ( QUERY(DATOPRO,""select Col2 where Col1 = '""&amp;B1440&amp;""'"")))"),"")</f>
        <v/>
      </c>
    </row>
    <row r="1441">
      <c r="C1441" s="64" t="str">
        <f>IFERROR(__xludf.DUMMYFUNCTION(" TRANSPOSE( unique ( QUERY(DATOPRO,""select Col2 where Col1 = '""&amp;B1441&amp;""'"")))"),"")</f>
        <v/>
      </c>
    </row>
    <row r="1442">
      <c r="C1442" s="64" t="str">
        <f>IFERROR(__xludf.DUMMYFUNCTION(" TRANSPOSE( unique ( QUERY(DATOPRO,""select Col2 where Col1 = '""&amp;B1442&amp;""'"")))"),"")</f>
        <v/>
      </c>
    </row>
    <row r="1443">
      <c r="C1443" s="64" t="str">
        <f>IFERROR(__xludf.DUMMYFUNCTION(" TRANSPOSE( unique ( QUERY(DATOPRO,""select Col2 where Col1 = '""&amp;B1443&amp;""'"")))"),"")</f>
        <v/>
      </c>
    </row>
    <row r="1444">
      <c r="C1444" s="64" t="str">
        <f>IFERROR(__xludf.DUMMYFUNCTION(" TRANSPOSE( unique ( QUERY(DATOPRO,""select Col2 where Col1 = '""&amp;B1444&amp;""'"")))"),"")</f>
        <v/>
      </c>
    </row>
    <row r="1445">
      <c r="C1445" s="64" t="str">
        <f>IFERROR(__xludf.DUMMYFUNCTION(" TRANSPOSE( unique ( QUERY(DATOPRO,""select Col2 where Col1 = '""&amp;B1445&amp;""'"")))"),"")</f>
        <v/>
      </c>
    </row>
    <row r="1446">
      <c r="C1446" s="64" t="str">
        <f>IFERROR(__xludf.DUMMYFUNCTION(" TRANSPOSE( unique ( QUERY(DATOPRO,""select Col2 where Col1 = '""&amp;B1446&amp;""'"")))"),"")</f>
        <v/>
      </c>
    </row>
    <row r="1447">
      <c r="C1447" s="64" t="str">
        <f>IFERROR(__xludf.DUMMYFUNCTION(" TRANSPOSE( unique ( QUERY(DATOPRO,""select Col2 where Col1 = '""&amp;B1447&amp;""'"")))"),"")</f>
        <v/>
      </c>
    </row>
    <row r="1448">
      <c r="C1448" s="64" t="str">
        <f>IFERROR(__xludf.DUMMYFUNCTION(" TRANSPOSE( unique ( QUERY(DATOPRO,""select Col2 where Col1 = '""&amp;B1448&amp;""'"")))"),"")</f>
        <v/>
      </c>
    </row>
    <row r="1449">
      <c r="C1449" s="64" t="str">
        <f>IFERROR(__xludf.DUMMYFUNCTION(" TRANSPOSE( unique ( QUERY(DATOPRO,""select Col2 where Col1 = '""&amp;B1449&amp;""'"")))"),"")</f>
        <v/>
      </c>
    </row>
    <row r="1450">
      <c r="C1450" s="64" t="str">
        <f>IFERROR(__xludf.DUMMYFUNCTION(" TRANSPOSE( unique ( QUERY(DATOPRO,""select Col2 where Col1 = '""&amp;B1450&amp;""'"")))"),"")</f>
        <v/>
      </c>
    </row>
    <row r="1451">
      <c r="C1451" s="64" t="str">
        <f>IFERROR(__xludf.DUMMYFUNCTION(" TRANSPOSE( unique ( QUERY(DATOPRO,""select Col2 where Col1 = '""&amp;B1451&amp;""'"")))"),"")</f>
        <v/>
      </c>
    </row>
    <row r="1452">
      <c r="C1452" s="64" t="str">
        <f>IFERROR(__xludf.DUMMYFUNCTION(" TRANSPOSE( unique ( QUERY(DATOPRO,""select Col2 where Col1 = '""&amp;B1452&amp;""'"")))"),"")</f>
        <v/>
      </c>
    </row>
    <row r="1453">
      <c r="C1453" s="64" t="str">
        <f>IFERROR(__xludf.DUMMYFUNCTION(" TRANSPOSE( unique ( QUERY(DATOPRO,""select Col2 where Col1 = '""&amp;B1453&amp;""'"")))"),"")</f>
        <v/>
      </c>
    </row>
    <row r="1454">
      <c r="C1454" s="64" t="str">
        <f>IFERROR(__xludf.DUMMYFUNCTION(" TRANSPOSE( unique ( QUERY(DATOPRO,""select Col2 where Col1 = '""&amp;B1454&amp;""'"")))"),"")</f>
        <v/>
      </c>
    </row>
    <row r="1455">
      <c r="C1455" s="64" t="str">
        <f>IFERROR(__xludf.DUMMYFUNCTION(" TRANSPOSE( unique ( QUERY(DATOPRO,""select Col2 where Col1 = '""&amp;B1455&amp;""'"")))"),"")</f>
        <v/>
      </c>
    </row>
    <row r="1456">
      <c r="C1456" s="64" t="str">
        <f>IFERROR(__xludf.DUMMYFUNCTION(" TRANSPOSE( unique ( QUERY(DATOPRO,""select Col2 where Col1 = '""&amp;B1456&amp;""'"")))"),"")</f>
        <v/>
      </c>
    </row>
    <row r="1457">
      <c r="C1457" s="64" t="str">
        <f>IFERROR(__xludf.DUMMYFUNCTION(" TRANSPOSE( unique ( QUERY(DATOPRO,""select Col2 where Col1 = '""&amp;B1457&amp;""'"")))"),"")</f>
        <v/>
      </c>
    </row>
    <row r="1458">
      <c r="C1458" s="64" t="str">
        <f>IFERROR(__xludf.DUMMYFUNCTION(" TRANSPOSE( unique ( QUERY(DATOPRO,""select Col2 where Col1 = '""&amp;B1458&amp;""'"")))"),"")</f>
        <v/>
      </c>
    </row>
    <row r="1459">
      <c r="C1459" s="64" t="str">
        <f>IFERROR(__xludf.DUMMYFUNCTION(" TRANSPOSE( unique ( QUERY(DATOPRO,""select Col2 where Col1 = '""&amp;B1459&amp;""'"")))"),"")</f>
        <v/>
      </c>
    </row>
    <row r="1460">
      <c r="C1460" s="64" t="str">
        <f>IFERROR(__xludf.DUMMYFUNCTION(" TRANSPOSE( unique ( QUERY(DATOPRO,""select Col2 where Col1 = '""&amp;B1460&amp;""'"")))"),"")</f>
        <v/>
      </c>
    </row>
    <row r="1461">
      <c r="C1461" s="64" t="str">
        <f>IFERROR(__xludf.DUMMYFUNCTION(" TRANSPOSE( unique ( QUERY(DATOPRO,""select Col2 where Col1 = '""&amp;B1461&amp;""'"")))"),"")</f>
        <v/>
      </c>
    </row>
    <row r="1462">
      <c r="C1462" s="64" t="str">
        <f>IFERROR(__xludf.DUMMYFUNCTION(" TRANSPOSE( unique ( QUERY(DATOPRO,""select Col2 where Col1 = '""&amp;B1462&amp;""'"")))"),"")</f>
        <v/>
      </c>
    </row>
    <row r="1463">
      <c r="C1463" s="64" t="str">
        <f>IFERROR(__xludf.DUMMYFUNCTION(" TRANSPOSE( unique ( QUERY(DATOPRO,""select Col2 where Col1 = '""&amp;B1463&amp;""'"")))"),"")</f>
        <v/>
      </c>
    </row>
    <row r="1464">
      <c r="C1464" s="64" t="str">
        <f>IFERROR(__xludf.DUMMYFUNCTION(" TRANSPOSE( unique ( QUERY(DATOPRO,""select Col2 where Col1 = '""&amp;B1464&amp;""'"")))"),"")</f>
        <v/>
      </c>
    </row>
    <row r="1465">
      <c r="C1465" s="64" t="str">
        <f>IFERROR(__xludf.DUMMYFUNCTION(" TRANSPOSE( unique ( QUERY(DATOPRO,""select Col2 where Col1 = '""&amp;B1465&amp;""'"")))"),"")</f>
        <v/>
      </c>
    </row>
    <row r="1466">
      <c r="C1466" s="64" t="str">
        <f>IFERROR(__xludf.DUMMYFUNCTION(" TRANSPOSE( unique ( QUERY(DATOPRO,""select Col2 where Col1 = '""&amp;B1466&amp;""'"")))"),"")</f>
        <v/>
      </c>
    </row>
    <row r="1467">
      <c r="C1467" s="64" t="str">
        <f>IFERROR(__xludf.DUMMYFUNCTION(" TRANSPOSE( unique ( QUERY(DATOPRO,""select Col2 where Col1 = '""&amp;B1467&amp;""'"")))"),"")</f>
        <v/>
      </c>
    </row>
    <row r="1468">
      <c r="C1468" s="64" t="str">
        <f>IFERROR(__xludf.DUMMYFUNCTION(" TRANSPOSE( unique ( QUERY(DATOPRO,""select Col2 where Col1 = '""&amp;B1468&amp;""'"")))"),"")</f>
        <v/>
      </c>
    </row>
    <row r="1469">
      <c r="C1469" s="64" t="str">
        <f>IFERROR(__xludf.DUMMYFUNCTION(" TRANSPOSE( unique ( QUERY(DATOPRO,""select Col2 where Col1 = '""&amp;B1469&amp;""'"")))"),"")</f>
        <v/>
      </c>
    </row>
    <row r="1470">
      <c r="C1470" s="64" t="str">
        <f>IFERROR(__xludf.DUMMYFUNCTION(" TRANSPOSE( unique ( QUERY(DATOPRO,""select Col2 where Col1 = '""&amp;B1470&amp;""'"")))"),"")</f>
        <v/>
      </c>
    </row>
    <row r="1471">
      <c r="C1471" s="64" t="str">
        <f>IFERROR(__xludf.DUMMYFUNCTION(" TRANSPOSE( unique ( QUERY(DATOPRO,""select Col2 where Col1 = '""&amp;B1471&amp;""'"")))"),"")</f>
        <v/>
      </c>
    </row>
    <row r="1472">
      <c r="C1472" s="64" t="str">
        <f>IFERROR(__xludf.DUMMYFUNCTION(" TRANSPOSE( unique ( QUERY(DATOPRO,""select Col2 where Col1 = '""&amp;B1472&amp;""'"")))"),"")</f>
        <v/>
      </c>
    </row>
    <row r="1473">
      <c r="C1473" s="64" t="str">
        <f>IFERROR(__xludf.DUMMYFUNCTION(" TRANSPOSE( unique ( QUERY(DATOPRO,""select Col2 where Col1 = '""&amp;B1473&amp;""'"")))"),"")</f>
        <v/>
      </c>
    </row>
    <row r="1474">
      <c r="C1474" s="64" t="str">
        <f>IFERROR(__xludf.DUMMYFUNCTION(" TRANSPOSE( unique ( QUERY(DATOPRO,""select Col2 where Col1 = '""&amp;B1474&amp;""'"")))"),"")</f>
        <v/>
      </c>
    </row>
    <row r="1475">
      <c r="C1475" s="64" t="str">
        <f>IFERROR(__xludf.DUMMYFUNCTION(" TRANSPOSE( unique ( QUERY(DATOPRO,""select Col2 where Col1 = '""&amp;B1475&amp;""'"")))"),"")</f>
        <v/>
      </c>
    </row>
    <row r="1476">
      <c r="C1476" s="64" t="str">
        <f>IFERROR(__xludf.DUMMYFUNCTION(" TRANSPOSE( unique ( QUERY(DATOPRO,""select Col2 where Col1 = '""&amp;B1476&amp;""'"")))"),"")</f>
        <v/>
      </c>
    </row>
    <row r="1477">
      <c r="C1477" s="64" t="str">
        <f>IFERROR(__xludf.DUMMYFUNCTION(" TRANSPOSE( unique ( QUERY(DATOPRO,""select Col2 where Col1 = '""&amp;B1477&amp;""'"")))"),"")</f>
        <v/>
      </c>
    </row>
    <row r="1478">
      <c r="C1478" s="64" t="str">
        <f>IFERROR(__xludf.DUMMYFUNCTION(" TRANSPOSE( unique ( QUERY(DATOPRO,""select Col2 where Col1 = '""&amp;B1478&amp;""'"")))"),"")</f>
        <v/>
      </c>
    </row>
    <row r="1479">
      <c r="C1479" s="64" t="str">
        <f>IFERROR(__xludf.DUMMYFUNCTION(" TRANSPOSE( unique ( QUERY(DATOPRO,""select Col2 where Col1 = '""&amp;B1479&amp;""'"")))"),"")</f>
        <v/>
      </c>
    </row>
    <row r="1480">
      <c r="C1480" s="64" t="str">
        <f>IFERROR(__xludf.DUMMYFUNCTION(" TRANSPOSE( unique ( QUERY(DATOPRO,""select Col2 where Col1 = '""&amp;B1480&amp;""'"")))"),"")</f>
        <v/>
      </c>
    </row>
    <row r="1481">
      <c r="C1481" s="64" t="str">
        <f>IFERROR(__xludf.DUMMYFUNCTION(" TRANSPOSE( unique ( QUERY(DATOPRO,""select Col2 where Col1 = '""&amp;B1481&amp;""'"")))"),"")</f>
        <v/>
      </c>
    </row>
    <row r="1482">
      <c r="C1482" s="64" t="str">
        <f>IFERROR(__xludf.DUMMYFUNCTION(" TRANSPOSE( unique ( QUERY(DATOPRO,""select Col2 where Col1 = '""&amp;B1482&amp;""'"")))"),"")</f>
        <v/>
      </c>
    </row>
    <row r="1483">
      <c r="C1483" s="64" t="str">
        <f>IFERROR(__xludf.DUMMYFUNCTION(" TRANSPOSE( unique ( QUERY(DATOPRO,""select Col2 where Col1 = '""&amp;B1483&amp;""'"")))"),"")</f>
        <v/>
      </c>
    </row>
    <row r="1484">
      <c r="C1484" s="64" t="str">
        <f>IFERROR(__xludf.DUMMYFUNCTION(" TRANSPOSE( unique ( QUERY(DATOPRO,""select Col2 where Col1 = '""&amp;B1484&amp;""'"")))"),"")</f>
        <v/>
      </c>
    </row>
    <row r="1485">
      <c r="C1485" s="64" t="str">
        <f>IFERROR(__xludf.DUMMYFUNCTION(" TRANSPOSE( unique ( QUERY(DATOPRO,""select Col2 where Col1 = '""&amp;B1485&amp;""'"")))"),"")</f>
        <v/>
      </c>
    </row>
    <row r="1486">
      <c r="C1486" s="64" t="str">
        <f>IFERROR(__xludf.DUMMYFUNCTION(" TRANSPOSE( unique ( QUERY(DATOPRO,""select Col2 where Col1 = '""&amp;B1486&amp;""'"")))"),"")</f>
        <v/>
      </c>
    </row>
    <row r="1487">
      <c r="C1487" s="64" t="str">
        <f>IFERROR(__xludf.DUMMYFUNCTION(" TRANSPOSE( unique ( QUERY(DATOPRO,""select Col2 where Col1 = '""&amp;B1487&amp;""'"")))"),"")</f>
        <v/>
      </c>
    </row>
    <row r="1488">
      <c r="C1488" s="64" t="str">
        <f>IFERROR(__xludf.DUMMYFUNCTION(" TRANSPOSE( unique ( QUERY(DATOPRO,""select Col2 where Col1 = '""&amp;B1488&amp;""'"")))"),"")</f>
        <v/>
      </c>
    </row>
    <row r="1489">
      <c r="C1489" s="64" t="str">
        <f>IFERROR(__xludf.DUMMYFUNCTION(" TRANSPOSE( unique ( QUERY(DATOPRO,""select Col2 where Col1 = '""&amp;B1489&amp;""'"")))"),"")</f>
        <v/>
      </c>
    </row>
    <row r="1490">
      <c r="C1490" s="64" t="str">
        <f>IFERROR(__xludf.DUMMYFUNCTION(" TRANSPOSE( unique ( QUERY(DATOPRO,""select Col2 where Col1 = '""&amp;B1490&amp;""'"")))"),"")</f>
        <v/>
      </c>
    </row>
    <row r="1491">
      <c r="C1491" s="64" t="str">
        <f>IFERROR(__xludf.DUMMYFUNCTION(" TRANSPOSE( unique ( QUERY(DATOPRO,""select Col2 where Col1 = '""&amp;B1491&amp;""'"")))"),"")</f>
        <v/>
      </c>
    </row>
    <row r="1492">
      <c r="C1492" s="64" t="str">
        <f>IFERROR(__xludf.DUMMYFUNCTION(" TRANSPOSE( unique ( QUERY(DATOPRO,""select Col2 where Col1 = '""&amp;B1492&amp;""'"")))"),"")</f>
        <v/>
      </c>
    </row>
    <row r="1493">
      <c r="C1493" s="64" t="str">
        <f>IFERROR(__xludf.DUMMYFUNCTION(" TRANSPOSE( unique ( QUERY(DATOPRO,""select Col2 where Col1 = '""&amp;B1493&amp;""'"")))"),"")</f>
        <v/>
      </c>
    </row>
    <row r="1494">
      <c r="C1494" s="64" t="str">
        <f>IFERROR(__xludf.DUMMYFUNCTION(" TRANSPOSE( unique ( QUERY(DATOPRO,""select Col2 where Col1 = '""&amp;B1494&amp;""'"")))"),"")</f>
        <v/>
      </c>
    </row>
    <row r="1495">
      <c r="C1495" s="64" t="str">
        <f>IFERROR(__xludf.DUMMYFUNCTION(" TRANSPOSE( unique ( QUERY(DATOPRO,""select Col2 where Col1 = '""&amp;B1495&amp;""'"")))"),"")</f>
        <v/>
      </c>
    </row>
    <row r="1496">
      <c r="C1496" s="64" t="str">
        <f>IFERROR(__xludf.DUMMYFUNCTION(" TRANSPOSE( unique ( QUERY(DATOPRO,""select Col2 where Col1 = '""&amp;B1496&amp;""'"")))"),"")</f>
        <v/>
      </c>
    </row>
    <row r="1497">
      <c r="C1497" s="64" t="str">
        <f>IFERROR(__xludf.DUMMYFUNCTION(" TRANSPOSE( unique ( QUERY(DATOPRO,""select Col2 where Col1 = '""&amp;B1497&amp;""'"")))"),"")</f>
        <v/>
      </c>
    </row>
    <row r="1498">
      <c r="C1498" s="64" t="str">
        <f>IFERROR(__xludf.DUMMYFUNCTION(" TRANSPOSE( unique ( QUERY(DATOPRO,""select Col2 where Col1 = '""&amp;B1498&amp;""'"")))"),"")</f>
        <v/>
      </c>
    </row>
    <row r="1499">
      <c r="C1499" s="64" t="str">
        <f>IFERROR(__xludf.DUMMYFUNCTION(" TRANSPOSE( unique ( QUERY(DATOPRO,""select Col2 where Col1 = '""&amp;B1499&amp;""'"")))"),"")</f>
        <v/>
      </c>
    </row>
    <row r="1500">
      <c r="C1500" s="64" t="str">
        <f>IFERROR(__xludf.DUMMYFUNCTION(" TRANSPOSE( unique ( QUERY(DATOPRO,""select Col2 where Col1 = '""&amp;B1500&amp;""'"")))"),"")</f>
        <v/>
      </c>
    </row>
    <row r="1501">
      <c r="C1501" s="64" t="str">
        <f>IFERROR(__xludf.DUMMYFUNCTION(" TRANSPOSE( unique ( QUERY(DATOPRO,""select Col2 where Col1 = '""&amp;B1501&amp;""'"")))"),"")</f>
        <v/>
      </c>
    </row>
    <row r="1502">
      <c r="C1502" s="64" t="str">
        <f>IFERROR(__xludf.DUMMYFUNCTION(" TRANSPOSE( unique ( QUERY(DATOPRO,""select Col2 where Col1 = '""&amp;B1502&amp;""'"")))"),"")</f>
        <v/>
      </c>
    </row>
    <row r="1503">
      <c r="C1503" s="64" t="str">
        <f>IFERROR(__xludf.DUMMYFUNCTION(" TRANSPOSE( unique ( QUERY(DATOPRO,""select Col2 where Col1 = '""&amp;B1503&amp;""'"")))"),"")</f>
        <v/>
      </c>
    </row>
    <row r="1504">
      <c r="C1504" s="64" t="str">
        <f>IFERROR(__xludf.DUMMYFUNCTION(" TRANSPOSE( unique ( QUERY(DATOPRO,""select Col2 where Col1 = '""&amp;B1504&amp;""'"")))"),"")</f>
        <v/>
      </c>
    </row>
    <row r="1505">
      <c r="C1505" s="64" t="str">
        <f>IFERROR(__xludf.DUMMYFUNCTION(" TRANSPOSE( unique ( QUERY(DATOPRO,""select Col2 where Col1 = '""&amp;B1505&amp;""'"")))"),"")</f>
        <v/>
      </c>
    </row>
    <row r="1506">
      <c r="C1506" s="64" t="str">
        <f>IFERROR(__xludf.DUMMYFUNCTION(" TRANSPOSE( unique ( QUERY(DATOPRO,""select Col2 where Col1 = '""&amp;B1506&amp;""'"")))"),"")</f>
        <v/>
      </c>
    </row>
    <row r="1507">
      <c r="C1507" s="64" t="str">
        <f>IFERROR(__xludf.DUMMYFUNCTION(" TRANSPOSE( unique ( QUERY(DATOPRO,""select Col2 where Col1 = '""&amp;B1507&amp;""'"")))"),"")</f>
        <v/>
      </c>
    </row>
    <row r="1508">
      <c r="C1508" s="64" t="str">
        <f>IFERROR(__xludf.DUMMYFUNCTION(" TRANSPOSE( unique ( QUERY(DATOPRO,""select Col2 where Col1 = '""&amp;B1508&amp;""'"")))"),"")</f>
        <v/>
      </c>
    </row>
    <row r="1509">
      <c r="C1509" s="64" t="str">
        <f>IFERROR(__xludf.DUMMYFUNCTION(" TRANSPOSE( unique ( QUERY(DATOPRO,""select Col2 where Col1 = '""&amp;B1509&amp;""'"")))"),"")</f>
        <v/>
      </c>
    </row>
    <row r="1510">
      <c r="C1510" s="64" t="str">
        <f>IFERROR(__xludf.DUMMYFUNCTION(" TRANSPOSE( unique ( QUERY(DATOPRO,""select Col2 where Col1 = '""&amp;B1510&amp;""'"")))"),"")</f>
        <v/>
      </c>
    </row>
    <row r="1511">
      <c r="C1511" s="64" t="str">
        <f>IFERROR(__xludf.DUMMYFUNCTION(" TRANSPOSE( unique ( QUERY(DATOPRO,""select Col2 where Col1 = '""&amp;B1511&amp;""'"")))"),"")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</cols>
  <sheetData>
    <row r="5">
      <c r="C5" s="25" t="s">
        <v>1045</v>
      </c>
    </row>
    <row r="6">
      <c r="C6" s="64" t="str">
        <f t="array" ref="C6:C8"> UNIQUE( DESPLEGABLES1!B2:B58)</f>
        <v>ASISTENCIA VIAL</v>
      </c>
    </row>
    <row r="7">
      <c r="C7" s="64" t="s">
        <v>38</v>
      </c>
    </row>
    <row r="8">
      <c r="C8" s="64" t="s">
        <v>323</v>
      </c>
    </row>
  </sheetData>
  <drawing r:id="rId1"/>
</worksheet>
</file>